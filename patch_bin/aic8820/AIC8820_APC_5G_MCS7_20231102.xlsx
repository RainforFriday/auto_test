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45" windowHeight="13170"/>
  </bookViews>
  <sheets>
    <sheet name="CH42_CH58" sheetId="1" r:id="rId1"/>
    <sheet name="CH106_CH155" sheetId="2" r:id="rId2"/>
  </sheets>
  <calcPr calcId="144525"/>
</workbook>
</file>

<file path=xl/sharedStrings.xml><?xml version="1.0" encoding="utf-8"?>
<sst xmlns="http://schemas.openxmlformats.org/spreadsheetml/2006/main" count="1479" uniqueCount="137">
  <si>
    <t>APC_BITS</t>
  </si>
  <si>
    <t>POS</t>
  </si>
  <si>
    <t>WIDTH</t>
  </si>
  <si>
    <t>F</t>
  </si>
  <si>
    <t>E</t>
  </si>
  <si>
    <t>D</t>
  </si>
  <si>
    <t>C</t>
  </si>
  <si>
    <t>B</t>
  </si>
  <si>
    <t>A</t>
  </si>
  <si>
    <t>档位</t>
  </si>
  <si>
    <t>apc_ran_resvd_0</t>
  </si>
  <si>
    <t>1</t>
  </si>
  <si>
    <t>0</t>
  </si>
  <si>
    <t>40346d00</t>
  </si>
  <si>
    <t>//index 0</t>
  </si>
  <si>
    <t>wf_daclf_rnd_sw</t>
  </si>
  <si>
    <t>40346d04</t>
  </si>
  <si>
    <t>wf_daclf_scale_step_6db</t>
  </si>
  <si>
    <t>93:92</t>
  </si>
  <si>
    <t>2</t>
  </si>
  <si>
    <t>40346d08</t>
  </si>
  <si>
    <t>wf_dtmx_dynbias_en</t>
  </si>
  <si>
    <t>//index 1</t>
  </si>
  <si>
    <t>wf_dtmx_rfdyn_ref_vbit</t>
  </si>
  <si>
    <t>90:87</t>
  </si>
  <si>
    <t>4</t>
  </si>
  <si>
    <t>8</t>
  </si>
  <si>
    <t>wf_dtmx_rfdyn_gbit</t>
  </si>
  <si>
    <t>86:83</t>
  </si>
  <si>
    <t>wf_dtmx_idac_padyn_en</t>
  </si>
  <si>
    <t>82</t>
  </si>
  <si>
    <t>//index 2</t>
  </si>
  <si>
    <t>wf_dtmx_lb_ext_cap_en</t>
  </si>
  <si>
    <t>81</t>
  </si>
  <si>
    <t>wf_dtmx_tuning_cbit</t>
  </si>
  <si>
    <t>80:77</t>
  </si>
  <si>
    <t>5</t>
  </si>
  <si>
    <t>wf_dtmx_dac_gbit3</t>
  </si>
  <si>
    <t>76:73</t>
  </si>
  <si>
    <t>//index 3</t>
  </si>
  <si>
    <t>wf_dtmx_dac_gbit2</t>
  </si>
  <si>
    <t>72:69</t>
  </si>
  <si>
    <t>14</t>
  </si>
  <si>
    <t>10</t>
  </si>
  <si>
    <t>13</t>
  </si>
  <si>
    <t>12</t>
  </si>
  <si>
    <t>11</t>
  </si>
  <si>
    <t>9</t>
  </si>
  <si>
    <t>3</t>
  </si>
  <si>
    <t>wf_dtmx_dac_gbit1</t>
  </si>
  <si>
    <t>68:66</t>
  </si>
  <si>
    <t>6</t>
  </si>
  <si>
    <t>wf_pa24g_vl_vbit</t>
  </si>
  <si>
    <t>65:63</t>
  </si>
  <si>
    <t>//index 4</t>
  </si>
  <si>
    <t>wf_pa_24g_vl_cgm_ibit</t>
  </si>
  <si>
    <t>62:59</t>
  </si>
  <si>
    <t>wf_pa24g_vl_rfdyn_gbit</t>
  </si>
  <si>
    <t>58:56</t>
  </si>
  <si>
    <t>wf_pa24g_vl_rfdyn_en</t>
  </si>
  <si>
    <t>55</t>
  </si>
  <si>
    <t>//index 5</t>
  </si>
  <si>
    <t>wf_pa24g_vm_rfdyn_en</t>
  </si>
  <si>
    <t>54</t>
  </si>
  <si>
    <t>wf_pa5g_vl2_resbit</t>
  </si>
  <si>
    <t>53:52</t>
  </si>
  <si>
    <t>wf_pa5g_vl1_resbit</t>
  </si>
  <si>
    <t>51:50</t>
  </si>
  <si>
    <t>//index 6</t>
  </si>
  <si>
    <t>wf_pa5g_vl2_rfdyn_gbit</t>
  </si>
  <si>
    <t>49:47</t>
  </si>
  <si>
    <t>wf_pa5g_vl2_vbit</t>
  </si>
  <si>
    <t>46:44</t>
  </si>
  <si>
    <t>wf_pa5g_vl2_rfdyn_en</t>
  </si>
  <si>
    <t>43</t>
  </si>
  <si>
    <t>//index 7</t>
  </si>
  <si>
    <t>wf_pa5g_vl1_rfdyn_en</t>
  </si>
  <si>
    <t>42</t>
  </si>
  <si>
    <t>wf_pa5g_vl1_rfdyn_gbit</t>
  </si>
  <si>
    <t>41:39</t>
  </si>
  <si>
    <t>wf_pa5g_vl1_vbit</t>
  </si>
  <si>
    <t>38:36</t>
  </si>
  <si>
    <t>//index 8</t>
  </si>
  <si>
    <t>wf_pa5g_vl_en_bit</t>
  </si>
  <si>
    <t>35:34</t>
  </si>
  <si>
    <t>wf_pa5g_vm_rfdyn_en</t>
  </si>
  <si>
    <t>33</t>
  </si>
  <si>
    <t>wf_pa5g_input2_cbit</t>
  </si>
  <si>
    <t>32:31</t>
  </si>
  <si>
    <t>//index 9</t>
  </si>
  <si>
    <t>wf_pa5g_input1_cbit</t>
  </si>
  <si>
    <t>30:29</t>
  </si>
  <si>
    <t>wf_pa_vm_vbit2</t>
  </si>
  <si>
    <t>28:23</t>
  </si>
  <si>
    <t>32</t>
  </si>
  <si>
    <t>wf_pa_vm_vbit1</t>
  </si>
  <si>
    <t>22:19</t>
  </si>
  <si>
    <t>15</t>
  </si>
  <si>
    <t>7</t>
  </si>
  <si>
    <t>a</t>
  </si>
  <si>
    <t>//index 10</t>
  </si>
  <si>
    <t>wf_pa_vm_ref_vbit</t>
  </si>
  <si>
    <t>18:16</t>
  </si>
  <si>
    <t>wf_pa_vm_dyn_en</t>
  </si>
  <si>
    <t>wf_pa_24g_input_cbit</t>
  </si>
  <si>
    <t>14:12</t>
  </si>
  <si>
    <t>b</t>
  </si>
  <si>
    <t>//index 11</t>
  </si>
  <si>
    <t>wf_pa24g_gbit</t>
  </si>
  <si>
    <t>11:6</t>
  </si>
  <si>
    <t>wf_pa5g_gbit</t>
  </si>
  <si>
    <t>5:0</t>
  </si>
  <si>
    <t>c</t>
  </si>
  <si>
    <t>//index 12</t>
  </si>
  <si>
    <t>APC_5G_MCS7</t>
  </si>
  <si>
    <t>POWER</t>
  </si>
  <si>
    <t>40346D08</t>
  </si>
  <si>
    <t>d</t>
  </si>
  <si>
    <t>//index 13</t>
  </si>
  <si>
    <t>40346D04</t>
  </si>
  <si>
    <t>40346D00</t>
  </si>
  <si>
    <t>e</t>
  </si>
  <si>
    <t>//index 14</t>
  </si>
  <si>
    <t>DIG:C0</t>
  </si>
  <si>
    <t>ch42</t>
  </si>
  <si>
    <t>ch58</t>
  </si>
  <si>
    <t>f</t>
  </si>
  <si>
    <t>//index 15</t>
  </si>
  <si>
    <t>update list</t>
  </si>
  <si>
    <t>20230421:1220</t>
  </si>
  <si>
    <t>u03</t>
  </si>
  <si>
    <t>1 调整tuning cap 提高增益； 2 提高低ch vm 改善大功率MASK</t>
  </si>
  <si>
    <t>ch106</t>
  </si>
  <si>
    <t>ch122</t>
  </si>
  <si>
    <t>ch138</t>
  </si>
  <si>
    <t>ch155</t>
  </si>
  <si>
    <t>wf_pa5g_input1_cbiy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</si>
</sst>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8" borderId="0">
      <alignment vertical="center"/>
    </xf>
    <xf numFmtId="0" fontId="5" fillId="9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0" borderId="0">
      <alignment vertical="center"/>
    </xf>
    <xf numFmtId="0" fontId="6" fillId="11" borderId="0">
      <alignment vertical="center"/>
    </xf>
    <xf numFmtId="43" fontId="0" fillId="0" borderId="0">
      <alignment vertical="center"/>
    </xf>
    <xf numFmtId="0" fontId="7" fillId="12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3" borderId="3">
      <alignment vertical="center"/>
    </xf>
    <xf numFmtId="0" fontId="7" fillId="6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7" fillId="14" borderId="0">
      <alignment vertical="center"/>
    </xf>
    <xf numFmtId="0" fontId="10" fillId="0" borderId="5">
      <alignment vertical="center"/>
    </xf>
    <xf numFmtId="0" fontId="7" fillId="15" borderId="0">
      <alignment vertical="center"/>
    </xf>
    <xf numFmtId="0" fontId="16" fillId="16" borderId="6">
      <alignment vertical="center"/>
    </xf>
    <xf numFmtId="0" fontId="17" fillId="16" borderId="2">
      <alignment vertical="center"/>
    </xf>
    <xf numFmtId="0" fontId="18" fillId="17" borderId="7">
      <alignment vertical="center"/>
    </xf>
    <xf numFmtId="0" fontId="4" fillId="18" borderId="0">
      <alignment vertical="center"/>
    </xf>
    <xf numFmtId="0" fontId="7" fillId="19" borderId="0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7" borderId="0">
      <alignment vertical="center"/>
    </xf>
    <xf numFmtId="0" fontId="22" fillId="20" borderId="0">
      <alignment vertical="center"/>
    </xf>
    <xf numFmtId="0" fontId="4" fillId="21" borderId="0">
      <alignment vertical="center"/>
    </xf>
    <xf numFmtId="0" fontId="7" fillId="22" borderId="0">
      <alignment vertical="center"/>
    </xf>
    <xf numFmtId="0" fontId="4" fillId="23" borderId="0">
      <alignment vertical="center"/>
    </xf>
    <xf numFmtId="0" fontId="4" fillId="2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7" fillId="27" borderId="0">
      <alignment vertical="center"/>
    </xf>
    <xf numFmtId="0" fontId="7" fillId="28" borderId="0">
      <alignment vertical="center"/>
    </xf>
    <xf numFmtId="0" fontId="4" fillId="29" borderId="0">
      <alignment vertical="center"/>
    </xf>
    <xf numFmtId="0" fontId="4" fillId="30" borderId="0">
      <alignment vertical="center"/>
    </xf>
    <xf numFmtId="0" fontId="7" fillId="31" borderId="0">
      <alignment vertical="center"/>
    </xf>
    <xf numFmtId="0" fontId="4" fillId="32" borderId="0">
      <alignment vertical="center"/>
    </xf>
    <xf numFmtId="0" fontId="7" fillId="33" borderId="0">
      <alignment vertical="center"/>
    </xf>
    <xf numFmtId="0" fontId="7" fillId="34" borderId="0">
      <alignment vertical="center"/>
    </xf>
    <xf numFmtId="0" fontId="4" fillId="35" borderId="0">
      <alignment vertical="center"/>
    </xf>
    <xf numFmtId="0" fontId="7" fillId="36" borderId="0">
      <alignment vertical="center"/>
    </xf>
  </cellStyleXfs>
  <cellXfs count="40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49" fontId="2" fillId="4" borderId="0" xfId="0" applyNumberFormat="1" applyFont="1" applyFill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0" borderId="0" xfId="0" applyFont="1"/>
    <xf numFmtId="49" fontId="0" fillId="0" borderId="0" xfId="0" applyNumberFormat="1"/>
    <xf numFmtId="49" fontId="0" fillId="6" borderId="0" xfId="0" applyNumberFormat="1" applyFill="1"/>
    <xf numFmtId="49" fontId="0" fillId="6" borderId="0" xfId="0" applyNumberFormat="1" applyFill="1" applyAlignment="1">
      <alignment horizontal="center"/>
    </xf>
    <xf numFmtId="49" fontId="2" fillId="6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0" borderId="0" xfId="0" applyFont="1"/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3" fillId="7" borderId="0" xfId="31" applyFont="1" applyFill="1">
      <alignment vertical="center"/>
    </xf>
    <xf numFmtId="0" fontId="0" fillId="0" borderId="0" xfId="0" applyFont="1" applyAlignment="1">
      <alignment vertic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20" fontId="1" fillId="0" borderId="0" xfId="0" applyNumberFormat="1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7"/>
  <sheetViews>
    <sheetView tabSelected="1" workbookViewId="0">
      <selection activeCell="J14" sqref="J14"/>
    </sheetView>
  </sheetViews>
  <sheetFormatPr defaultColWidth="9" defaultRowHeight="14.25"/>
  <cols>
    <col min="1" max="1" width="24.625" customWidth="1"/>
    <col min="4" max="4" width="14.875" customWidth="1"/>
    <col min="19" max="19" width="16.625" customWidth="1"/>
    <col min="25" max="25" width="12.8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9</v>
      </c>
      <c r="W1" s="29"/>
      <c r="X1" s="29"/>
    </row>
    <row r="2" spans="1:26">
      <c r="A2" s="2" t="s">
        <v>10</v>
      </c>
      <c r="B2" s="2">
        <v>95</v>
      </c>
      <c r="C2" s="3" t="s">
        <v>11</v>
      </c>
      <c r="D2" s="2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0">
        <v>0</v>
      </c>
      <c r="W2" s="29" t="s">
        <v>13</v>
      </c>
      <c r="X2" s="31" t="str">
        <f>S43</f>
        <v>F03A7004</v>
      </c>
      <c r="Y2" t="str">
        <f>"0x"&amp;RIGHT("00000000"&amp;X2,8)&amp;","</f>
        <v>0xF03A7004,</v>
      </c>
      <c r="Z2" s="32" t="s">
        <v>14</v>
      </c>
    </row>
    <row r="3" spans="1:26">
      <c r="A3" s="2" t="s">
        <v>15</v>
      </c>
      <c r="B3" s="2">
        <v>94</v>
      </c>
      <c r="C3" s="3" t="s">
        <v>11</v>
      </c>
      <c r="D3" s="2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0"/>
      <c r="W3" s="29" t="s">
        <v>16</v>
      </c>
      <c r="X3" s="31" t="str">
        <f>S42</f>
        <v>48BF4F4D</v>
      </c>
      <c r="Y3" t="str">
        <f t="shared" ref="Y3:Y49" si="0">"0x"&amp;RIGHT("00000000"&amp;X3,8)&amp;","</f>
        <v>0x48BF4F4D,</v>
      </c>
      <c r="Z3" s="32"/>
    </row>
    <row r="4" spans="1:26">
      <c r="A4" s="2" t="s">
        <v>17</v>
      </c>
      <c r="B4" s="2" t="s">
        <v>18</v>
      </c>
      <c r="C4" s="3" t="s">
        <v>19</v>
      </c>
      <c r="D4" s="2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0"/>
      <c r="W4" s="29" t="s">
        <v>20</v>
      </c>
      <c r="X4" s="31" t="str">
        <f>S41</f>
        <v>440A056</v>
      </c>
      <c r="Y4" t="str">
        <f t="shared" si="0"/>
        <v>0x0440A056,</v>
      </c>
      <c r="Z4" s="32"/>
    </row>
    <row r="5" spans="1:26">
      <c r="A5" s="2" t="s">
        <v>21</v>
      </c>
      <c r="B5" s="2">
        <v>91</v>
      </c>
      <c r="C5" s="3" t="s">
        <v>11</v>
      </c>
      <c r="D5" s="2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0">
        <v>1</v>
      </c>
      <c r="W5" s="29" t="s">
        <v>13</v>
      </c>
      <c r="X5" s="31" t="str">
        <f>R43</f>
        <v>F03A7004</v>
      </c>
      <c r="Y5" t="str">
        <f t="shared" si="0"/>
        <v>0xF03A7004,</v>
      </c>
      <c r="Z5" s="32" t="s">
        <v>22</v>
      </c>
    </row>
    <row r="6" spans="1:26">
      <c r="A6" s="2" t="s">
        <v>23</v>
      </c>
      <c r="B6" s="2" t="s">
        <v>24</v>
      </c>
      <c r="C6" s="3" t="s">
        <v>25</v>
      </c>
      <c r="D6" s="2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0"/>
      <c r="W6" s="29" t="s">
        <v>16</v>
      </c>
      <c r="X6" s="31" t="str">
        <f>R42</f>
        <v>48BF4F4D</v>
      </c>
      <c r="Y6" t="str">
        <f t="shared" si="0"/>
        <v>0x48BF4F4D,</v>
      </c>
      <c r="Z6" s="32"/>
    </row>
    <row r="7" spans="1:26">
      <c r="A7" s="2" t="s">
        <v>27</v>
      </c>
      <c r="B7" s="2" t="s">
        <v>28</v>
      </c>
      <c r="C7" s="3" t="s">
        <v>25</v>
      </c>
      <c r="D7" s="2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0"/>
      <c r="W7" s="29" t="s">
        <v>20</v>
      </c>
      <c r="X7" s="31" t="str">
        <f>R41</f>
        <v>440A076</v>
      </c>
      <c r="Y7" t="str">
        <f t="shared" si="0"/>
        <v>0x0440A076,</v>
      </c>
      <c r="Z7" s="32"/>
    </row>
    <row r="8" spans="1:26">
      <c r="A8" s="2" t="s">
        <v>29</v>
      </c>
      <c r="B8" s="2" t="s">
        <v>30</v>
      </c>
      <c r="C8" s="3" t="s">
        <v>11</v>
      </c>
      <c r="D8" s="2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0">
        <v>2</v>
      </c>
      <c r="W8" s="29" t="s">
        <v>13</v>
      </c>
      <c r="X8" s="31" t="str">
        <f>Q43</f>
        <v>F03A7004</v>
      </c>
      <c r="Y8" t="str">
        <f t="shared" si="0"/>
        <v>0xF03A7004,</v>
      </c>
      <c r="Z8" s="32" t="s">
        <v>31</v>
      </c>
    </row>
    <row r="9" spans="1:26">
      <c r="A9" s="2" t="s">
        <v>32</v>
      </c>
      <c r="B9" s="2" t="s">
        <v>33</v>
      </c>
      <c r="C9" s="3" t="s">
        <v>11</v>
      </c>
      <c r="D9" s="2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0"/>
      <c r="W9" s="29" t="s">
        <v>16</v>
      </c>
      <c r="X9" s="31" t="str">
        <f>Q42</f>
        <v>48BF4F4D</v>
      </c>
      <c r="Y9" t="str">
        <f t="shared" si="0"/>
        <v>0x48BF4F4D,</v>
      </c>
      <c r="Z9" s="32"/>
    </row>
    <row r="10" spans="1:26">
      <c r="A10" s="2" t="s">
        <v>34</v>
      </c>
      <c r="B10" s="2" t="s">
        <v>35</v>
      </c>
      <c r="C10" s="3" t="s">
        <v>25</v>
      </c>
      <c r="D10" s="2"/>
      <c r="E10" s="2" t="s">
        <v>36</v>
      </c>
      <c r="F10" s="2" t="s">
        <v>36</v>
      </c>
      <c r="G10" s="2" t="s">
        <v>36</v>
      </c>
      <c r="H10" s="2" t="s">
        <v>36</v>
      </c>
      <c r="I10" s="2" t="s">
        <v>36</v>
      </c>
      <c r="J10" s="2" t="s">
        <v>36</v>
      </c>
      <c r="K10" s="2" t="s">
        <v>36</v>
      </c>
      <c r="L10" s="2" t="s">
        <v>36</v>
      </c>
      <c r="M10" s="2" t="s">
        <v>36</v>
      </c>
      <c r="N10" s="2" t="s">
        <v>36</v>
      </c>
      <c r="O10" s="2" t="s">
        <v>36</v>
      </c>
      <c r="P10" s="2" t="s">
        <v>36</v>
      </c>
      <c r="Q10" s="2" t="s">
        <v>36</v>
      </c>
      <c r="R10" s="2" t="s">
        <v>36</v>
      </c>
      <c r="S10" s="2" t="s">
        <v>36</v>
      </c>
      <c r="V10" s="30"/>
      <c r="W10" s="29" t="s">
        <v>20</v>
      </c>
      <c r="X10" s="31" t="str">
        <f>Q41</f>
        <v>440A0AE</v>
      </c>
      <c r="Y10" t="str">
        <f t="shared" si="0"/>
        <v>0x0440A0AE,</v>
      </c>
      <c r="Z10" s="32"/>
    </row>
    <row r="11" spans="1:26">
      <c r="A11" s="2" t="s">
        <v>37</v>
      </c>
      <c r="B11" s="2" t="s">
        <v>38</v>
      </c>
      <c r="C11" s="3" t="s">
        <v>25</v>
      </c>
      <c r="D11" s="2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0">
        <v>3</v>
      </c>
      <c r="W11" s="29" t="s">
        <v>13</v>
      </c>
      <c r="X11" s="31" t="str">
        <f>P43</f>
        <v>F03A7004</v>
      </c>
      <c r="Y11" t="str">
        <f t="shared" si="0"/>
        <v>0xF03A7004,</v>
      </c>
      <c r="Z11" s="32" t="s">
        <v>39</v>
      </c>
    </row>
    <row r="12" spans="1:26">
      <c r="A12" s="4" t="s">
        <v>40</v>
      </c>
      <c r="B12" s="4" t="s">
        <v>41</v>
      </c>
      <c r="C12" s="5" t="s">
        <v>25</v>
      </c>
      <c r="D12" s="4"/>
      <c r="E12" s="6" t="s">
        <v>42</v>
      </c>
      <c r="F12" s="6" t="s">
        <v>43</v>
      </c>
      <c r="G12" s="4" t="s">
        <v>44</v>
      </c>
      <c r="H12" s="4" t="s">
        <v>43</v>
      </c>
      <c r="I12" s="4" t="s">
        <v>45</v>
      </c>
      <c r="J12" s="4" t="s">
        <v>43</v>
      </c>
      <c r="K12" s="4" t="s">
        <v>45</v>
      </c>
      <c r="L12" s="4" t="s">
        <v>42</v>
      </c>
      <c r="M12" s="4" t="s">
        <v>46</v>
      </c>
      <c r="N12" s="4" t="s">
        <v>47</v>
      </c>
      <c r="O12" s="28" t="s">
        <v>43</v>
      </c>
      <c r="P12" s="28" t="s">
        <v>47</v>
      </c>
      <c r="Q12" s="4" t="s">
        <v>36</v>
      </c>
      <c r="R12" s="4" t="s">
        <v>48</v>
      </c>
      <c r="S12" s="4" t="s">
        <v>19</v>
      </c>
      <c r="V12" s="30"/>
      <c r="W12" s="29" t="s">
        <v>16</v>
      </c>
      <c r="X12" s="31" t="str">
        <f>P42</f>
        <v>48BF4F4D</v>
      </c>
      <c r="Y12" t="str">
        <f t="shared" si="0"/>
        <v>0x48BF4F4D,</v>
      </c>
      <c r="Z12" s="32"/>
    </row>
    <row r="13" spans="1:26">
      <c r="A13" s="4" t="s">
        <v>49</v>
      </c>
      <c r="B13" s="4" t="s">
        <v>50</v>
      </c>
      <c r="C13" s="5" t="s">
        <v>48</v>
      </c>
      <c r="D13" s="4"/>
      <c r="E13" s="6" t="s">
        <v>48</v>
      </c>
      <c r="F13" s="6" t="s">
        <v>48</v>
      </c>
      <c r="G13" s="4" t="s">
        <v>25</v>
      </c>
      <c r="H13" s="4" t="s">
        <v>25</v>
      </c>
      <c r="I13" s="4" t="s">
        <v>25</v>
      </c>
      <c r="J13" s="4" t="s">
        <v>48</v>
      </c>
      <c r="K13" s="4" t="s">
        <v>36</v>
      </c>
      <c r="L13" s="4" t="s">
        <v>51</v>
      </c>
      <c r="M13" s="4" t="s">
        <v>51</v>
      </c>
      <c r="N13" s="4" t="s">
        <v>36</v>
      </c>
      <c r="O13" s="28" t="s">
        <v>19</v>
      </c>
      <c r="P13" s="28" t="s">
        <v>11</v>
      </c>
      <c r="Q13" s="4" t="s">
        <v>48</v>
      </c>
      <c r="R13" s="4" t="s">
        <v>36</v>
      </c>
      <c r="S13" s="4" t="s">
        <v>36</v>
      </c>
      <c r="V13" s="30"/>
      <c r="W13" s="29" t="s">
        <v>20</v>
      </c>
      <c r="X13" s="31" t="str">
        <f>P41</f>
        <v>440A126</v>
      </c>
      <c r="Y13" t="str">
        <f t="shared" si="0"/>
        <v>0x0440A126,</v>
      </c>
      <c r="Z13" s="32"/>
    </row>
    <row r="14" spans="1:26">
      <c r="A14" s="2" t="s">
        <v>52</v>
      </c>
      <c r="B14" s="2" t="s">
        <v>53</v>
      </c>
      <c r="C14" s="3" t="s">
        <v>48</v>
      </c>
      <c r="D14" s="2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0">
        <v>4</v>
      </c>
      <c r="W14" s="29" t="s">
        <v>13</v>
      </c>
      <c r="X14" s="31" t="str">
        <f>O43</f>
        <v>F03A7004</v>
      </c>
      <c r="Y14" t="str">
        <f t="shared" si="0"/>
        <v>0xF03A7004,</v>
      </c>
      <c r="Z14" s="32" t="s">
        <v>54</v>
      </c>
    </row>
    <row r="15" spans="1:26">
      <c r="A15" s="2" t="s">
        <v>55</v>
      </c>
      <c r="B15" s="2" t="s">
        <v>56</v>
      </c>
      <c r="C15" s="3" t="s">
        <v>25</v>
      </c>
      <c r="D15" s="2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0"/>
      <c r="W15" s="29" t="s">
        <v>16</v>
      </c>
      <c r="X15" s="31" t="str">
        <f>O42</f>
        <v>48BF4F4D</v>
      </c>
      <c r="Y15" t="str">
        <f t="shared" si="0"/>
        <v>0x48BF4F4D,</v>
      </c>
      <c r="Z15" s="32"/>
    </row>
    <row r="16" spans="1:26">
      <c r="A16" s="2" t="s">
        <v>57</v>
      </c>
      <c r="B16" s="2" t="s">
        <v>58</v>
      </c>
      <c r="C16" s="3" t="s">
        <v>48</v>
      </c>
      <c r="D16" s="2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0"/>
      <c r="W16" s="29" t="s">
        <v>20</v>
      </c>
      <c r="X16" s="31" t="str">
        <f>O41</f>
        <v>440A14A</v>
      </c>
      <c r="Y16" t="str">
        <f t="shared" si="0"/>
        <v>0x0440A14A,</v>
      </c>
      <c r="Z16" s="32"/>
    </row>
    <row r="17" spans="1:26">
      <c r="A17" s="2" t="s">
        <v>59</v>
      </c>
      <c r="B17" s="2" t="s">
        <v>60</v>
      </c>
      <c r="C17" s="3" t="s">
        <v>11</v>
      </c>
      <c r="D17" s="2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0">
        <v>5</v>
      </c>
      <c r="W17" s="29" t="s">
        <v>13</v>
      </c>
      <c r="X17" s="31" t="str">
        <f>N43</f>
        <v>F03A7004</v>
      </c>
      <c r="Y17" t="str">
        <f t="shared" si="0"/>
        <v>0xF03A7004,</v>
      </c>
      <c r="Z17" s="32" t="s">
        <v>61</v>
      </c>
    </row>
    <row r="18" spans="1:26">
      <c r="A18" s="2" t="s">
        <v>62</v>
      </c>
      <c r="B18" s="2" t="s">
        <v>63</v>
      </c>
      <c r="C18" s="3" t="s">
        <v>11</v>
      </c>
      <c r="D18" s="2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0"/>
      <c r="W18" s="29" t="s">
        <v>16</v>
      </c>
      <c r="X18" s="31" t="str">
        <f>N42</f>
        <v>48BF4F4D</v>
      </c>
      <c r="Y18" t="str">
        <f t="shared" si="0"/>
        <v>0x48BF4F4D,</v>
      </c>
      <c r="Z18" s="32"/>
    </row>
    <row r="19" spans="1:26">
      <c r="A19" s="2" t="s">
        <v>64</v>
      </c>
      <c r="B19" s="2" t="s">
        <v>65</v>
      </c>
      <c r="C19" s="3" t="s">
        <v>19</v>
      </c>
      <c r="D19" s="2"/>
      <c r="E19" s="2" t="s">
        <v>48</v>
      </c>
      <c r="F19" s="2" t="s">
        <v>48</v>
      </c>
      <c r="G19" s="2" t="s">
        <v>48</v>
      </c>
      <c r="H19" s="2" t="s">
        <v>48</v>
      </c>
      <c r="I19" s="2" t="s">
        <v>48</v>
      </c>
      <c r="J19" s="2" t="s">
        <v>48</v>
      </c>
      <c r="K19" s="2" t="s">
        <v>48</v>
      </c>
      <c r="L19" s="2" t="s">
        <v>48</v>
      </c>
      <c r="M19" s="2" t="s">
        <v>48</v>
      </c>
      <c r="N19" s="2" t="s">
        <v>48</v>
      </c>
      <c r="O19" s="2" t="s">
        <v>48</v>
      </c>
      <c r="P19" s="2" t="s">
        <v>48</v>
      </c>
      <c r="Q19" s="2" t="s">
        <v>48</v>
      </c>
      <c r="R19" s="2" t="s">
        <v>48</v>
      </c>
      <c r="S19" s="2" t="s">
        <v>48</v>
      </c>
      <c r="V19" s="30"/>
      <c r="W19" s="29" t="s">
        <v>20</v>
      </c>
      <c r="X19" s="31" t="str">
        <f>N41</f>
        <v>440A136</v>
      </c>
      <c r="Y19" t="str">
        <f t="shared" si="0"/>
        <v>0x0440A136,</v>
      </c>
      <c r="Z19" s="32"/>
    </row>
    <row r="20" spans="1:26">
      <c r="A20" s="2" t="s">
        <v>66</v>
      </c>
      <c r="B20" s="2" t="s">
        <v>67</v>
      </c>
      <c r="C20" s="3" t="s">
        <v>19</v>
      </c>
      <c r="D20" s="2"/>
      <c r="E20" s="2" t="s">
        <v>48</v>
      </c>
      <c r="F20" s="2" t="s">
        <v>48</v>
      </c>
      <c r="G20" s="2" t="s">
        <v>48</v>
      </c>
      <c r="H20" s="2" t="s">
        <v>48</v>
      </c>
      <c r="I20" s="2" t="s">
        <v>48</v>
      </c>
      <c r="J20" s="2" t="s">
        <v>48</v>
      </c>
      <c r="K20" s="2" t="s">
        <v>48</v>
      </c>
      <c r="L20" s="2" t="s">
        <v>48</v>
      </c>
      <c r="M20" s="2" t="s">
        <v>48</v>
      </c>
      <c r="N20" s="2" t="s">
        <v>48</v>
      </c>
      <c r="O20" s="2" t="s">
        <v>48</v>
      </c>
      <c r="P20" s="2" t="s">
        <v>48</v>
      </c>
      <c r="Q20" s="2" t="s">
        <v>48</v>
      </c>
      <c r="R20" s="2" t="s">
        <v>48</v>
      </c>
      <c r="S20" s="2" t="s">
        <v>48</v>
      </c>
      <c r="V20" s="30">
        <v>6</v>
      </c>
      <c r="W20" s="29" t="s">
        <v>13</v>
      </c>
      <c r="X20" s="31" t="str">
        <f>M43</f>
        <v>F03A7004</v>
      </c>
      <c r="Y20" t="str">
        <f t="shared" si="0"/>
        <v>0xF03A7004,</v>
      </c>
      <c r="Z20" s="32" t="s">
        <v>68</v>
      </c>
    </row>
    <row r="21" spans="1:26">
      <c r="A21" s="2" t="s">
        <v>69</v>
      </c>
      <c r="B21" s="2" t="s">
        <v>70</v>
      </c>
      <c r="C21" s="3" t="s">
        <v>48</v>
      </c>
      <c r="D21" s="2"/>
      <c r="E21" s="2" t="s">
        <v>51</v>
      </c>
      <c r="F21" s="2" t="s">
        <v>51</v>
      </c>
      <c r="G21" s="2" t="s">
        <v>51</v>
      </c>
      <c r="H21" s="2" t="s">
        <v>51</v>
      </c>
      <c r="I21" s="2" t="s">
        <v>51</v>
      </c>
      <c r="J21" s="2" t="s">
        <v>51</v>
      </c>
      <c r="K21" s="2" t="s">
        <v>51</v>
      </c>
      <c r="L21" s="2" t="s">
        <v>51</v>
      </c>
      <c r="M21" s="2" t="s">
        <v>51</v>
      </c>
      <c r="N21" s="2" t="s">
        <v>51</v>
      </c>
      <c r="O21" s="2" t="s">
        <v>51</v>
      </c>
      <c r="P21" s="2" t="s">
        <v>51</v>
      </c>
      <c r="Q21" s="2" t="s">
        <v>51</v>
      </c>
      <c r="R21" s="2" t="s">
        <v>51</v>
      </c>
      <c r="S21" s="2" t="s">
        <v>51</v>
      </c>
      <c r="V21" s="30"/>
      <c r="W21" s="29" t="s">
        <v>16</v>
      </c>
      <c r="X21" s="31" t="str">
        <f>M42</f>
        <v>48BF4F4D</v>
      </c>
      <c r="Y21" t="str">
        <f t="shared" si="0"/>
        <v>0x48BF4F4D,</v>
      </c>
      <c r="Z21" s="32"/>
    </row>
    <row r="22" spans="1:26">
      <c r="A22" s="2" t="s">
        <v>71</v>
      </c>
      <c r="B22" s="2" t="s">
        <v>72</v>
      </c>
      <c r="C22" s="3" t="s">
        <v>48</v>
      </c>
      <c r="D22" s="2"/>
      <c r="E22" s="2" t="s">
        <v>25</v>
      </c>
      <c r="F22" s="2" t="s">
        <v>25</v>
      </c>
      <c r="G22" s="2" t="s">
        <v>25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V22" s="30"/>
      <c r="W22" s="29" t="s">
        <v>20</v>
      </c>
      <c r="X22" s="31" t="str">
        <f>M41</f>
        <v>440A17A</v>
      </c>
      <c r="Y22" t="str">
        <f t="shared" si="0"/>
        <v>0x0440A17A,</v>
      </c>
      <c r="Z22" s="32"/>
    </row>
    <row r="23" spans="1:26">
      <c r="A23" s="2" t="s">
        <v>73</v>
      </c>
      <c r="B23" s="2" t="s">
        <v>74</v>
      </c>
      <c r="C23" s="3" t="s">
        <v>11</v>
      </c>
      <c r="D23" s="2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0">
        <v>7</v>
      </c>
      <c r="W23" s="29" t="s">
        <v>13</v>
      </c>
      <c r="X23" s="31" t="str">
        <f>L43</f>
        <v>F03A7004</v>
      </c>
      <c r="Y23" t="str">
        <f t="shared" si="0"/>
        <v>0xF03A7004,</v>
      </c>
      <c r="Z23" s="32" t="s">
        <v>75</v>
      </c>
    </row>
    <row r="24" spans="1:26">
      <c r="A24" s="2" t="s">
        <v>76</v>
      </c>
      <c r="B24" s="2" t="s">
        <v>77</v>
      </c>
      <c r="C24" s="3" t="s">
        <v>11</v>
      </c>
      <c r="D24" s="2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0"/>
      <c r="W24" s="29" t="s">
        <v>16</v>
      </c>
      <c r="X24" s="31" t="str">
        <f>L42</f>
        <v>48BF4F4D</v>
      </c>
      <c r="Y24" t="str">
        <f t="shared" si="0"/>
        <v>0x48BF4F4D,</v>
      </c>
      <c r="Z24" s="32"/>
    </row>
    <row r="25" spans="1:26">
      <c r="A25" s="2" t="s">
        <v>78</v>
      </c>
      <c r="B25" s="2" t="s">
        <v>79</v>
      </c>
      <c r="C25" s="3" t="s">
        <v>48</v>
      </c>
      <c r="D25" s="2"/>
      <c r="E25" s="2" t="s">
        <v>51</v>
      </c>
      <c r="F25" s="2" t="s">
        <v>51</v>
      </c>
      <c r="G25" s="2" t="s">
        <v>51</v>
      </c>
      <c r="H25" s="2" t="s">
        <v>51</v>
      </c>
      <c r="I25" s="2" t="s">
        <v>51</v>
      </c>
      <c r="J25" s="2" t="s">
        <v>51</v>
      </c>
      <c r="K25" s="2" t="s">
        <v>51</v>
      </c>
      <c r="L25" s="2" t="s">
        <v>51</v>
      </c>
      <c r="M25" s="2" t="s">
        <v>51</v>
      </c>
      <c r="N25" s="2" t="s">
        <v>51</v>
      </c>
      <c r="O25" s="2" t="s">
        <v>51</v>
      </c>
      <c r="P25" s="2" t="s">
        <v>51</v>
      </c>
      <c r="Q25" s="2" t="s">
        <v>51</v>
      </c>
      <c r="R25" s="2" t="s">
        <v>51</v>
      </c>
      <c r="S25" s="2" t="s">
        <v>51</v>
      </c>
      <c r="V25" s="30"/>
      <c r="W25" s="29" t="s">
        <v>20</v>
      </c>
      <c r="X25" s="31" t="str">
        <f>L41</f>
        <v>440A1DA</v>
      </c>
      <c r="Y25" t="str">
        <f t="shared" si="0"/>
        <v>0x0440A1DA,</v>
      </c>
      <c r="Z25" s="32"/>
    </row>
    <row r="26" spans="1:26">
      <c r="A26" s="2" t="s">
        <v>80</v>
      </c>
      <c r="B26" s="2" t="s">
        <v>81</v>
      </c>
      <c r="C26" s="3" t="s">
        <v>48</v>
      </c>
      <c r="D26" s="2"/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V26" s="30">
        <v>8</v>
      </c>
      <c r="W26" s="29" t="s">
        <v>13</v>
      </c>
      <c r="X26" s="31" t="str">
        <f>K43</f>
        <v>F03A7005</v>
      </c>
      <c r="Y26" t="str">
        <f t="shared" si="0"/>
        <v>0xF03A7005,</v>
      </c>
      <c r="Z26" s="32" t="s">
        <v>82</v>
      </c>
    </row>
    <row r="27" spans="1:26">
      <c r="A27" s="2" t="s">
        <v>83</v>
      </c>
      <c r="B27" s="2" t="s">
        <v>84</v>
      </c>
      <c r="C27" s="3" t="s">
        <v>19</v>
      </c>
      <c r="D27" s="2"/>
      <c r="E27" s="2" t="s">
        <v>48</v>
      </c>
      <c r="F27" s="2" t="s">
        <v>48</v>
      </c>
      <c r="G27" s="2" t="s">
        <v>48</v>
      </c>
      <c r="H27" s="2" t="s">
        <v>48</v>
      </c>
      <c r="I27" s="2" t="s">
        <v>48</v>
      </c>
      <c r="J27" s="2" t="s">
        <v>48</v>
      </c>
      <c r="K27" s="2" t="s">
        <v>48</v>
      </c>
      <c r="L27" s="2" t="s">
        <v>48</v>
      </c>
      <c r="M27" s="2" t="s">
        <v>48</v>
      </c>
      <c r="N27" s="2" t="s">
        <v>48</v>
      </c>
      <c r="O27" s="2" t="s">
        <v>48</v>
      </c>
      <c r="P27" s="2" t="s">
        <v>48</v>
      </c>
      <c r="Q27" s="2" t="s">
        <v>48</v>
      </c>
      <c r="R27" s="2" t="s">
        <v>48</v>
      </c>
      <c r="S27" s="2" t="s">
        <v>48</v>
      </c>
      <c r="V27" s="30"/>
      <c r="W27" s="29" t="s">
        <v>16</v>
      </c>
      <c r="X27" s="31" t="str">
        <f>K42</f>
        <v>48BF4F4D</v>
      </c>
      <c r="Y27" t="str">
        <f t="shared" si="0"/>
        <v>0x48BF4F4D,</v>
      </c>
      <c r="Z27" s="32"/>
    </row>
    <row r="28" spans="1:26">
      <c r="A28" s="2" t="s">
        <v>85</v>
      </c>
      <c r="B28" s="2" t="s">
        <v>86</v>
      </c>
      <c r="C28" s="3" t="s">
        <v>11</v>
      </c>
      <c r="D28" s="2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0"/>
      <c r="W28" s="29" t="s">
        <v>20</v>
      </c>
      <c r="X28" s="31" t="str">
        <f>K41</f>
        <v>440A196</v>
      </c>
      <c r="Y28" t="str">
        <f t="shared" si="0"/>
        <v>0x0440A196,</v>
      </c>
      <c r="Z28" s="32"/>
    </row>
    <row r="29" spans="1:26">
      <c r="A29" s="2" t="s">
        <v>87</v>
      </c>
      <c r="B29" s="2" t="s">
        <v>88</v>
      </c>
      <c r="C29" s="3" t="s">
        <v>19</v>
      </c>
      <c r="D29" s="2"/>
      <c r="E29" s="2" t="s">
        <v>48</v>
      </c>
      <c r="F29" s="2" t="s">
        <v>48</v>
      </c>
      <c r="G29" s="2" t="s">
        <v>48</v>
      </c>
      <c r="H29" s="2" t="s">
        <v>48</v>
      </c>
      <c r="I29" s="2" t="s">
        <v>48</v>
      </c>
      <c r="J29" s="2" t="s">
        <v>48</v>
      </c>
      <c r="K29" s="2" t="s">
        <v>48</v>
      </c>
      <c r="L29" s="2" t="s">
        <v>48</v>
      </c>
      <c r="M29" s="2" t="s">
        <v>48</v>
      </c>
      <c r="N29" s="2" t="s">
        <v>48</v>
      </c>
      <c r="O29" s="2" t="s">
        <v>48</v>
      </c>
      <c r="P29" s="2" t="s">
        <v>48</v>
      </c>
      <c r="Q29" s="2" t="s">
        <v>48</v>
      </c>
      <c r="R29" s="2" t="s">
        <v>48</v>
      </c>
      <c r="S29" s="2" t="s">
        <v>48</v>
      </c>
      <c r="V29" s="30">
        <v>9</v>
      </c>
      <c r="W29" s="29" t="s">
        <v>13</v>
      </c>
      <c r="X29" s="31" t="str">
        <f>J43</f>
        <v>F03A700C</v>
      </c>
      <c r="Y29" t="str">
        <f t="shared" si="0"/>
        <v>0xF03A700C,</v>
      </c>
      <c r="Z29" s="32" t="s">
        <v>89</v>
      </c>
    </row>
    <row r="30" spans="1:26">
      <c r="A30" s="2" t="s">
        <v>90</v>
      </c>
      <c r="B30" s="2" t="s">
        <v>91</v>
      </c>
      <c r="C30" s="3" t="s">
        <v>19</v>
      </c>
      <c r="D30" s="2"/>
      <c r="E30" s="2" t="s">
        <v>48</v>
      </c>
      <c r="F30" s="2" t="s">
        <v>48</v>
      </c>
      <c r="G30" s="2" t="s">
        <v>48</v>
      </c>
      <c r="H30" s="2" t="s">
        <v>48</v>
      </c>
      <c r="I30" s="2" t="s">
        <v>48</v>
      </c>
      <c r="J30" s="2" t="s">
        <v>48</v>
      </c>
      <c r="K30" s="2" t="s">
        <v>48</v>
      </c>
      <c r="L30" s="2" t="s">
        <v>48</v>
      </c>
      <c r="M30" s="2" t="s">
        <v>48</v>
      </c>
      <c r="N30" s="2" t="s">
        <v>48</v>
      </c>
      <c r="O30" s="2" t="s">
        <v>48</v>
      </c>
      <c r="P30" s="2" t="s">
        <v>48</v>
      </c>
      <c r="Q30" s="2" t="s">
        <v>48</v>
      </c>
      <c r="R30" s="2" t="s">
        <v>48</v>
      </c>
      <c r="S30" s="2" t="s">
        <v>48</v>
      </c>
      <c r="V30" s="30"/>
      <c r="W30" s="29" t="s">
        <v>16</v>
      </c>
      <c r="X30" s="31" t="str">
        <f>J42</f>
        <v>48BF4F4D</v>
      </c>
      <c r="Y30" t="str">
        <f t="shared" si="0"/>
        <v>0x48BF4F4D,</v>
      </c>
      <c r="Z30" s="32"/>
    </row>
    <row r="31" spans="1:26">
      <c r="A31" s="2" t="s">
        <v>92</v>
      </c>
      <c r="B31" s="2" t="s">
        <v>93</v>
      </c>
      <c r="C31" s="3" t="s">
        <v>51</v>
      </c>
      <c r="D31" s="2"/>
      <c r="E31" s="2" t="s">
        <v>94</v>
      </c>
      <c r="F31" s="2" t="s">
        <v>94</v>
      </c>
      <c r="G31" s="2" t="s">
        <v>94</v>
      </c>
      <c r="H31" s="2" t="s">
        <v>94</v>
      </c>
      <c r="I31" s="2" t="s">
        <v>94</v>
      </c>
      <c r="J31" s="2" t="s">
        <v>94</v>
      </c>
      <c r="K31" s="2" t="s">
        <v>94</v>
      </c>
      <c r="L31" s="2" t="s">
        <v>94</v>
      </c>
      <c r="M31" s="2" t="s">
        <v>94</v>
      </c>
      <c r="N31" s="2" t="s">
        <v>94</v>
      </c>
      <c r="O31" s="2" t="s">
        <v>94</v>
      </c>
      <c r="P31" s="2" t="s">
        <v>94</v>
      </c>
      <c r="Q31" s="2" t="s">
        <v>94</v>
      </c>
      <c r="R31" s="2" t="s">
        <v>94</v>
      </c>
      <c r="S31" s="2" t="s">
        <v>94</v>
      </c>
      <c r="V31" s="30"/>
      <c r="W31" s="29" t="s">
        <v>20</v>
      </c>
      <c r="X31" s="31" t="str">
        <f>J41</f>
        <v>440A14E</v>
      </c>
      <c r="Y31" t="str">
        <f t="shared" si="0"/>
        <v>0x0440A14E,</v>
      </c>
      <c r="Z31" s="32"/>
    </row>
    <row r="32" spans="1:26">
      <c r="A32" s="2" t="s">
        <v>95</v>
      </c>
      <c r="B32" s="2" t="s">
        <v>96</v>
      </c>
      <c r="C32" s="3" t="s">
        <v>25</v>
      </c>
      <c r="D32" s="2"/>
      <c r="E32" s="7" t="s">
        <v>97</v>
      </c>
      <c r="F32" s="2" t="s">
        <v>97</v>
      </c>
      <c r="G32" s="2" t="s">
        <v>98</v>
      </c>
      <c r="H32" s="2" t="s">
        <v>98</v>
      </c>
      <c r="I32" s="2" t="s">
        <v>98</v>
      </c>
      <c r="J32" s="2" t="s">
        <v>98</v>
      </c>
      <c r="K32" s="2" t="s">
        <v>98</v>
      </c>
      <c r="L32" s="2" t="s">
        <v>98</v>
      </c>
      <c r="M32" s="2" t="s">
        <v>98</v>
      </c>
      <c r="N32" s="2" t="s">
        <v>98</v>
      </c>
      <c r="O32" s="2" t="s">
        <v>98</v>
      </c>
      <c r="P32" s="2" t="s">
        <v>98</v>
      </c>
      <c r="Q32" s="2" t="s">
        <v>98</v>
      </c>
      <c r="R32" s="2" t="s">
        <v>98</v>
      </c>
      <c r="S32" s="2" t="s">
        <v>98</v>
      </c>
      <c r="V32" s="30" t="s">
        <v>99</v>
      </c>
      <c r="W32" s="29" t="s">
        <v>13</v>
      </c>
      <c r="X32" s="31" t="str">
        <f>I43</f>
        <v>F03A700C</v>
      </c>
      <c r="Y32" t="str">
        <f t="shared" si="0"/>
        <v>0xF03A700C,</v>
      </c>
      <c r="Z32" s="32" t="s">
        <v>100</v>
      </c>
    </row>
    <row r="33" spans="1:26">
      <c r="A33" s="2" t="s">
        <v>101</v>
      </c>
      <c r="B33" s="2" t="s">
        <v>102</v>
      </c>
      <c r="C33" s="3" t="s">
        <v>48</v>
      </c>
      <c r="D33" s="2"/>
      <c r="E33" s="7" t="s">
        <v>36</v>
      </c>
      <c r="F33" s="2" t="s">
        <v>36</v>
      </c>
      <c r="G33" s="2" t="s">
        <v>19</v>
      </c>
      <c r="H33" s="2" t="s">
        <v>19</v>
      </c>
      <c r="I33" s="2" t="s">
        <v>19</v>
      </c>
      <c r="J33" s="2" t="s">
        <v>19</v>
      </c>
      <c r="K33" s="2" t="s">
        <v>19</v>
      </c>
      <c r="L33" s="2" t="s">
        <v>19</v>
      </c>
      <c r="M33" s="2" t="s">
        <v>19</v>
      </c>
      <c r="N33" s="2" t="s">
        <v>19</v>
      </c>
      <c r="O33" s="2" t="s">
        <v>19</v>
      </c>
      <c r="P33" s="2" t="s">
        <v>19</v>
      </c>
      <c r="Q33" s="2" t="s">
        <v>19</v>
      </c>
      <c r="R33" s="2" t="s">
        <v>19</v>
      </c>
      <c r="S33" s="2" t="s">
        <v>19</v>
      </c>
      <c r="V33" s="30"/>
      <c r="W33" s="29" t="s">
        <v>16</v>
      </c>
      <c r="X33" s="31" t="str">
        <f>I42</f>
        <v>48BF4F4D</v>
      </c>
      <c r="Y33" t="str">
        <f t="shared" si="0"/>
        <v>0x48BF4F4D,</v>
      </c>
      <c r="Z33" s="32"/>
    </row>
    <row r="34" spans="1:26">
      <c r="A34" s="2" t="s">
        <v>103</v>
      </c>
      <c r="B34" s="2" t="s">
        <v>97</v>
      </c>
      <c r="C34" s="3" t="s">
        <v>11</v>
      </c>
      <c r="D34" s="2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0"/>
      <c r="W34" s="29" t="s">
        <v>20</v>
      </c>
      <c r="X34" s="31" t="str">
        <f>I41</f>
        <v>440A192</v>
      </c>
      <c r="Y34" t="str">
        <f t="shared" si="0"/>
        <v>0x0440A192,</v>
      </c>
      <c r="Z34" s="32"/>
    </row>
    <row r="35" spans="1:26">
      <c r="A35" s="2" t="s">
        <v>104</v>
      </c>
      <c r="B35" s="2" t="s">
        <v>105</v>
      </c>
      <c r="C35" s="3" t="s">
        <v>48</v>
      </c>
      <c r="D35" s="2"/>
      <c r="E35" s="2" t="s">
        <v>98</v>
      </c>
      <c r="F35" s="2" t="s">
        <v>98</v>
      </c>
      <c r="G35" s="2" t="s">
        <v>98</v>
      </c>
      <c r="H35" s="2" t="s">
        <v>98</v>
      </c>
      <c r="I35" s="2" t="s">
        <v>98</v>
      </c>
      <c r="J35" s="2" t="s">
        <v>98</v>
      </c>
      <c r="K35" s="2" t="s">
        <v>98</v>
      </c>
      <c r="L35" s="2" t="s">
        <v>98</v>
      </c>
      <c r="M35" s="2" t="s">
        <v>98</v>
      </c>
      <c r="N35" s="2" t="s">
        <v>98</v>
      </c>
      <c r="O35" s="2" t="s">
        <v>98</v>
      </c>
      <c r="P35" s="2" t="s">
        <v>98</v>
      </c>
      <c r="Q35" s="2" t="s">
        <v>98</v>
      </c>
      <c r="R35" s="2" t="s">
        <v>98</v>
      </c>
      <c r="S35" s="2" t="s">
        <v>98</v>
      </c>
      <c r="V35" s="30" t="s">
        <v>106</v>
      </c>
      <c r="W35" s="29" t="s">
        <v>13</v>
      </c>
      <c r="X35" s="31" t="str">
        <f>H43</f>
        <v>F03A700F</v>
      </c>
      <c r="Y35" t="str">
        <f t="shared" si="0"/>
        <v>0xF03A700F,</v>
      </c>
      <c r="Z35" s="32" t="s">
        <v>107</v>
      </c>
    </row>
    <row r="36" spans="1:26">
      <c r="A36" s="4" t="s">
        <v>108</v>
      </c>
      <c r="B36" s="4" t="s">
        <v>109</v>
      </c>
      <c r="C36" s="5" t="s">
        <v>51</v>
      </c>
      <c r="D36" s="4"/>
      <c r="E36" s="4" t="s">
        <v>12</v>
      </c>
      <c r="F36" s="4" t="s">
        <v>12</v>
      </c>
      <c r="G36" s="4" t="s">
        <v>12</v>
      </c>
      <c r="H36" s="4" t="s">
        <v>12</v>
      </c>
      <c r="I36" s="4" t="s">
        <v>12</v>
      </c>
      <c r="J36" s="4" t="s">
        <v>12</v>
      </c>
      <c r="K36" s="4" t="s">
        <v>12</v>
      </c>
      <c r="L36" s="4" t="s">
        <v>12</v>
      </c>
      <c r="M36" s="4" t="s">
        <v>12</v>
      </c>
      <c r="N36" s="4" t="s">
        <v>12</v>
      </c>
      <c r="O36" s="4" t="s">
        <v>12</v>
      </c>
      <c r="P36" s="4" t="s">
        <v>12</v>
      </c>
      <c r="Q36" s="4" t="s">
        <v>12</v>
      </c>
      <c r="R36" s="4" t="s">
        <v>12</v>
      </c>
      <c r="S36" s="4" t="s">
        <v>12</v>
      </c>
      <c r="V36" s="30"/>
      <c r="W36" s="29" t="s">
        <v>16</v>
      </c>
      <c r="X36" s="31" t="str">
        <f>H42</f>
        <v>48BF4F4D</v>
      </c>
      <c r="Y36" t="str">
        <f t="shared" si="0"/>
        <v>0x48BF4F4D,</v>
      </c>
      <c r="Z36" s="32"/>
    </row>
    <row r="37" spans="1:26">
      <c r="A37" s="2" t="s">
        <v>110</v>
      </c>
      <c r="B37" s="2" t="s">
        <v>111</v>
      </c>
      <c r="C37" s="3" t="s">
        <v>51</v>
      </c>
      <c r="D37" s="2"/>
      <c r="E37" s="2" t="s">
        <v>97</v>
      </c>
      <c r="F37" s="2" t="s">
        <v>97</v>
      </c>
      <c r="G37" s="2" t="s">
        <v>97</v>
      </c>
      <c r="H37" s="2" t="s">
        <v>97</v>
      </c>
      <c r="I37" s="2" t="s">
        <v>45</v>
      </c>
      <c r="J37" s="2" t="s">
        <v>45</v>
      </c>
      <c r="K37" s="2" t="s">
        <v>36</v>
      </c>
      <c r="L37" s="2" t="s">
        <v>25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  <c r="V37" s="30"/>
      <c r="W37" s="29" t="s">
        <v>20</v>
      </c>
      <c r="X37" s="31" t="str">
        <f>H41</f>
        <v>440A152</v>
      </c>
      <c r="Y37" t="str">
        <f t="shared" si="0"/>
        <v>0x0440A152,</v>
      </c>
      <c r="Z37" s="32"/>
    </row>
    <row r="38" spans="22:26">
      <c r="V38" s="30" t="s">
        <v>112</v>
      </c>
      <c r="W38" s="29" t="s">
        <v>13</v>
      </c>
      <c r="X38" s="31" t="str">
        <f>G43</f>
        <v>F03A700F</v>
      </c>
      <c r="Y38" t="str">
        <f t="shared" si="0"/>
        <v>0xF03A700F,</v>
      </c>
      <c r="Z38" s="32" t="s">
        <v>113</v>
      </c>
    </row>
    <row r="39" spans="1:26">
      <c r="A39" t="s">
        <v>114</v>
      </c>
      <c r="V39" s="30"/>
      <c r="W39" s="29" t="s">
        <v>16</v>
      </c>
      <c r="X39" s="31" t="str">
        <f>G42</f>
        <v>48BF4F4D</v>
      </c>
      <c r="Y39" t="str">
        <f t="shared" si="0"/>
        <v>0x48BF4F4D,</v>
      </c>
      <c r="Z39" s="32"/>
    </row>
    <row r="40" spans="1:26">
      <c r="A40" s="8" t="s">
        <v>115</v>
      </c>
      <c r="B40" s="8"/>
      <c r="C40" s="8"/>
      <c r="D40" s="8">
        <v>22</v>
      </c>
      <c r="E40" s="8">
        <v>20</v>
      </c>
      <c r="F40" s="8">
        <v>18</v>
      </c>
      <c r="G40" s="8">
        <v>16</v>
      </c>
      <c r="H40" s="8">
        <v>14</v>
      </c>
      <c r="I40" s="8">
        <v>12</v>
      </c>
      <c r="J40" s="8">
        <v>10</v>
      </c>
      <c r="K40" s="8">
        <v>8</v>
      </c>
      <c r="L40" s="8">
        <v>6</v>
      </c>
      <c r="M40" s="8">
        <v>4</v>
      </c>
      <c r="N40" s="8">
        <v>2</v>
      </c>
      <c r="O40" s="8">
        <v>0</v>
      </c>
      <c r="P40" s="8">
        <v>-2</v>
      </c>
      <c r="Q40" s="8">
        <v>-4</v>
      </c>
      <c r="R40" s="8">
        <v>-6</v>
      </c>
      <c r="S40" s="8">
        <v>-8</v>
      </c>
      <c r="V40" s="30"/>
      <c r="W40" s="29" t="s">
        <v>20</v>
      </c>
      <c r="X40" s="31" t="str">
        <f>G41</f>
        <v>440A1B2</v>
      </c>
      <c r="Y40" t="str">
        <f t="shared" si="0"/>
        <v>0x0440A1B2,</v>
      </c>
      <c r="Z40" s="32"/>
    </row>
    <row r="41" spans="1:26">
      <c r="A41" s="9" t="s">
        <v>116</v>
      </c>
      <c r="B41" s="10"/>
      <c r="C41" s="10"/>
      <c r="D41" s="11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1" t="str">
        <f t="shared" si="1"/>
        <v>440A1CE</v>
      </c>
      <c r="F41" s="11" t="str">
        <f t="shared" si="1"/>
        <v>440A14E</v>
      </c>
      <c r="G41" s="11" t="str">
        <f t="shared" si="1"/>
        <v>440A1B2</v>
      </c>
      <c r="H41" s="11" t="str">
        <f t="shared" si="1"/>
        <v>440A152</v>
      </c>
      <c r="I41" s="11" t="str">
        <f t="shared" si="1"/>
        <v>440A192</v>
      </c>
      <c r="J41" s="11" t="str">
        <f t="shared" si="1"/>
        <v>440A14E</v>
      </c>
      <c r="K41" s="11" t="str">
        <f t="shared" si="1"/>
        <v>440A196</v>
      </c>
      <c r="L41" s="11" t="str">
        <f t="shared" si="1"/>
        <v>440A1DA</v>
      </c>
      <c r="M41" s="11" t="str">
        <f t="shared" si="1"/>
        <v>440A17A</v>
      </c>
      <c r="N41" s="11" t="str">
        <f t="shared" si="1"/>
        <v>440A136</v>
      </c>
      <c r="O41" s="11" t="str">
        <f t="shared" si="1"/>
        <v>440A14A</v>
      </c>
      <c r="P41" s="11" t="str">
        <f t="shared" si="1"/>
        <v>440A126</v>
      </c>
      <c r="Q41" s="11" t="str">
        <f t="shared" si="1"/>
        <v>440A0AE</v>
      </c>
      <c r="R41" s="11" t="str">
        <f t="shared" si="1"/>
        <v>440A076</v>
      </c>
      <c r="S41" s="11" t="str">
        <f t="shared" si="1"/>
        <v>440A056</v>
      </c>
      <c r="V41" s="30" t="s">
        <v>117</v>
      </c>
      <c r="W41" s="29" t="s">
        <v>13</v>
      </c>
      <c r="X41" s="31" t="str">
        <f>F43</f>
        <v>F07D700F</v>
      </c>
      <c r="Y41" t="str">
        <f t="shared" si="0"/>
        <v>0xF07D700F,</v>
      </c>
      <c r="Z41" s="32" t="s">
        <v>118</v>
      </c>
    </row>
    <row r="42" spans="1:26">
      <c r="A42" s="9" t="s">
        <v>119</v>
      </c>
      <c r="B42" s="10"/>
      <c r="C42" s="10"/>
      <c r="D42" s="11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1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48BF4F4D</v>
      </c>
      <c r="F42" s="11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48BF4F4D</v>
      </c>
      <c r="G42" s="11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48BF4F4D</v>
      </c>
      <c r="H42" s="11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48BF4F4D</v>
      </c>
      <c r="I42" s="11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48BF4F4D</v>
      </c>
      <c r="J42" s="11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48BF4F4D</v>
      </c>
      <c r="K42" s="11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48BF4F4D</v>
      </c>
      <c r="L42" s="11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48BF4F4D</v>
      </c>
      <c r="M42" s="11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48BF4F4D</v>
      </c>
      <c r="N42" s="11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48BF4F4D</v>
      </c>
      <c r="O42" s="11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48BF4F4D</v>
      </c>
      <c r="P42" s="11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48BF4F4D</v>
      </c>
      <c r="Q42" s="11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48BF4F4D</v>
      </c>
      <c r="R42" s="11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48BF4F4D</v>
      </c>
      <c r="S42" s="11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48BF4F4D</v>
      </c>
      <c r="V42" s="30"/>
      <c r="W42" s="29" t="s">
        <v>16</v>
      </c>
      <c r="X42" s="31" t="str">
        <f>F42</f>
        <v>48BF4F4D</v>
      </c>
      <c r="Y42" t="str">
        <f t="shared" si="0"/>
        <v>0x48BF4F4D,</v>
      </c>
      <c r="Z42" s="32"/>
    </row>
    <row r="43" spans="1:26">
      <c r="A43" s="9" t="s">
        <v>120</v>
      </c>
      <c r="B43" s="10"/>
      <c r="C43" s="10"/>
      <c r="D43" s="11" t="str">
        <f>DEC2HEX(D37+64*D36+POWER(2,12)*D35+POWER(2,15)*D34+POWER(2,16)*D33+POWER(2,19)*D32+POWER(2,23)*D31+POWER(2,29)*D30+POWER(2,31)*MOD(D29,$C29))</f>
        <v>0</v>
      </c>
      <c r="E43" s="11" t="str">
        <f>DEC2HEX(E37+64*E36+POWER(2,12)*E35+POWER(2,15)*E34+POWER(2,16)*E33+POWER(2,19)*E32+POWER(2,23)*E31+POWER(2,29)*E30+POWER(2,31)*MOD(E29,$C29))</f>
        <v>F07D700F</v>
      </c>
      <c r="F43" s="11" t="str">
        <f>DEC2HEX(F37+64*F36+POWER(2,12)*F35+POWER(2,15)*F34+POWER(2,16)*F33+POWER(2,19)*F32+POWER(2,23)*F31+POWER(2,29)*F30+POWER(2,31)*MOD(F29,$C29))</f>
        <v>F07D700F</v>
      </c>
      <c r="G43" s="11" t="str">
        <f>DEC2HEX(G37+64*G36+POWER(2,12)*G35+POWER(2,15)*G34+POWER(2,16)*G33+POWER(2,19)*G32+POWER(2,23)*G31+POWER(2,29)*G30+POWER(2,31)*MOD(G29,$C29))</f>
        <v>F03A700F</v>
      </c>
      <c r="H43" s="11" t="str">
        <f>DEC2HEX(H37+64*H36+POWER(2,12)*H35+POWER(2,15)*H34+POWER(2,16)*H33+POWER(2,19)*H32+POWER(2,23)*H31+POWER(2,29)*H30+POWER(2,31)*MOD(H29,$C29))</f>
        <v>F03A700F</v>
      </c>
      <c r="I43" s="11" t="str">
        <f>DEC2HEX(I37+64*I36+POWER(2,12)*I35+POWER(2,15)*I34+POWER(2,16)*I33+POWER(2,19)*I32+POWER(2,23)*I31+POWER(2,29)*I30+POWER(2,31)*MOD(I29,$C29))</f>
        <v>F03A700C</v>
      </c>
      <c r="J43" s="11" t="str">
        <f>DEC2HEX(J37+64*J36+POWER(2,12)*J35+POWER(2,15)*J34+POWER(2,16)*J33+POWER(2,19)*J32+POWER(2,23)*J31+POWER(2,29)*J30+POWER(2,31)*MOD(J29,$C29))</f>
        <v>F03A700C</v>
      </c>
      <c r="K43" s="11" t="str">
        <f>DEC2HEX(K37+64*K36+POWER(2,12)*K35+POWER(2,15)*K34+POWER(2,16)*K33+POWER(2,19)*K32+POWER(2,23)*K31+POWER(2,29)*K30+POWER(2,31)*MOD(K29,$C29))</f>
        <v>F03A7005</v>
      </c>
      <c r="L43" s="11" t="str">
        <f>DEC2HEX(L37+64*L36+POWER(2,12)*L35+POWER(2,15)*L34+POWER(2,16)*L33+POWER(2,19)*L32+POWER(2,23)*L31+POWER(2,29)*L30+POWER(2,31)*MOD(L29,$C29))</f>
        <v>F03A7004</v>
      </c>
      <c r="M43" s="11" t="str">
        <f>DEC2HEX(M37+64*M36+POWER(2,12)*M35+POWER(2,15)*M34+POWER(2,16)*M33+POWER(2,19)*M32+POWER(2,23)*M31+POWER(2,29)*M30+POWER(2,31)*MOD(M29,$C29))</f>
        <v>F03A7004</v>
      </c>
      <c r="N43" s="11" t="str">
        <f>DEC2HEX(N37+64*N36+POWER(2,12)*N35+POWER(2,15)*N34+POWER(2,16)*N33+POWER(2,19)*N32+POWER(2,23)*N31+POWER(2,29)*N30+POWER(2,31)*MOD(N29,$C29))</f>
        <v>F03A7004</v>
      </c>
      <c r="O43" s="11" t="str">
        <f>DEC2HEX(O37+64*O36+POWER(2,12)*O35+POWER(2,15)*O34+POWER(2,16)*O33+POWER(2,19)*O32+POWER(2,23)*O31+POWER(2,29)*O30+POWER(2,31)*MOD(O29,$C29))</f>
        <v>F03A7004</v>
      </c>
      <c r="P43" s="11" t="str">
        <f>DEC2HEX(P37+64*P36+POWER(2,12)*P35+POWER(2,15)*P34+POWER(2,16)*P33+POWER(2,19)*P32+POWER(2,23)*P31+POWER(2,29)*P30+POWER(2,31)*MOD(P29,$C29))</f>
        <v>F03A7004</v>
      </c>
      <c r="Q43" s="11" t="str">
        <f>DEC2HEX(Q37+64*Q36+POWER(2,12)*Q35+POWER(2,15)*Q34+POWER(2,16)*Q33+POWER(2,19)*Q32+POWER(2,23)*Q31+POWER(2,29)*Q30+POWER(2,31)*MOD(Q29,$C29))</f>
        <v>F03A7004</v>
      </c>
      <c r="R43" s="11" t="str">
        <f>DEC2HEX(R37+64*R36+POWER(2,12)*R35+POWER(2,15)*R34+POWER(2,16)*R33+POWER(2,19)*R32+POWER(2,23)*R31+POWER(2,29)*R30+POWER(2,31)*MOD(R29,$C29))</f>
        <v>F03A7004</v>
      </c>
      <c r="S43" s="11" t="str">
        <f>DEC2HEX(S37+64*S36+POWER(2,12)*S35+POWER(2,15)*S34+POWER(2,16)*S33+POWER(2,19)*S32+POWER(2,23)*S31+POWER(2,29)*S30+POWER(2,31)*MOD(S29,$C29))</f>
        <v>F03A7004</v>
      </c>
      <c r="V43" s="30"/>
      <c r="W43" s="29" t="s">
        <v>20</v>
      </c>
      <c r="X43" s="31" t="str">
        <f>F41</f>
        <v>440A14E</v>
      </c>
      <c r="Y43" t="str">
        <f t="shared" si="0"/>
        <v>0x0440A14E,</v>
      </c>
      <c r="Z43" s="32"/>
    </row>
    <row r="44" spans="4:26"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V44" s="30" t="s">
        <v>121</v>
      </c>
      <c r="W44" s="29" t="s">
        <v>13</v>
      </c>
      <c r="X44" s="31" t="str">
        <f>E43</f>
        <v>F07D700F</v>
      </c>
      <c r="Y44" t="str">
        <f t="shared" si="0"/>
        <v>0xF07D700F,</v>
      </c>
      <c r="Z44" s="32" t="s">
        <v>122</v>
      </c>
    </row>
    <row r="45" spans="1:26">
      <c r="A45" s="13" t="s">
        <v>123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V45" s="30"/>
      <c r="W45" s="29" t="s">
        <v>16</v>
      </c>
      <c r="X45" s="31" t="str">
        <f>E42</f>
        <v>48BF4F4D</v>
      </c>
      <c r="Y45" t="str">
        <f t="shared" si="0"/>
        <v>0x48BF4F4D,</v>
      </c>
      <c r="Z45" s="32"/>
    </row>
    <row r="46" spans="2:26">
      <c r="B46" s="13"/>
      <c r="C46" s="13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V46" s="30"/>
      <c r="W46" s="29" t="s">
        <v>20</v>
      </c>
      <c r="X46" s="31" t="str">
        <f>E41</f>
        <v>440A1CE</v>
      </c>
      <c r="Y46" t="str">
        <f t="shared" si="0"/>
        <v>0x0440A1CE,</v>
      </c>
      <c r="Z46" s="32"/>
    </row>
    <row r="47" spans="1:26">
      <c r="A47" s="14"/>
      <c r="B47" s="15" t="s">
        <v>124</v>
      </c>
      <c r="C47" s="15" t="s">
        <v>125</v>
      </c>
      <c r="D47" s="17"/>
      <c r="E47" s="23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V47" s="30" t="s">
        <v>126</v>
      </c>
      <c r="W47" s="29" t="s">
        <v>13</v>
      </c>
      <c r="X47" s="31" t="str">
        <f>D43</f>
        <v>0</v>
      </c>
      <c r="Y47" t="str">
        <f t="shared" si="0"/>
        <v>0x00000000,</v>
      </c>
      <c r="Z47" s="32" t="s">
        <v>127</v>
      </c>
    </row>
    <row r="48" spans="1:26">
      <c r="A48" s="14" t="s">
        <v>34</v>
      </c>
      <c r="B48" s="19">
        <v>15</v>
      </c>
      <c r="C48" s="19">
        <v>7</v>
      </c>
      <c r="D48" s="20"/>
      <c r="E48" s="37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V48" s="29"/>
      <c r="W48" s="29" t="s">
        <v>16</v>
      </c>
      <c r="X48" s="31" t="str">
        <f>D42</f>
        <v>0</v>
      </c>
      <c r="Y48" t="str">
        <f t="shared" si="0"/>
        <v>0x00000000,</v>
      </c>
      <c r="Z48" s="32"/>
    </row>
    <row r="49" spans="2:26">
      <c r="B49" s="20"/>
      <c r="C49" s="20"/>
      <c r="D49" s="20"/>
      <c r="E49" s="37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V49" s="29"/>
      <c r="W49" s="29" t="s">
        <v>20</v>
      </c>
      <c r="X49" s="31" t="str">
        <f>D41</f>
        <v>0</v>
      </c>
      <c r="Y49" t="str">
        <f t="shared" si="0"/>
        <v>0x00000000,</v>
      </c>
      <c r="Z49" s="32"/>
    </row>
    <row r="50" spans="2:5">
      <c r="B50" s="20"/>
      <c r="C50" s="20"/>
      <c r="D50" s="20"/>
      <c r="E50" s="37"/>
    </row>
    <row r="51" spans="1:4">
      <c r="A51" s="13" t="s">
        <v>128</v>
      </c>
      <c r="B51" s="13"/>
      <c r="C51" s="13"/>
      <c r="D51" s="13"/>
    </row>
    <row r="52" spans="1:5">
      <c r="A52" s="23" t="s">
        <v>129</v>
      </c>
      <c r="B52" s="24" t="s">
        <v>130</v>
      </c>
      <c r="C52" s="24" t="s">
        <v>131</v>
      </c>
      <c r="D52" s="24"/>
      <c r="E52" s="22"/>
    </row>
    <row r="53" spans="1:5">
      <c r="A53" s="23"/>
      <c r="B53" s="24"/>
      <c r="C53" s="24"/>
      <c r="D53" s="24"/>
      <c r="E53" s="22"/>
    </row>
    <row r="54" spans="1:5">
      <c r="A54" s="23"/>
      <c r="B54" s="24"/>
      <c r="C54" s="24"/>
      <c r="D54" s="24"/>
      <c r="E54" s="22"/>
    </row>
    <row r="55" spans="1:5">
      <c r="A55" s="23"/>
      <c r="B55" s="24"/>
      <c r="C55" s="24"/>
      <c r="D55" s="24"/>
      <c r="E55" s="22"/>
    </row>
    <row r="56" spans="1:5">
      <c r="A56" s="23"/>
      <c r="B56" s="24"/>
      <c r="C56" s="24"/>
      <c r="D56" s="24"/>
      <c r="E56" s="22"/>
    </row>
    <row r="57" spans="1:5">
      <c r="A57" s="23"/>
      <c r="B57" s="24"/>
      <c r="C57" s="25"/>
      <c r="D57" s="25"/>
      <c r="E57" s="22"/>
    </row>
    <row r="58" spans="1:5">
      <c r="A58" s="23"/>
      <c r="B58" s="24"/>
      <c r="C58" s="24"/>
      <c r="D58" s="24"/>
      <c r="E58" s="22"/>
    </row>
    <row r="59" spans="1:4">
      <c r="A59" s="17"/>
      <c r="B59" s="13"/>
      <c r="C59" s="13"/>
      <c r="D59" s="13"/>
    </row>
    <row r="60" spans="1:4">
      <c r="A60" s="33"/>
      <c r="B60" s="34"/>
      <c r="C60" s="34"/>
      <c r="D60" s="34"/>
    </row>
    <row r="61" spans="1:4">
      <c r="A61" s="33"/>
      <c r="B61" s="36"/>
      <c r="C61" s="36"/>
      <c r="D61" s="38"/>
    </row>
    <row r="62" spans="1:4">
      <c r="A62" s="33"/>
      <c r="B62" s="34"/>
      <c r="C62" s="34"/>
      <c r="D62" s="34"/>
    </row>
    <row r="63" spans="1:4">
      <c r="A63" s="33"/>
      <c r="B63" s="34"/>
      <c r="C63" s="34"/>
      <c r="D63" s="34"/>
    </row>
    <row r="64" spans="1:4">
      <c r="A64" s="33"/>
      <c r="B64" s="34"/>
      <c r="C64" s="34"/>
      <c r="D64" s="34"/>
    </row>
    <row r="65" spans="1:5">
      <c r="A65" s="23"/>
      <c r="B65" s="24"/>
      <c r="C65" s="24"/>
      <c r="D65" s="24"/>
      <c r="E65" s="12"/>
    </row>
    <row r="66" spans="1:5">
      <c r="A66" s="23"/>
      <c r="B66" s="24"/>
      <c r="C66" s="24"/>
      <c r="D66" s="24"/>
      <c r="E66" s="12"/>
    </row>
    <row r="67" spans="1:5">
      <c r="A67" s="23"/>
      <c r="B67" s="24"/>
      <c r="C67" s="24"/>
      <c r="D67" s="24"/>
      <c r="E67" s="12"/>
    </row>
    <row r="68" spans="1:5">
      <c r="A68" s="23"/>
      <c r="B68" s="24"/>
      <c r="C68" s="24"/>
      <c r="D68" s="24"/>
      <c r="E68" s="12"/>
    </row>
    <row r="69" spans="1:4">
      <c r="A69" s="23"/>
      <c r="B69" s="24"/>
      <c r="C69" s="24"/>
      <c r="D69" s="24"/>
    </row>
    <row r="70" spans="1:4">
      <c r="A70" s="23"/>
      <c r="B70" s="24"/>
      <c r="C70" s="24"/>
      <c r="D70" s="24"/>
    </row>
    <row r="71" spans="1:4">
      <c r="A71" s="23"/>
      <c r="B71" s="24"/>
      <c r="C71" s="24"/>
      <c r="D71" s="24"/>
    </row>
    <row r="72" spans="1:4">
      <c r="A72" s="23"/>
      <c r="B72" s="24"/>
      <c r="C72" s="24"/>
      <c r="D72" s="24"/>
    </row>
    <row r="73" spans="1:4">
      <c r="A73" s="35"/>
      <c r="B73" s="36"/>
      <c r="C73" s="36"/>
      <c r="D73" s="36"/>
    </row>
    <row r="74" spans="1:4">
      <c r="A74" s="35"/>
      <c r="B74" s="39"/>
      <c r="C74" s="36"/>
      <c r="D74" s="36"/>
    </row>
    <row r="75" spans="1:4">
      <c r="A75" s="17"/>
      <c r="B75" s="13"/>
      <c r="C75" s="13"/>
      <c r="D75" s="13"/>
    </row>
    <row r="76" spans="1:4">
      <c r="A76" s="17"/>
      <c r="B76" s="13"/>
      <c r="C76" s="13"/>
      <c r="D76" s="13"/>
    </row>
    <row r="77" spans="1:4">
      <c r="A77" s="17"/>
      <c r="B77" s="13"/>
      <c r="C77" s="13"/>
      <c r="D77" s="1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5"/>
  <sheetViews>
    <sheetView workbookViewId="0">
      <selection activeCell="E12" sqref="E12"/>
    </sheetView>
  </sheetViews>
  <sheetFormatPr defaultColWidth="9" defaultRowHeight="14.25"/>
  <cols>
    <col min="1" max="1" width="28.375" customWidth="1"/>
    <col min="25" max="25" width="16.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9</v>
      </c>
      <c r="W1" s="29"/>
      <c r="X1" s="29"/>
    </row>
    <row r="2" spans="1:26">
      <c r="A2" s="2" t="s">
        <v>10</v>
      </c>
      <c r="B2" s="2">
        <v>95</v>
      </c>
      <c r="C2" s="3" t="s">
        <v>11</v>
      </c>
      <c r="D2" s="2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0">
        <v>0</v>
      </c>
      <c r="W2" s="29" t="s">
        <v>13</v>
      </c>
      <c r="X2" s="31" t="str">
        <f>S43</f>
        <v>503C7002</v>
      </c>
      <c r="Y2" t="str">
        <f>"0x"&amp;RIGHT("00000000"&amp;X2,8)&amp;","</f>
        <v>0x503C7002,</v>
      </c>
      <c r="Z2" s="32" t="s">
        <v>14</v>
      </c>
    </row>
    <row r="3" spans="1:26">
      <c r="A3" s="2" t="s">
        <v>15</v>
      </c>
      <c r="B3" s="2">
        <v>94</v>
      </c>
      <c r="C3" s="3" t="s">
        <v>11</v>
      </c>
      <c r="D3" s="2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0"/>
      <c r="W3" s="29" t="s">
        <v>16</v>
      </c>
      <c r="X3" s="31" t="str">
        <f>S42</f>
        <v>48BF4F4D</v>
      </c>
      <c r="Y3" t="str">
        <f t="shared" ref="Y3:Y49" si="0">"0x"&amp;RIGHT("00000000"&amp;X3,8)&amp;","</f>
        <v>0x48BF4F4D,</v>
      </c>
      <c r="Z3" s="32"/>
    </row>
    <row r="4" spans="1:26">
      <c r="A4" s="2" t="s">
        <v>17</v>
      </c>
      <c r="B4" s="2" t="s">
        <v>18</v>
      </c>
      <c r="C4" s="3" t="s">
        <v>19</v>
      </c>
      <c r="D4" s="2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0"/>
      <c r="W4" s="29" t="s">
        <v>20</v>
      </c>
      <c r="X4" s="31" t="str">
        <f>S41</f>
        <v>44040AA</v>
      </c>
      <c r="Y4" t="str">
        <f t="shared" si="0"/>
        <v>0x044040AA,</v>
      </c>
      <c r="Z4" s="32"/>
    </row>
    <row r="5" spans="1:26">
      <c r="A5" s="2" t="s">
        <v>21</v>
      </c>
      <c r="B5" s="2">
        <v>91</v>
      </c>
      <c r="C5" s="3" t="s">
        <v>11</v>
      </c>
      <c r="D5" s="2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0">
        <v>1</v>
      </c>
      <c r="W5" s="29" t="s">
        <v>13</v>
      </c>
      <c r="X5" s="31" t="str">
        <f>R43</f>
        <v>503C7002</v>
      </c>
      <c r="Y5" t="str">
        <f t="shared" si="0"/>
        <v>0x503C7002,</v>
      </c>
      <c r="Z5" s="32" t="s">
        <v>22</v>
      </c>
    </row>
    <row r="6" spans="1:26">
      <c r="A6" s="2" t="s">
        <v>23</v>
      </c>
      <c r="B6" s="2" t="s">
        <v>24</v>
      </c>
      <c r="C6" s="3" t="s">
        <v>25</v>
      </c>
      <c r="D6" s="2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0"/>
      <c r="W6" s="29" t="s">
        <v>16</v>
      </c>
      <c r="X6" s="31" t="str">
        <f>R42</f>
        <v>48BF4F4D</v>
      </c>
      <c r="Y6" t="str">
        <f t="shared" si="0"/>
        <v>0x48BF4F4D,</v>
      </c>
      <c r="Z6" s="32"/>
    </row>
    <row r="7" spans="1:26">
      <c r="A7" s="2" t="s">
        <v>27</v>
      </c>
      <c r="B7" s="2" t="s">
        <v>28</v>
      </c>
      <c r="C7" s="3" t="s">
        <v>25</v>
      </c>
      <c r="D7" s="2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0"/>
      <c r="W7" s="29" t="s">
        <v>20</v>
      </c>
      <c r="X7" s="31" t="str">
        <f>R41</f>
        <v>44040B2</v>
      </c>
      <c r="Y7" t="str">
        <f t="shared" si="0"/>
        <v>0x044040B2,</v>
      </c>
      <c r="Z7" s="32"/>
    </row>
    <row r="8" spans="1:26">
      <c r="A8" s="2" t="s">
        <v>29</v>
      </c>
      <c r="B8" s="2" t="s">
        <v>30</v>
      </c>
      <c r="C8" s="3" t="s">
        <v>11</v>
      </c>
      <c r="D8" s="2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0">
        <v>2</v>
      </c>
      <c r="W8" s="29" t="s">
        <v>13</v>
      </c>
      <c r="X8" s="31" t="str">
        <f>Q43</f>
        <v>503C7004</v>
      </c>
      <c r="Y8" t="str">
        <f t="shared" si="0"/>
        <v>0x503C7004,</v>
      </c>
      <c r="Z8" s="32" t="s">
        <v>31</v>
      </c>
    </row>
    <row r="9" spans="1:26">
      <c r="A9" s="2" t="s">
        <v>32</v>
      </c>
      <c r="B9" s="2" t="s">
        <v>33</v>
      </c>
      <c r="C9" s="3" t="s">
        <v>11</v>
      </c>
      <c r="D9" s="2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0"/>
      <c r="W9" s="29" t="s">
        <v>16</v>
      </c>
      <c r="X9" s="31" t="str">
        <f>Q42</f>
        <v>48BF4F4D</v>
      </c>
      <c r="Y9" t="str">
        <f t="shared" si="0"/>
        <v>0x48BF4F4D,</v>
      </c>
      <c r="Z9" s="32"/>
    </row>
    <row r="10" spans="1:26">
      <c r="A10" s="2" t="s">
        <v>34</v>
      </c>
      <c r="B10" s="2" t="s">
        <v>35</v>
      </c>
      <c r="C10" s="3" t="s">
        <v>25</v>
      </c>
      <c r="D10" s="2"/>
      <c r="E10" s="2" t="s">
        <v>12</v>
      </c>
      <c r="F10" s="2" t="s">
        <v>19</v>
      </c>
      <c r="G10" s="2" t="s">
        <v>19</v>
      </c>
      <c r="H10" s="2" t="s">
        <v>19</v>
      </c>
      <c r="I10" s="2" t="s">
        <v>19</v>
      </c>
      <c r="J10" s="2" t="s">
        <v>19</v>
      </c>
      <c r="K10" s="2" t="s">
        <v>19</v>
      </c>
      <c r="L10" s="2" t="s">
        <v>19</v>
      </c>
      <c r="M10" s="2" t="s">
        <v>19</v>
      </c>
      <c r="N10" s="2" t="s">
        <v>19</v>
      </c>
      <c r="O10" s="2" t="s">
        <v>19</v>
      </c>
      <c r="P10" s="2" t="s">
        <v>19</v>
      </c>
      <c r="Q10" s="2" t="s">
        <v>19</v>
      </c>
      <c r="R10" s="2" t="s">
        <v>19</v>
      </c>
      <c r="S10" s="2" t="s">
        <v>19</v>
      </c>
      <c r="V10" s="30"/>
      <c r="W10" s="29" t="s">
        <v>20</v>
      </c>
      <c r="X10" s="31" t="str">
        <f>Q41</f>
        <v>440406E</v>
      </c>
      <c r="Y10" t="str">
        <f t="shared" si="0"/>
        <v>0x0440406E,</v>
      </c>
      <c r="Z10" s="32"/>
    </row>
    <row r="11" spans="1:26">
      <c r="A11" s="2" t="s">
        <v>37</v>
      </c>
      <c r="B11" s="2" t="s">
        <v>38</v>
      </c>
      <c r="C11" s="3" t="s">
        <v>25</v>
      </c>
      <c r="D11" s="2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0">
        <v>3</v>
      </c>
      <c r="W11" s="29" t="s">
        <v>13</v>
      </c>
      <c r="X11" s="31" t="str">
        <f>P43</f>
        <v>503C7004</v>
      </c>
      <c r="Y11" t="str">
        <f t="shared" si="0"/>
        <v>0x503C7004,</v>
      </c>
      <c r="Z11" s="32" t="s">
        <v>39</v>
      </c>
    </row>
    <row r="12" spans="1:26">
      <c r="A12" s="4" t="s">
        <v>40</v>
      </c>
      <c r="B12" s="4" t="s">
        <v>41</v>
      </c>
      <c r="C12" s="5" t="s">
        <v>25</v>
      </c>
      <c r="D12" s="4"/>
      <c r="E12" s="6" t="s">
        <v>44</v>
      </c>
      <c r="F12" s="4" t="s">
        <v>45</v>
      </c>
      <c r="G12" s="4" t="s">
        <v>46</v>
      </c>
      <c r="H12" s="4" t="s">
        <v>26</v>
      </c>
      <c r="I12" s="4" t="s">
        <v>26</v>
      </c>
      <c r="J12" s="4" t="s">
        <v>26</v>
      </c>
      <c r="K12" s="4" t="s">
        <v>43</v>
      </c>
      <c r="L12" s="4" t="s">
        <v>47</v>
      </c>
      <c r="M12" s="4" t="s">
        <v>47</v>
      </c>
      <c r="N12" s="4" t="s">
        <v>26</v>
      </c>
      <c r="O12" s="28" t="s">
        <v>98</v>
      </c>
      <c r="P12" s="28" t="s">
        <v>48</v>
      </c>
      <c r="Q12" s="4" t="s">
        <v>48</v>
      </c>
      <c r="R12" s="4" t="s">
        <v>36</v>
      </c>
      <c r="S12" s="4" t="s">
        <v>36</v>
      </c>
      <c r="V12" s="30"/>
      <c r="W12" s="29" t="s">
        <v>16</v>
      </c>
      <c r="X12" s="31" t="str">
        <f>P42</f>
        <v>48BF4F4D</v>
      </c>
      <c r="Y12" t="str">
        <f t="shared" si="0"/>
        <v>0x48BF4F4D,</v>
      </c>
      <c r="Z12" s="32"/>
    </row>
    <row r="13" spans="1:26">
      <c r="A13" s="4" t="s">
        <v>49</v>
      </c>
      <c r="B13" s="4" t="s">
        <v>50</v>
      </c>
      <c r="C13" s="5" t="s">
        <v>48</v>
      </c>
      <c r="D13" s="4"/>
      <c r="E13" s="4" t="s">
        <v>51</v>
      </c>
      <c r="F13" s="4" t="s">
        <v>25</v>
      </c>
      <c r="G13" s="4" t="s">
        <v>19</v>
      </c>
      <c r="H13" s="4" t="s">
        <v>19</v>
      </c>
      <c r="I13" s="4" t="s">
        <v>48</v>
      </c>
      <c r="J13" s="4" t="s">
        <v>11</v>
      </c>
      <c r="K13" s="4" t="s">
        <v>19</v>
      </c>
      <c r="L13" s="4" t="s">
        <v>11</v>
      </c>
      <c r="M13" s="4" t="s">
        <v>48</v>
      </c>
      <c r="N13" s="4" t="s">
        <v>19</v>
      </c>
      <c r="O13" s="28" t="s">
        <v>11</v>
      </c>
      <c r="P13" s="28" t="s">
        <v>36</v>
      </c>
      <c r="Q13" s="4" t="s">
        <v>48</v>
      </c>
      <c r="R13" s="4" t="s">
        <v>25</v>
      </c>
      <c r="S13" s="4" t="s">
        <v>19</v>
      </c>
      <c r="V13" s="30"/>
      <c r="W13" s="29" t="s">
        <v>20</v>
      </c>
      <c r="X13" s="31" t="str">
        <f>P41</f>
        <v>4404076</v>
      </c>
      <c r="Y13" t="str">
        <f t="shared" si="0"/>
        <v>0x04404076,</v>
      </c>
      <c r="Z13" s="32"/>
    </row>
    <row r="14" spans="1:26">
      <c r="A14" s="2" t="s">
        <v>52</v>
      </c>
      <c r="B14" s="2" t="s">
        <v>53</v>
      </c>
      <c r="C14" s="3" t="s">
        <v>48</v>
      </c>
      <c r="D14" s="2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0">
        <v>4</v>
      </c>
      <c r="W14" s="29" t="s">
        <v>13</v>
      </c>
      <c r="X14" s="31" t="str">
        <f>O43</f>
        <v>503C7004</v>
      </c>
      <c r="Y14" t="str">
        <f t="shared" si="0"/>
        <v>0x503C7004,</v>
      </c>
      <c r="Z14" s="32" t="s">
        <v>54</v>
      </c>
    </row>
    <row r="15" spans="1:26">
      <c r="A15" s="2" t="s">
        <v>55</v>
      </c>
      <c r="B15" s="2" t="s">
        <v>56</v>
      </c>
      <c r="C15" s="3" t="s">
        <v>25</v>
      </c>
      <c r="D15" s="2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0"/>
      <c r="W15" s="29" t="s">
        <v>16</v>
      </c>
      <c r="X15" s="31" t="str">
        <f>O42</f>
        <v>48BF4F4D</v>
      </c>
      <c r="Y15" t="str">
        <f t="shared" si="0"/>
        <v>0x48BF4F4D,</v>
      </c>
      <c r="Z15" s="32"/>
    </row>
    <row r="16" spans="1:26">
      <c r="A16" s="2" t="s">
        <v>57</v>
      </c>
      <c r="B16" s="2" t="s">
        <v>58</v>
      </c>
      <c r="C16" s="3" t="s">
        <v>48</v>
      </c>
      <c r="D16" s="2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0"/>
      <c r="W16" s="29" t="s">
        <v>20</v>
      </c>
      <c r="X16" s="31" t="str">
        <f>O41</f>
        <v>44040E6</v>
      </c>
      <c r="Y16" t="str">
        <f t="shared" si="0"/>
        <v>0x044040E6,</v>
      </c>
      <c r="Z16" s="32"/>
    </row>
    <row r="17" spans="1:26">
      <c r="A17" s="2" t="s">
        <v>59</v>
      </c>
      <c r="B17" s="2" t="s">
        <v>60</v>
      </c>
      <c r="C17" s="3" t="s">
        <v>11</v>
      </c>
      <c r="D17" s="2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0">
        <v>5</v>
      </c>
      <c r="W17" s="29" t="s">
        <v>13</v>
      </c>
      <c r="X17" s="31" t="str">
        <f>N43</f>
        <v>503C7004</v>
      </c>
      <c r="Y17" t="str">
        <f t="shared" si="0"/>
        <v>0x503C7004,</v>
      </c>
      <c r="Z17" s="32" t="s">
        <v>61</v>
      </c>
    </row>
    <row r="18" spans="1:26">
      <c r="A18" s="2" t="s">
        <v>62</v>
      </c>
      <c r="B18" s="2" t="s">
        <v>63</v>
      </c>
      <c r="C18" s="3" t="s">
        <v>11</v>
      </c>
      <c r="D18" s="2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0"/>
      <c r="W18" s="29" t="s">
        <v>16</v>
      </c>
      <c r="X18" s="31" t="str">
        <f>N42</f>
        <v>48BF4F4D</v>
      </c>
      <c r="Y18" t="str">
        <f t="shared" si="0"/>
        <v>0x48BF4F4D,</v>
      </c>
      <c r="Z18" s="32"/>
    </row>
    <row r="19" spans="1:26">
      <c r="A19" s="2" t="s">
        <v>64</v>
      </c>
      <c r="B19" s="2" t="s">
        <v>65</v>
      </c>
      <c r="C19" s="3" t="s">
        <v>19</v>
      </c>
      <c r="D19" s="2"/>
      <c r="E19" s="2" t="s">
        <v>48</v>
      </c>
      <c r="F19" s="2" t="s">
        <v>48</v>
      </c>
      <c r="G19" s="2" t="s">
        <v>48</v>
      </c>
      <c r="H19" s="2" t="s">
        <v>48</v>
      </c>
      <c r="I19" s="2" t="s">
        <v>48</v>
      </c>
      <c r="J19" s="2" t="s">
        <v>48</v>
      </c>
      <c r="K19" s="2" t="s">
        <v>48</v>
      </c>
      <c r="L19" s="2" t="s">
        <v>48</v>
      </c>
      <c r="M19" s="2" t="s">
        <v>48</v>
      </c>
      <c r="N19" s="2" t="s">
        <v>48</v>
      </c>
      <c r="O19" s="2" t="s">
        <v>48</v>
      </c>
      <c r="P19" s="2" t="s">
        <v>48</v>
      </c>
      <c r="Q19" s="2" t="s">
        <v>48</v>
      </c>
      <c r="R19" s="2" t="s">
        <v>48</v>
      </c>
      <c r="S19" s="2" t="s">
        <v>48</v>
      </c>
      <c r="V19" s="30"/>
      <c r="W19" s="29" t="s">
        <v>20</v>
      </c>
      <c r="X19" s="31" t="str">
        <f>N41</f>
        <v>440410A</v>
      </c>
      <c r="Y19" t="str">
        <f t="shared" si="0"/>
        <v>0x0440410A,</v>
      </c>
      <c r="Z19" s="32"/>
    </row>
    <row r="20" spans="1:26">
      <c r="A20" s="2" t="s">
        <v>66</v>
      </c>
      <c r="B20" s="2" t="s">
        <v>67</v>
      </c>
      <c r="C20" s="3" t="s">
        <v>19</v>
      </c>
      <c r="D20" s="2"/>
      <c r="E20" s="2" t="s">
        <v>48</v>
      </c>
      <c r="F20" s="2" t="s">
        <v>48</v>
      </c>
      <c r="G20" s="2" t="s">
        <v>48</v>
      </c>
      <c r="H20" s="2" t="s">
        <v>48</v>
      </c>
      <c r="I20" s="2" t="s">
        <v>48</v>
      </c>
      <c r="J20" s="2" t="s">
        <v>48</v>
      </c>
      <c r="K20" s="2" t="s">
        <v>48</v>
      </c>
      <c r="L20" s="2" t="s">
        <v>48</v>
      </c>
      <c r="M20" s="2" t="s">
        <v>48</v>
      </c>
      <c r="N20" s="2" t="s">
        <v>48</v>
      </c>
      <c r="O20" s="2" t="s">
        <v>48</v>
      </c>
      <c r="P20" s="2" t="s">
        <v>48</v>
      </c>
      <c r="Q20" s="2" t="s">
        <v>48</v>
      </c>
      <c r="R20" s="2" t="s">
        <v>48</v>
      </c>
      <c r="S20" s="2" t="s">
        <v>48</v>
      </c>
      <c r="V20" s="30">
        <v>6</v>
      </c>
      <c r="W20" s="29" t="s">
        <v>13</v>
      </c>
      <c r="X20" s="31" t="str">
        <f>M43</f>
        <v>503C7004</v>
      </c>
      <c r="Y20" t="str">
        <f t="shared" si="0"/>
        <v>0x503C7004,</v>
      </c>
      <c r="Z20" s="32" t="s">
        <v>68</v>
      </c>
    </row>
    <row r="21" spans="1:26">
      <c r="A21" s="2" t="s">
        <v>69</v>
      </c>
      <c r="B21" s="2" t="s">
        <v>70</v>
      </c>
      <c r="C21" s="3" t="s">
        <v>48</v>
      </c>
      <c r="D21" s="2"/>
      <c r="E21" s="2" t="s">
        <v>51</v>
      </c>
      <c r="F21" s="2" t="s">
        <v>51</v>
      </c>
      <c r="G21" s="2" t="s">
        <v>51</v>
      </c>
      <c r="H21" s="2" t="s">
        <v>51</v>
      </c>
      <c r="I21" s="2" t="s">
        <v>51</v>
      </c>
      <c r="J21" s="2" t="s">
        <v>51</v>
      </c>
      <c r="K21" s="2" t="s">
        <v>51</v>
      </c>
      <c r="L21" s="2" t="s">
        <v>51</v>
      </c>
      <c r="M21" s="2" t="s">
        <v>51</v>
      </c>
      <c r="N21" s="2" t="s">
        <v>51</v>
      </c>
      <c r="O21" s="2" t="s">
        <v>51</v>
      </c>
      <c r="P21" s="2" t="s">
        <v>51</v>
      </c>
      <c r="Q21" s="2" t="s">
        <v>51</v>
      </c>
      <c r="R21" s="2" t="s">
        <v>51</v>
      </c>
      <c r="S21" s="2" t="s">
        <v>51</v>
      </c>
      <c r="V21" s="30"/>
      <c r="W21" s="29" t="s">
        <v>16</v>
      </c>
      <c r="X21" s="31" t="str">
        <f>M42</f>
        <v>48BF4F4D</v>
      </c>
      <c r="Y21" t="str">
        <f t="shared" si="0"/>
        <v>0x48BF4F4D,</v>
      </c>
      <c r="Z21" s="32"/>
    </row>
    <row r="22" spans="1:26">
      <c r="A22" s="2" t="s">
        <v>71</v>
      </c>
      <c r="B22" s="2" t="s">
        <v>72</v>
      </c>
      <c r="C22" s="3" t="s">
        <v>48</v>
      </c>
      <c r="D22" s="2"/>
      <c r="E22" s="2" t="s">
        <v>25</v>
      </c>
      <c r="F22" s="2" t="s">
        <v>25</v>
      </c>
      <c r="G22" s="2" t="s">
        <v>25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V22" s="30"/>
      <c r="W22" s="29" t="s">
        <v>20</v>
      </c>
      <c r="X22" s="31" t="str">
        <f>M41</f>
        <v>440412E</v>
      </c>
      <c r="Y22" t="str">
        <f t="shared" si="0"/>
        <v>0x0440412E,</v>
      </c>
      <c r="Z22" s="32"/>
    </row>
    <row r="23" spans="1:26">
      <c r="A23" s="2" t="s">
        <v>73</v>
      </c>
      <c r="B23" s="2" t="s">
        <v>74</v>
      </c>
      <c r="C23" s="3" t="s">
        <v>11</v>
      </c>
      <c r="D23" s="2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0">
        <v>7</v>
      </c>
      <c r="W23" s="29" t="s">
        <v>13</v>
      </c>
      <c r="X23" s="31" t="str">
        <f>L43</f>
        <v>503C7008</v>
      </c>
      <c r="Y23" t="str">
        <f t="shared" si="0"/>
        <v>0x503C7008,</v>
      </c>
      <c r="Z23" s="32" t="s">
        <v>75</v>
      </c>
    </row>
    <row r="24" spans="1:26">
      <c r="A24" s="2" t="s">
        <v>76</v>
      </c>
      <c r="B24" s="2" t="s">
        <v>77</v>
      </c>
      <c r="C24" s="3" t="s">
        <v>11</v>
      </c>
      <c r="D24" s="2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0"/>
      <c r="W24" s="29" t="s">
        <v>16</v>
      </c>
      <c r="X24" s="31" t="str">
        <f>L42</f>
        <v>48BF4F4D</v>
      </c>
      <c r="Y24" t="str">
        <f t="shared" si="0"/>
        <v>0x48BF4F4D,</v>
      </c>
      <c r="Z24" s="32"/>
    </row>
    <row r="25" spans="1:26">
      <c r="A25" s="2" t="s">
        <v>78</v>
      </c>
      <c r="B25" s="2" t="s">
        <v>79</v>
      </c>
      <c r="C25" s="3" t="s">
        <v>48</v>
      </c>
      <c r="D25" s="2"/>
      <c r="E25" s="2" t="s">
        <v>51</v>
      </c>
      <c r="F25" s="2" t="s">
        <v>51</v>
      </c>
      <c r="G25" s="2" t="s">
        <v>51</v>
      </c>
      <c r="H25" s="2" t="s">
        <v>51</v>
      </c>
      <c r="I25" s="2" t="s">
        <v>51</v>
      </c>
      <c r="J25" s="2" t="s">
        <v>51</v>
      </c>
      <c r="K25" s="2" t="s">
        <v>51</v>
      </c>
      <c r="L25" s="2" t="s">
        <v>51</v>
      </c>
      <c r="M25" s="2" t="s">
        <v>51</v>
      </c>
      <c r="N25" s="2" t="s">
        <v>51</v>
      </c>
      <c r="O25" s="2" t="s">
        <v>51</v>
      </c>
      <c r="P25" s="2" t="s">
        <v>51</v>
      </c>
      <c r="Q25" s="2" t="s">
        <v>51</v>
      </c>
      <c r="R25" s="2" t="s">
        <v>51</v>
      </c>
      <c r="S25" s="2" t="s">
        <v>51</v>
      </c>
      <c r="V25" s="30"/>
      <c r="W25" s="29" t="s">
        <v>20</v>
      </c>
      <c r="X25" s="31" t="str">
        <f>L41</f>
        <v>4404126</v>
      </c>
      <c r="Y25" t="str">
        <f t="shared" si="0"/>
        <v>0x04404126,</v>
      </c>
      <c r="Z25" s="32"/>
    </row>
    <row r="26" spans="1:26">
      <c r="A26" s="2" t="s">
        <v>80</v>
      </c>
      <c r="B26" s="2" t="s">
        <v>81</v>
      </c>
      <c r="C26" s="3" t="s">
        <v>48</v>
      </c>
      <c r="D26" s="2"/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V26" s="30">
        <v>8</v>
      </c>
      <c r="W26" s="29" t="s">
        <v>13</v>
      </c>
      <c r="X26" s="31" t="str">
        <f>K43</f>
        <v>503C7008</v>
      </c>
      <c r="Y26" t="str">
        <f t="shared" si="0"/>
        <v>0x503C7008,</v>
      </c>
      <c r="Z26" s="32" t="s">
        <v>82</v>
      </c>
    </row>
    <row r="27" spans="1:26">
      <c r="A27" s="2" t="s">
        <v>83</v>
      </c>
      <c r="B27" s="2" t="s">
        <v>84</v>
      </c>
      <c r="C27" s="3" t="s">
        <v>19</v>
      </c>
      <c r="D27" s="2"/>
      <c r="E27" s="2" t="s">
        <v>48</v>
      </c>
      <c r="F27" s="2" t="s">
        <v>48</v>
      </c>
      <c r="G27" s="2" t="s">
        <v>48</v>
      </c>
      <c r="H27" s="2" t="s">
        <v>48</v>
      </c>
      <c r="I27" s="2" t="s">
        <v>48</v>
      </c>
      <c r="J27" s="2" t="s">
        <v>48</v>
      </c>
      <c r="K27" s="2" t="s">
        <v>48</v>
      </c>
      <c r="L27" s="2" t="s">
        <v>48</v>
      </c>
      <c r="M27" s="2" t="s">
        <v>48</v>
      </c>
      <c r="N27" s="2" t="s">
        <v>48</v>
      </c>
      <c r="O27" s="2" t="s">
        <v>48</v>
      </c>
      <c r="P27" s="2" t="s">
        <v>48</v>
      </c>
      <c r="Q27" s="2" t="s">
        <v>48</v>
      </c>
      <c r="R27" s="2" t="s">
        <v>48</v>
      </c>
      <c r="S27" s="2" t="s">
        <v>48</v>
      </c>
      <c r="V27" s="30"/>
      <c r="W27" s="29" t="s">
        <v>16</v>
      </c>
      <c r="X27" s="31" t="str">
        <f>K42</f>
        <v>48BF4F4D</v>
      </c>
      <c r="Y27" t="str">
        <f t="shared" si="0"/>
        <v>0x48BF4F4D,</v>
      </c>
      <c r="Z27" s="32"/>
    </row>
    <row r="28" spans="1:26">
      <c r="A28" s="2" t="s">
        <v>85</v>
      </c>
      <c r="B28" s="2" t="s">
        <v>86</v>
      </c>
      <c r="C28" s="3" t="s">
        <v>11</v>
      </c>
      <c r="D28" s="2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0"/>
      <c r="W28" s="29" t="s">
        <v>20</v>
      </c>
      <c r="X28" s="31" t="str">
        <f>K41</f>
        <v>440414A</v>
      </c>
      <c r="Y28" t="str">
        <f t="shared" si="0"/>
        <v>0x0440414A,</v>
      </c>
      <c r="Z28" s="32"/>
    </row>
    <row r="29" spans="1:26">
      <c r="A29" s="2" t="s">
        <v>87</v>
      </c>
      <c r="B29" s="2" t="s">
        <v>88</v>
      </c>
      <c r="C29" s="3" t="s">
        <v>19</v>
      </c>
      <c r="D29" s="2"/>
      <c r="E29" s="2" t="s">
        <v>19</v>
      </c>
      <c r="F29" s="2" t="s">
        <v>19</v>
      </c>
      <c r="G29" s="2" t="s">
        <v>19</v>
      </c>
      <c r="H29" s="2" t="s">
        <v>19</v>
      </c>
      <c r="I29" s="2" t="s">
        <v>19</v>
      </c>
      <c r="J29" s="2" t="s">
        <v>19</v>
      </c>
      <c r="K29" s="2" t="s">
        <v>19</v>
      </c>
      <c r="L29" s="2" t="s">
        <v>19</v>
      </c>
      <c r="M29" s="2" t="s">
        <v>19</v>
      </c>
      <c r="N29" s="2" t="s">
        <v>19</v>
      </c>
      <c r="O29" s="2" t="s">
        <v>19</v>
      </c>
      <c r="P29" s="2" t="s">
        <v>19</v>
      </c>
      <c r="Q29" s="2" t="s">
        <v>19</v>
      </c>
      <c r="R29" s="2" t="s">
        <v>19</v>
      </c>
      <c r="S29" s="2" t="s">
        <v>19</v>
      </c>
      <c r="V29" s="30">
        <v>9</v>
      </c>
      <c r="W29" s="29" t="s">
        <v>13</v>
      </c>
      <c r="X29" s="31" t="str">
        <f>J43</f>
        <v>503C700C</v>
      </c>
      <c r="Y29" t="str">
        <f t="shared" si="0"/>
        <v>0x503C700C,</v>
      </c>
      <c r="Z29" s="32" t="s">
        <v>89</v>
      </c>
    </row>
    <row r="30" spans="1:26">
      <c r="A30" s="2" t="s">
        <v>90</v>
      </c>
      <c r="B30" s="2" t="s">
        <v>91</v>
      </c>
      <c r="C30" s="3" t="s">
        <v>19</v>
      </c>
      <c r="D30" s="2"/>
      <c r="E30" s="2" t="s">
        <v>48</v>
      </c>
      <c r="F30" s="2" t="s">
        <v>19</v>
      </c>
      <c r="G30" s="2" t="s">
        <v>19</v>
      </c>
      <c r="H30" s="2" t="s">
        <v>19</v>
      </c>
      <c r="I30" s="2" t="s">
        <v>19</v>
      </c>
      <c r="J30" s="2" t="s">
        <v>19</v>
      </c>
      <c r="K30" s="2" t="s">
        <v>19</v>
      </c>
      <c r="L30" s="2" t="s">
        <v>19</v>
      </c>
      <c r="M30" s="2" t="s">
        <v>19</v>
      </c>
      <c r="N30" s="2" t="s">
        <v>19</v>
      </c>
      <c r="O30" s="2" t="s">
        <v>19</v>
      </c>
      <c r="P30" s="2" t="s">
        <v>19</v>
      </c>
      <c r="Q30" s="2" t="s">
        <v>19</v>
      </c>
      <c r="R30" s="2" t="s">
        <v>19</v>
      </c>
      <c r="S30" s="2" t="s">
        <v>19</v>
      </c>
      <c r="V30" s="30"/>
      <c r="W30" s="29" t="s">
        <v>16</v>
      </c>
      <c r="X30" s="31" t="str">
        <f>J42</f>
        <v>48BF4F4D</v>
      </c>
      <c r="Y30" t="str">
        <f t="shared" si="0"/>
        <v>0x48BF4F4D,</v>
      </c>
      <c r="Z30" s="32"/>
    </row>
    <row r="31" spans="1:26">
      <c r="A31" s="2" t="s">
        <v>92</v>
      </c>
      <c r="B31" s="2" t="s">
        <v>93</v>
      </c>
      <c r="C31" s="3" t="s">
        <v>51</v>
      </c>
      <c r="D31" s="2"/>
      <c r="E31" s="2" t="s">
        <v>94</v>
      </c>
      <c r="F31" s="2" t="s">
        <v>94</v>
      </c>
      <c r="G31" s="2" t="s">
        <v>94</v>
      </c>
      <c r="H31" s="2" t="s">
        <v>94</v>
      </c>
      <c r="I31" s="2" t="s">
        <v>94</v>
      </c>
      <c r="J31" s="2" t="s">
        <v>94</v>
      </c>
      <c r="K31" s="2" t="s">
        <v>94</v>
      </c>
      <c r="L31" s="2" t="s">
        <v>94</v>
      </c>
      <c r="M31" s="2" t="s">
        <v>94</v>
      </c>
      <c r="N31" s="2" t="s">
        <v>94</v>
      </c>
      <c r="O31" s="2" t="s">
        <v>94</v>
      </c>
      <c r="P31" s="2" t="s">
        <v>94</v>
      </c>
      <c r="Q31" s="2" t="s">
        <v>94</v>
      </c>
      <c r="R31" s="2" t="s">
        <v>94</v>
      </c>
      <c r="S31" s="2" t="s">
        <v>94</v>
      </c>
      <c r="V31" s="30"/>
      <c r="W31" s="29" t="s">
        <v>20</v>
      </c>
      <c r="X31" s="31" t="str">
        <f>J41</f>
        <v>4404106</v>
      </c>
      <c r="Y31" t="str">
        <f t="shared" si="0"/>
        <v>0x04404106,</v>
      </c>
      <c r="Z31" s="32"/>
    </row>
    <row r="32" spans="1:26">
      <c r="A32" s="2" t="s">
        <v>95</v>
      </c>
      <c r="B32" s="2" t="s">
        <v>96</v>
      </c>
      <c r="C32" s="3" t="s">
        <v>25</v>
      </c>
      <c r="D32" s="2"/>
      <c r="E32" s="2" t="s">
        <v>98</v>
      </c>
      <c r="F32" s="2" t="s">
        <v>98</v>
      </c>
      <c r="G32" s="2" t="s">
        <v>98</v>
      </c>
      <c r="H32" s="2" t="s">
        <v>98</v>
      </c>
      <c r="I32" s="2" t="s">
        <v>98</v>
      </c>
      <c r="J32" s="2" t="s">
        <v>98</v>
      </c>
      <c r="K32" s="2" t="s">
        <v>98</v>
      </c>
      <c r="L32" s="2" t="s">
        <v>98</v>
      </c>
      <c r="M32" s="2" t="s">
        <v>98</v>
      </c>
      <c r="N32" s="2" t="s">
        <v>98</v>
      </c>
      <c r="O32" s="2" t="s">
        <v>98</v>
      </c>
      <c r="P32" s="2" t="s">
        <v>98</v>
      </c>
      <c r="Q32" s="2" t="s">
        <v>98</v>
      </c>
      <c r="R32" s="2" t="s">
        <v>98</v>
      </c>
      <c r="S32" s="2" t="s">
        <v>98</v>
      </c>
      <c r="V32" s="30" t="s">
        <v>99</v>
      </c>
      <c r="W32" s="29" t="s">
        <v>13</v>
      </c>
      <c r="X32" s="31" t="str">
        <f>I43</f>
        <v>503C700C</v>
      </c>
      <c r="Y32" t="str">
        <f t="shared" si="0"/>
        <v>0x503C700C,</v>
      </c>
      <c r="Z32" s="32" t="s">
        <v>100</v>
      </c>
    </row>
    <row r="33" spans="1:26">
      <c r="A33" s="2" t="s">
        <v>101</v>
      </c>
      <c r="B33" s="2" t="s">
        <v>102</v>
      </c>
      <c r="C33" s="3" t="s">
        <v>48</v>
      </c>
      <c r="D33" s="2"/>
      <c r="E33" s="7" t="s">
        <v>25</v>
      </c>
      <c r="F33" s="7" t="s">
        <v>25</v>
      </c>
      <c r="G33" s="7" t="s">
        <v>25</v>
      </c>
      <c r="H33" s="7" t="s">
        <v>25</v>
      </c>
      <c r="I33" s="7" t="s">
        <v>25</v>
      </c>
      <c r="J33" s="7" t="s">
        <v>25</v>
      </c>
      <c r="K33" s="7" t="s">
        <v>25</v>
      </c>
      <c r="L33" s="7" t="s">
        <v>25</v>
      </c>
      <c r="M33" s="7" t="s">
        <v>25</v>
      </c>
      <c r="N33" s="7" t="s">
        <v>25</v>
      </c>
      <c r="O33" s="7" t="s">
        <v>25</v>
      </c>
      <c r="P33" s="7" t="s">
        <v>25</v>
      </c>
      <c r="Q33" s="7" t="s">
        <v>25</v>
      </c>
      <c r="R33" s="7" t="s">
        <v>25</v>
      </c>
      <c r="S33" s="7" t="s">
        <v>25</v>
      </c>
      <c r="V33" s="30"/>
      <c r="W33" s="29" t="s">
        <v>16</v>
      </c>
      <c r="X33" s="31" t="str">
        <f>I42</f>
        <v>48BF4F4D</v>
      </c>
      <c r="Y33" t="str">
        <f t="shared" si="0"/>
        <v>0x48BF4F4D,</v>
      </c>
      <c r="Z33" s="32"/>
    </row>
    <row r="34" spans="1:26">
      <c r="A34" s="2" t="s">
        <v>103</v>
      </c>
      <c r="B34" s="2" t="s">
        <v>97</v>
      </c>
      <c r="C34" s="3" t="s">
        <v>11</v>
      </c>
      <c r="D34" s="2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0"/>
      <c r="W34" s="29" t="s">
        <v>20</v>
      </c>
      <c r="X34" s="31" t="str">
        <f>I41</f>
        <v>440410E</v>
      </c>
      <c r="Y34" t="str">
        <f t="shared" si="0"/>
        <v>0x0440410E,</v>
      </c>
      <c r="Z34" s="32"/>
    </row>
    <row r="35" spans="1:26">
      <c r="A35" s="2" t="s">
        <v>104</v>
      </c>
      <c r="B35" s="2" t="s">
        <v>105</v>
      </c>
      <c r="C35" s="3" t="s">
        <v>48</v>
      </c>
      <c r="D35" s="2"/>
      <c r="E35" s="2" t="s">
        <v>98</v>
      </c>
      <c r="F35" s="2" t="s">
        <v>98</v>
      </c>
      <c r="G35" s="2" t="s">
        <v>98</v>
      </c>
      <c r="H35" s="2" t="s">
        <v>98</v>
      </c>
      <c r="I35" s="2" t="s">
        <v>98</v>
      </c>
      <c r="J35" s="2" t="s">
        <v>98</v>
      </c>
      <c r="K35" s="2" t="s">
        <v>98</v>
      </c>
      <c r="L35" s="2" t="s">
        <v>98</v>
      </c>
      <c r="M35" s="2" t="s">
        <v>98</v>
      </c>
      <c r="N35" s="2" t="s">
        <v>98</v>
      </c>
      <c r="O35" s="2" t="s">
        <v>98</v>
      </c>
      <c r="P35" s="2" t="s">
        <v>98</v>
      </c>
      <c r="Q35" s="2" t="s">
        <v>98</v>
      </c>
      <c r="R35" s="2" t="s">
        <v>98</v>
      </c>
      <c r="S35" s="2" t="s">
        <v>98</v>
      </c>
      <c r="V35" s="30" t="s">
        <v>106</v>
      </c>
      <c r="W35" s="29" t="s">
        <v>13</v>
      </c>
      <c r="X35" s="31" t="str">
        <f>H43</f>
        <v>503C700F</v>
      </c>
      <c r="Y35" t="str">
        <f t="shared" si="0"/>
        <v>0x503C700F,</v>
      </c>
      <c r="Z35" s="32" t="s">
        <v>107</v>
      </c>
    </row>
    <row r="36" spans="1:26">
      <c r="A36" s="4" t="s">
        <v>108</v>
      </c>
      <c r="B36" s="4" t="s">
        <v>109</v>
      </c>
      <c r="C36" s="5" t="s">
        <v>51</v>
      </c>
      <c r="D36" s="4"/>
      <c r="E36" s="4" t="s">
        <v>12</v>
      </c>
      <c r="F36" s="4" t="s">
        <v>12</v>
      </c>
      <c r="G36" s="4" t="s">
        <v>12</v>
      </c>
      <c r="H36" s="4" t="s">
        <v>12</v>
      </c>
      <c r="I36" s="4" t="s">
        <v>12</v>
      </c>
      <c r="J36" s="4" t="s">
        <v>12</v>
      </c>
      <c r="K36" s="4" t="s">
        <v>12</v>
      </c>
      <c r="L36" s="4" t="s">
        <v>12</v>
      </c>
      <c r="M36" s="4" t="s">
        <v>12</v>
      </c>
      <c r="N36" s="4" t="s">
        <v>12</v>
      </c>
      <c r="O36" s="4" t="s">
        <v>12</v>
      </c>
      <c r="P36" s="4" t="s">
        <v>12</v>
      </c>
      <c r="Q36" s="4" t="s">
        <v>12</v>
      </c>
      <c r="R36" s="4" t="s">
        <v>12</v>
      </c>
      <c r="S36" s="4" t="s">
        <v>12</v>
      </c>
      <c r="V36" s="30"/>
      <c r="W36" s="29" t="s">
        <v>16</v>
      </c>
      <c r="X36" s="31" t="str">
        <f>H42</f>
        <v>48BF4F4D</v>
      </c>
      <c r="Y36" t="str">
        <f t="shared" si="0"/>
        <v>0x48BF4F4D,</v>
      </c>
      <c r="Z36" s="32"/>
    </row>
    <row r="37" spans="1:26">
      <c r="A37" s="2" t="s">
        <v>110</v>
      </c>
      <c r="B37" s="2" t="s">
        <v>111</v>
      </c>
      <c r="C37" s="3" t="s">
        <v>51</v>
      </c>
      <c r="D37" s="2"/>
      <c r="E37" s="2" t="s">
        <v>97</v>
      </c>
      <c r="F37" s="2" t="s">
        <v>97</v>
      </c>
      <c r="G37" s="2" t="s">
        <v>97</v>
      </c>
      <c r="H37" s="2" t="s">
        <v>97</v>
      </c>
      <c r="I37" s="2" t="s">
        <v>45</v>
      </c>
      <c r="J37" s="2" t="s">
        <v>45</v>
      </c>
      <c r="K37" s="2" t="s">
        <v>26</v>
      </c>
      <c r="L37" s="2" t="s">
        <v>26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19</v>
      </c>
      <c r="S37" s="2" t="s">
        <v>19</v>
      </c>
      <c r="V37" s="30"/>
      <c r="W37" s="29" t="s">
        <v>20</v>
      </c>
      <c r="X37" s="31" t="str">
        <f>H41</f>
        <v>440410A</v>
      </c>
      <c r="Y37" t="str">
        <f t="shared" si="0"/>
        <v>0x0440410A,</v>
      </c>
      <c r="Z37" s="32"/>
    </row>
    <row r="38" spans="22:26">
      <c r="V38" s="30" t="s">
        <v>112</v>
      </c>
      <c r="W38" s="29" t="s">
        <v>13</v>
      </c>
      <c r="X38" s="31" t="str">
        <f>G43</f>
        <v>503C700F</v>
      </c>
      <c r="Y38" t="str">
        <f t="shared" si="0"/>
        <v>0x503C700F,</v>
      </c>
      <c r="Z38" s="32" t="s">
        <v>113</v>
      </c>
    </row>
    <row r="39" spans="1:26">
      <c r="A39" t="s">
        <v>114</v>
      </c>
      <c r="V39" s="30"/>
      <c r="W39" s="29" t="s">
        <v>16</v>
      </c>
      <c r="X39" s="31" t="str">
        <f>G42</f>
        <v>48BF4F4D</v>
      </c>
      <c r="Y39" t="str">
        <f t="shared" si="0"/>
        <v>0x48BF4F4D,</v>
      </c>
      <c r="Z39" s="32"/>
    </row>
    <row r="40" spans="1:26">
      <c r="A40" s="8" t="s">
        <v>115</v>
      </c>
      <c r="B40" s="8"/>
      <c r="C40" s="8"/>
      <c r="D40" s="8">
        <v>22</v>
      </c>
      <c r="E40" s="8">
        <v>20</v>
      </c>
      <c r="F40" s="8">
        <v>18</v>
      </c>
      <c r="G40" s="8">
        <v>16</v>
      </c>
      <c r="H40" s="8">
        <v>14</v>
      </c>
      <c r="I40" s="8">
        <v>12</v>
      </c>
      <c r="J40" s="8">
        <v>10</v>
      </c>
      <c r="K40" s="8">
        <v>8</v>
      </c>
      <c r="L40" s="8">
        <v>6</v>
      </c>
      <c r="M40" s="8">
        <v>4</v>
      </c>
      <c r="N40" s="8">
        <v>2</v>
      </c>
      <c r="O40" s="8">
        <v>0</v>
      </c>
      <c r="P40" s="8">
        <v>-2</v>
      </c>
      <c r="Q40" s="8">
        <v>-4</v>
      </c>
      <c r="R40" s="8">
        <v>-6</v>
      </c>
      <c r="S40" s="8">
        <v>-8</v>
      </c>
      <c r="V40" s="30"/>
      <c r="W40" s="29" t="s">
        <v>20</v>
      </c>
      <c r="X40" s="31" t="str">
        <f>G41</f>
        <v>440416A</v>
      </c>
      <c r="Y40" t="str">
        <f t="shared" si="0"/>
        <v>0x0440416A,</v>
      </c>
      <c r="Z40" s="32"/>
    </row>
    <row r="41" spans="1:26">
      <c r="A41" s="9" t="s">
        <v>116</v>
      </c>
      <c r="B41" s="10"/>
      <c r="C41" s="10"/>
      <c r="D41" s="11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1" t="str">
        <f t="shared" si="1"/>
        <v>44001BA</v>
      </c>
      <c r="F41" s="11" t="str">
        <f t="shared" si="1"/>
        <v>4404192</v>
      </c>
      <c r="G41" s="11" t="str">
        <f t="shared" si="1"/>
        <v>440416A</v>
      </c>
      <c r="H41" s="11" t="str">
        <f t="shared" si="1"/>
        <v>440410A</v>
      </c>
      <c r="I41" s="11" t="str">
        <f t="shared" si="1"/>
        <v>440410E</v>
      </c>
      <c r="J41" s="11" t="str">
        <f t="shared" si="1"/>
        <v>4404106</v>
      </c>
      <c r="K41" s="11" t="str">
        <f t="shared" si="1"/>
        <v>440414A</v>
      </c>
      <c r="L41" s="11" t="str">
        <f t="shared" si="1"/>
        <v>4404126</v>
      </c>
      <c r="M41" s="11" t="str">
        <f t="shared" si="1"/>
        <v>440412E</v>
      </c>
      <c r="N41" s="11" t="str">
        <f t="shared" si="1"/>
        <v>440410A</v>
      </c>
      <c r="O41" s="11" t="str">
        <f t="shared" si="1"/>
        <v>44040E6</v>
      </c>
      <c r="P41" s="11" t="str">
        <f t="shared" si="1"/>
        <v>4404076</v>
      </c>
      <c r="Q41" s="11" t="str">
        <f t="shared" si="1"/>
        <v>440406E</v>
      </c>
      <c r="R41" s="11" t="str">
        <f t="shared" si="1"/>
        <v>44040B2</v>
      </c>
      <c r="S41" s="11" t="str">
        <f t="shared" si="1"/>
        <v>44040AA</v>
      </c>
      <c r="V41" s="30" t="s">
        <v>117</v>
      </c>
      <c r="W41" s="29" t="s">
        <v>13</v>
      </c>
      <c r="X41" s="31" t="str">
        <f>F43</f>
        <v>503C700F</v>
      </c>
      <c r="Y41" t="str">
        <f t="shared" si="0"/>
        <v>0x503C700F,</v>
      </c>
      <c r="Z41" s="32" t="s">
        <v>118</v>
      </c>
    </row>
    <row r="42" spans="1:26">
      <c r="A42" s="9" t="s">
        <v>119</v>
      </c>
      <c r="B42" s="10"/>
      <c r="C42" s="10"/>
      <c r="D42" s="11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1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48BF4F4D</v>
      </c>
      <c r="F42" s="11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48BF4F4D</v>
      </c>
      <c r="G42" s="11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48BF4F4D</v>
      </c>
      <c r="H42" s="11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48BF4F4D</v>
      </c>
      <c r="I42" s="11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48BF4F4D</v>
      </c>
      <c r="J42" s="11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48BF4F4D</v>
      </c>
      <c r="K42" s="11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48BF4F4D</v>
      </c>
      <c r="L42" s="11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48BF4F4D</v>
      </c>
      <c r="M42" s="11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48BF4F4D</v>
      </c>
      <c r="N42" s="11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48BF4F4D</v>
      </c>
      <c r="O42" s="11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48BF4F4D</v>
      </c>
      <c r="P42" s="11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48BF4F4D</v>
      </c>
      <c r="Q42" s="11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48BF4F4D</v>
      </c>
      <c r="R42" s="11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48BF4F4D</v>
      </c>
      <c r="S42" s="11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48BF4F4D</v>
      </c>
      <c r="V42" s="30"/>
      <c r="W42" s="29" t="s">
        <v>16</v>
      </c>
      <c r="X42" s="31" t="str">
        <f>F42</f>
        <v>48BF4F4D</v>
      </c>
      <c r="Y42" t="str">
        <f t="shared" si="0"/>
        <v>0x48BF4F4D,</v>
      </c>
      <c r="Z42" s="32"/>
    </row>
    <row r="43" spans="1:26">
      <c r="A43" s="9" t="s">
        <v>120</v>
      </c>
      <c r="B43" s="10"/>
      <c r="C43" s="10"/>
      <c r="D43" s="11" t="str">
        <f>DEC2HEX(D37+64*D36+POWER(2,12)*D35+POWER(2,15)*D34+POWER(2,16)*D33+POWER(2,19)*D32+POWER(2,23)*D31+POWER(2,29)*D30+POWER(2,31)*MOD(D29,$C29))</f>
        <v>0</v>
      </c>
      <c r="E43" s="11" t="str">
        <f>DEC2HEX(E37+64*E36+POWER(2,12)*E35+POWER(2,15)*E34+POWER(2,16)*E33+POWER(2,19)*E32+POWER(2,23)*E31+POWER(2,29)*E30+POWER(2,31)*MOD(E29,$C29))</f>
        <v>703C700F</v>
      </c>
      <c r="F43" s="11" t="str">
        <f>DEC2HEX(F37+64*F36+POWER(2,12)*F35+POWER(2,15)*F34+POWER(2,16)*F33+POWER(2,19)*F32+POWER(2,23)*F31+POWER(2,29)*F30+POWER(2,31)*MOD(F29,$C29))</f>
        <v>503C700F</v>
      </c>
      <c r="G43" s="11" t="str">
        <f>DEC2HEX(G37+64*G36+POWER(2,12)*G35+POWER(2,15)*G34+POWER(2,16)*G33+POWER(2,19)*G32+POWER(2,23)*G31+POWER(2,29)*G30+POWER(2,31)*MOD(G29,$C29))</f>
        <v>503C700F</v>
      </c>
      <c r="H43" s="11" t="str">
        <f>DEC2HEX(H37+64*H36+POWER(2,12)*H35+POWER(2,15)*H34+POWER(2,16)*H33+POWER(2,19)*H32+POWER(2,23)*H31+POWER(2,29)*H30+POWER(2,31)*MOD(H29,$C29))</f>
        <v>503C700F</v>
      </c>
      <c r="I43" s="11" t="str">
        <f>DEC2HEX(I37+64*I36+POWER(2,12)*I35+POWER(2,15)*I34+POWER(2,16)*I33+POWER(2,19)*I32+POWER(2,23)*I31+POWER(2,29)*I30+POWER(2,31)*MOD(I29,$C29))</f>
        <v>503C700C</v>
      </c>
      <c r="J43" s="11" t="str">
        <f>DEC2HEX(J37+64*J36+POWER(2,12)*J35+POWER(2,15)*J34+POWER(2,16)*J33+POWER(2,19)*J32+POWER(2,23)*J31+POWER(2,29)*J30+POWER(2,31)*MOD(J29,$C29))</f>
        <v>503C700C</v>
      </c>
      <c r="K43" s="11" t="str">
        <f>DEC2HEX(K37+64*K36+POWER(2,12)*K35+POWER(2,15)*K34+POWER(2,16)*K33+POWER(2,19)*K32+POWER(2,23)*K31+POWER(2,29)*K30+POWER(2,31)*MOD(K29,$C29))</f>
        <v>503C7008</v>
      </c>
      <c r="L43" s="11" t="str">
        <f>DEC2HEX(L37+64*L36+POWER(2,12)*L35+POWER(2,15)*L34+POWER(2,16)*L33+POWER(2,19)*L32+POWER(2,23)*L31+POWER(2,29)*L30+POWER(2,31)*MOD(L29,$C29))</f>
        <v>503C7008</v>
      </c>
      <c r="M43" s="11" t="str">
        <f>DEC2HEX(M37+64*M36+POWER(2,12)*M35+POWER(2,15)*M34+POWER(2,16)*M33+POWER(2,19)*M32+POWER(2,23)*M31+POWER(2,29)*M30+POWER(2,31)*MOD(M29,$C29))</f>
        <v>503C7004</v>
      </c>
      <c r="N43" s="11" t="str">
        <f>DEC2HEX(N37+64*N36+POWER(2,12)*N35+POWER(2,15)*N34+POWER(2,16)*N33+POWER(2,19)*N32+POWER(2,23)*N31+POWER(2,29)*N30+POWER(2,31)*MOD(N29,$C29))</f>
        <v>503C7004</v>
      </c>
      <c r="O43" s="11" t="str">
        <f>DEC2HEX(O37+64*O36+POWER(2,12)*O35+POWER(2,15)*O34+POWER(2,16)*O33+POWER(2,19)*O32+POWER(2,23)*O31+POWER(2,29)*O30+POWER(2,31)*MOD(O29,$C29))</f>
        <v>503C7004</v>
      </c>
      <c r="P43" s="11" t="str">
        <f>DEC2HEX(P37+64*P36+POWER(2,12)*P35+POWER(2,15)*P34+POWER(2,16)*P33+POWER(2,19)*P32+POWER(2,23)*P31+POWER(2,29)*P30+POWER(2,31)*MOD(P29,$C29))</f>
        <v>503C7004</v>
      </c>
      <c r="Q43" s="11" t="str">
        <f>DEC2HEX(Q37+64*Q36+POWER(2,12)*Q35+POWER(2,15)*Q34+POWER(2,16)*Q33+POWER(2,19)*Q32+POWER(2,23)*Q31+POWER(2,29)*Q30+POWER(2,31)*MOD(Q29,$C29))</f>
        <v>503C7004</v>
      </c>
      <c r="R43" s="11" t="str">
        <f>DEC2HEX(R37+64*R36+POWER(2,12)*R35+POWER(2,15)*R34+POWER(2,16)*R33+POWER(2,19)*R32+POWER(2,23)*R31+POWER(2,29)*R30+POWER(2,31)*MOD(R29,$C29))</f>
        <v>503C7002</v>
      </c>
      <c r="S43" s="11" t="str">
        <f>DEC2HEX(S37+64*S36+POWER(2,12)*S35+POWER(2,15)*S34+POWER(2,16)*S33+POWER(2,19)*S32+POWER(2,23)*S31+POWER(2,29)*S30+POWER(2,31)*MOD(S29,$C29))</f>
        <v>503C7002</v>
      </c>
      <c r="V43" s="30"/>
      <c r="W43" s="29" t="s">
        <v>20</v>
      </c>
      <c r="X43" s="31" t="str">
        <f>F41</f>
        <v>4404192</v>
      </c>
      <c r="Y43" t="str">
        <f t="shared" si="0"/>
        <v>0x04404192,</v>
      </c>
      <c r="Z43" s="32"/>
    </row>
    <row r="44" spans="4:26"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V44" s="30" t="s">
        <v>121</v>
      </c>
      <c r="W44" s="29" t="s">
        <v>13</v>
      </c>
      <c r="X44" s="31" t="str">
        <f>E43</f>
        <v>703C700F</v>
      </c>
      <c r="Y44" t="str">
        <f t="shared" si="0"/>
        <v>0x703C700F,</v>
      </c>
      <c r="Z44" s="32" t="s">
        <v>122</v>
      </c>
    </row>
    <row r="45" spans="1:26">
      <c r="A45" s="13" t="s">
        <v>123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V45" s="30"/>
      <c r="W45" s="29" t="s">
        <v>16</v>
      </c>
      <c r="X45" s="31" t="str">
        <f>E42</f>
        <v>48BF4F4D</v>
      </c>
      <c r="Y45" t="str">
        <f t="shared" si="0"/>
        <v>0x48BF4F4D,</v>
      </c>
      <c r="Z45" s="32"/>
    </row>
    <row r="46" spans="2:26">
      <c r="B46" s="13"/>
      <c r="C46" s="13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V46" s="30"/>
      <c r="W46" s="29" t="s">
        <v>20</v>
      </c>
      <c r="X46" s="31" t="str">
        <f>E41</f>
        <v>44001BA</v>
      </c>
      <c r="Y46" t="str">
        <f t="shared" si="0"/>
        <v>0x044001BA,</v>
      </c>
      <c r="Z46" s="32"/>
    </row>
    <row r="47" spans="1:26">
      <c r="A47" s="14"/>
      <c r="B47" s="15" t="s">
        <v>132</v>
      </c>
      <c r="C47" s="15" t="s">
        <v>133</v>
      </c>
      <c r="D47" s="15" t="s">
        <v>134</v>
      </c>
      <c r="E47" s="16" t="s">
        <v>135</v>
      </c>
      <c r="F47" s="17"/>
      <c r="G47" s="17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V47" s="30" t="s">
        <v>126</v>
      </c>
      <c r="W47" s="29" t="s">
        <v>13</v>
      </c>
      <c r="X47" s="31" t="str">
        <f>D43</f>
        <v>0</v>
      </c>
      <c r="Y47" t="str">
        <f t="shared" si="0"/>
        <v>0x00000000,</v>
      </c>
      <c r="Z47" s="32" t="s">
        <v>127</v>
      </c>
    </row>
    <row r="48" spans="1:26">
      <c r="A48" s="14" t="s">
        <v>34</v>
      </c>
      <c r="B48" s="18" t="s">
        <v>12</v>
      </c>
      <c r="C48" s="19">
        <v>4</v>
      </c>
      <c r="D48" s="19">
        <v>2</v>
      </c>
      <c r="E48" s="19">
        <v>7</v>
      </c>
      <c r="F48" s="20"/>
      <c r="G48" s="20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V48" s="29"/>
      <c r="W48" s="29" t="s">
        <v>16</v>
      </c>
      <c r="X48" s="31" t="str">
        <f>D42</f>
        <v>0</v>
      </c>
      <c r="Y48" t="str">
        <f t="shared" si="0"/>
        <v>0x00000000,</v>
      </c>
      <c r="Z48" s="32"/>
    </row>
    <row r="49" spans="1:26">
      <c r="A49" s="21" t="s">
        <v>87</v>
      </c>
      <c r="B49" s="18" t="s">
        <v>11</v>
      </c>
      <c r="C49" s="19">
        <v>0</v>
      </c>
      <c r="D49" s="19">
        <v>0</v>
      </c>
      <c r="E49" s="19">
        <v>0</v>
      </c>
      <c r="F49" s="20"/>
      <c r="G49" s="20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V49" s="29"/>
      <c r="W49" s="29" t="s">
        <v>20</v>
      </c>
      <c r="X49" s="31" t="str">
        <f>D41</f>
        <v>0</v>
      </c>
      <c r="Y49" t="str">
        <f t="shared" si="0"/>
        <v>0x00000000,</v>
      </c>
      <c r="Z49" s="32"/>
    </row>
    <row r="50" spans="1:7">
      <c r="A50" s="21" t="s">
        <v>136</v>
      </c>
      <c r="B50" s="18" t="s">
        <v>48</v>
      </c>
      <c r="C50" s="19">
        <v>3</v>
      </c>
      <c r="D50" s="19">
        <v>2</v>
      </c>
      <c r="E50" s="19">
        <v>0</v>
      </c>
      <c r="F50" s="20"/>
      <c r="G50" s="20"/>
    </row>
    <row r="52" spans="5:5">
      <c r="E52" s="22"/>
    </row>
    <row r="53" spans="1:5">
      <c r="A53" s="13"/>
      <c r="B53" s="13"/>
      <c r="C53" s="13"/>
      <c r="D53" s="13"/>
      <c r="E53" s="22"/>
    </row>
    <row r="54" spans="1:5">
      <c r="A54" s="23"/>
      <c r="B54" s="24"/>
      <c r="C54" s="24"/>
      <c r="D54" s="24"/>
      <c r="E54" s="22"/>
    </row>
    <row r="55" spans="1:5">
      <c r="A55" s="23"/>
      <c r="B55" s="24"/>
      <c r="C55" s="24"/>
      <c r="D55" s="24"/>
      <c r="E55" s="22"/>
    </row>
    <row r="56" spans="1:5">
      <c r="A56" s="23"/>
      <c r="B56" s="24"/>
      <c r="C56" s="24"/>
      <c r="D56" s="24"/>
      <c r="E56" s="22"/>
    </row>
    <row r="57" spans="1:5">
      <c r="A57" s="23"/>
      <c r="B57" s="24"/>
      <c r="C57" s="24"/>
      <c r="D57" s="24"/>
      <c r="E57" s="22"/>
    </row>
    <row r="58" spans="1:5">
      <c r="A58" s="23"/>
      <c r="B58" s="24"/>
      <c r="C58" s="24"/>
      <c r="D58" s="24"/>
      <c r="E58" s="22"/>
    </row>
    <row r="59" spans="1:4">
      <c r="A59" s="23"/>
      <c r="B59" s="24"/>
      <c r="C59" s="25"/>
      <c r="D59" s="25"/>
    </row>
    <row r="60" spans="1:4">
      <c r="A60" s="23"/>
      <c r="B60" s="24"/>
      <c r="C60" s="24"/>
      <c r="D60" s="24"/>
    </row>
    <row r="61" spans="1:4">
      <c r="A61" s="17"/>
      <c r="B61" s="13"/>
      <c r="C61" s="13"/>
      <c r="D61" s="13"/>
    </row>
    <row r="62" spans="1:4">
      <c r="A62" s="17"/>
      <c r="B62" s="13"/>
      <c r="C62" s="13"/>
      <c r="D62" s="13"/>
    </row>
    <row r="63" spans="1:4">
      <c r="A63" s="17"/>
      <c r="B63" s="26"/>
      <c r="C63" s="26"/>
      <c r="D63" s="27"/>
    </row>
    <row r="64" spans="1:4">
      <c r="A64" s="17"/>
      <c r="B64" s="13"/>
      <c r="C64" s="13"/>
      <c r="D64" s="13"/>
    </row>
    <row r="65" spans="1:5">
      <c r="A65" s="33"/>
      <c r="B65" s="34"/>
      <c r="C65" s="34"/>
      <c r="D65" s="34"/>
      <c r="E65" s="12"/>
    </row>
    <row r="66" spans="1:5">
      <c r="A66" s="17"/>
      <c r="B66" s="13"/>
      <c r="C66" s="13"/>
      <c r="D66" s="13"/>
      <c r="E66" s="12"/>
    </row>
    <row r="67" spans="1:5">
      <c r="A67" s="23"/>
      <c r="B67" s="24"/>
      <c r="C67" s="24"/>
      <c r="D67" s="24"/>
      <c r="E67" s="12"/>
    </row>
    <row r="68" spans="1:5">
      <c r="A68" s="23"/>
      <c r="B68" s="24"/>
      <c r="C68" s="24"/>
      <c r="D68" s="24"/>
      <c r="E68" s="12"/>
    </row>
    <row r="69" spans="1:4">
      <c r="A69" s="23"/>
      <c r="B69" s="24"/>
      <c r="C69" s="24"/>
      <c r="D69" s="24"/>
    </row>
    <row r="70" spans="1:4">
      <c r="A70" s="23"/>
      <c r="B70" s="24"/>
      <c r="C70" s="24"/>
      <c r="D70" s="24"/>
    </row>
    <row r="71" spans="1:4">
      <c r="A71" s="23"/>
      <c r="B71" s="24"/>
      <c r="C71" s="24"/>
      <c r="D71" s="24"/>
    </row>
    <row r="72" spans="1:4">
      <c r="A72" s="23"/>
      <c r="B72" s="24"/>
      <c r="C72" s="24"/>
      <c r="D72" s="24"/>
    </row>
    <row r="73" spans="1:4">
      <c r="A73" s="23"/>
      <c r="B73" s="24"/>
      <c r="C73" s="24"/>
      <c r="D73" s="24"/>
    </row>
    <row r="74" spans="1:4">
      <c r="A74" s="23"/>
      <c r="B74" s="24"/>
      <c r="C74" s="24"/>
      <c r="D74" s="24"/>
    </row>
    <row r="75" spans="1:4">
      <c r="A75" s="35"/>
      <c r="B75" s="36"/>
      <c r="C75" s="36"/>
      <c r="D75" s="3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CH42_CH58</vt:lpstr>
      <vt:lpstr>CH106_CH155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2023-04-21T08:43:00Z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2052-11.1.0.12763</vt:lpwstr>
  </property>
</Properties>
</file>