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13455" activeTab="5"/>
  </bookViews>
  <sheets>
    <sheet name="CH42" sheetId="1" r:id="rId1"/>
    <sheet name="CH58" sheetId="2" r:id="rId2"/>
    <sheet name="CH106" sheetId="3" r:id="rId3"/>
    <sheet name="CH122" sheetId="4" r:id="rId4"/>
    <sheet name="CH138" sheetId="5" r:id="rId5"/>
    <sheet name="CH155" sheetId="6" r:id="rId6"/>
  </sheets>
  <calcPr calcId="144525"/>
</workbook>
</file>

<file path=xl/sharedStrings.xml><?xml version="1.0" encoding="utf-8"?>
<sst xmlns="http://schemas.openxmlformats.org/spreadsheetml/2006/main" count="3936" uniqueCount="126">
  <si>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</si>
  <si>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</si>
  <si>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</si>
  <si>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</si>
  <si>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</si>
  <si>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</si>
  <si>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</si>
  <si>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</si>
  <si>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</si>
  <si>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</si>
  <si>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</si>
  <si>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</si>
  <si>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0</t>
  </si>
  <si>
    <t>40346d00</t>
  </si>
  <si>
    <t>//index 0</t>
  </si>
  <si>
    <t>wf_daclf_rnd_sw</t>
  </si>
  <si>
    <t>40346d04</t>
  </si>
  <si>
    <t>wf_daclf_scale_step_6db</t>
  </si>
  <si>
    <t>93:92</t>
  </si>
  <si>
    <t>2</t>
  </si>
  <si>
    <t>40346d08</t>
  </si>
  <si>
    <t>wf_dtmx_dynbias_en</t>
  </si>
  <si>
    <t>//index 1</t>
  </si>
  <si>
    <t>wf_dtmx_rfdyn_ref_vbit</t>
  </si>
  <si>
    <t>90:87</t>
  </si>
  <si>
    <t>4</t>
  </si>
  <si>
    <t>8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</si>
  <si>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</si>
  <si>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</si>
  <si>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</si>
  <si>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</si>
  <si>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</si>
  <si>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</si>
  <si>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</si>
  <si>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</si>
  <si>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</si>
  <si>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wf_dtmx_dac_gbit3</t>
  </si>
  <si>
    <t>76:73</t>
  </si>
  <si>
    <t>//index 3</t>
  </si>
  <si>
    <t>wf_dtmx_dac_gbit2</t>
  </si>
  <si>
    <t>72:69</t>
  </si>
  <si>
    <t>15</t>
  </si>
  <si>
    <t>13</t>
  </si>
  <si>
    <t>12</t>
  </si>
  <si>
    <t>6</t>
  </si>
  <si>
    <t>3</t>
  </si>
  <si>
    <t>5</t>
  </si>
  <si>
    <t>wf_dtmx_dac_gbit1</t>
  </si>
  <si>
    <t>68:66</t>
  </si>
  <si>
    <t>7</t>
  </si>
  <si>
    <t>wf_pa24g_vl_vbit</t>
  </si>
  <si>
    <t>65:63</t>
  </si>
  <si>
    <t>//index 4</t>
  </si>
  <si>
    <t>wf_pa_24g_vl_cgm_ibit</t>
  </si>
  <si>
    <t>62:59</t>
  </si>
  <si>
    <t>9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</si>
  <si>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</si>
  <si>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</si>
  <si>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</si>
  <si>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</si>
  <si>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</si>
  <si>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</si>
  <si>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</si>
  <si>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</si>
  <si>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</si>
  <si>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</si>
  <si>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</si>
  <si>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</si>
  <si>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</si>
  <si>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</si>
  <si>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</si>
  <si>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</si>
  <si>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</si>
  <si>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</si>
  <si>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</si>
  <si>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</si>
  <si>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</si>
  <si>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</si>
  <si>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</si>
  <si>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</si>
  <si>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</si>
  <si>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</si>
  <si>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</si>
  <si>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</si>
  <si>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</si>
  <si>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</si>
  <si>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</si>
  <si>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</si>
  <si>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</si>
  <si>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</si>
  <si>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</si>
  <si>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</si>
  <si>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</si>
  <si>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32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</si>
  <si>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</si>
  <si>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</si>
  <si>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</si>
  <si>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</si>
  <si>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</si>
  <si>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</si>
  <si>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</si>
  <si>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</si>
  <si>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</si>
  <si>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</si>
  <si>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</si>
  <si>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</si>
  <si>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</si>
  <si>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</si>
  <si>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</si>
  <si>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</si>
  <si>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</si>
  <si>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APC_5G_MCS11</t>
  </si>
  <si>
    <t>POWER</t>
  </si>
  <si>
    <t>40346D08</t>
  </si>
  <si>
    <t>d</t>
  </si>
  <si>
    <t>//index 13</t>
  </si>
  <si>
    <t>40346D04</t>
  </si>
  <si>
    <t>40346D00</t>
  </si>
  <si>
    <t>e</t>
  </si>
  <si>
    <t>//index 14</t>
  </si>
  <si>
    <t>f</t>
  </si>
  <si>
    <t>//index 15</t>
  </si>
  <si>
    <t>14</t>
  </si>
  <si>
    <t>11</t>
  </si>
  <si>
    <t>10</t>
  </si>
  <si>
    <t>DIG:80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</si>
</sst>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8" borderId="0">
      <alignment vertical="center"/>
    </xf>
    <xf numFmtId="0" fontId="5" fillId="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0" borderId="0">
      <alignment vertical="center"/>
    </xf>
    <xf numFmtId="0" fontId="6" fillId="11" borderId="0">
      <alignment vertical="center"/>
    </xf>
    <xf numFmtId="43" fontId="0" fillId="0" borderId="0">
      <alignment vertical="center"/>
    </xf>
    <xf numFmtId="0" fontId="7" fillId="12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3" borderId="4">
      <alignment vertical="center"/>
    </xf>
    <xf numFmtId="0" fontId="7" fillId="14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7" fillId="15" borderId="0">
      <alignment vertical="center"/>
    </xf>
    <xf numFmtId="0" fontId="10" fillId="0" borderId="6">
      <alignment vertical="center"/>
    </xf>
    <xf numFmtId="0" fontId="7" fillId="16" borderId="0">
      <alignment vertical="center"/>
    </xf>
    <xf numFmtId="0" fontId="16" fillId="17" borderId="7">
      <alignment vertical="center"/>
    </xf>
    <xf numFmtId="0" fontId="17" fillId="17" borderId="3">
      <alignment vertical="center"/>
    </xf>
    <xf numFmtId="0" fontId="18" fillId="18" borderId="8">
      <alignment vertical="center"/>
    </xf>
    <xf numFmtId="0" fontId="4" fillId="19" borderId="0">
      <alignment vertical="center"/>
    </xf>
    <xf numFmtId="0" fontId="7" fillId="20" borderId="0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7" borderId="0">
      <alignment vertical="center"/>
    </xf>
    <xf numFmtId="0" fontId="22" fillId="21" borderId="0">
      <alignment vertical="center"/>
    </xf>
    <xf numFmtId="0" fontId="4" fillId="22" borderId="0">
      <alignment vertical="center"/>
    </xf>
    <xf numFmtId="0" fontId="7" fillId="23" borderId="0">
      <alignment vertical="center"/>
    </xf>
    <xf numFmtId="0" fontId="4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7" fillId="28" borderId="0">
      <alignment vertical="center"/>
    </xf>
    <xf numFmtId="0" fontId="7" fillId="29" borderId="0">
      <alignment vertical="center"/>
    </xf>
    <xf numFmtId="0" fontId="4" fillId="30" borderId="0">
      <alignment vertical="center"/>
    </xf>
    <xf numFmtId="0" fontId="4" fillId="31" borderId="0">
      <alignment vertical="center"/>
    </xf>
    <xf numFmtId="0" fontId="7" fillId="32" borderId="0">
      <alignment vertical="center"/>
    </xf>
    <xf numFmtId="0" fontId="4" fillId="33" borderId="0">
      <alignment vertical="center"/>
    </xf>
    <xf numFmtId="0" fontId="7" fillId="34" borderId="0">
      <alignment vertical="center"/>
    </xf>
    <xf numFmtId="0" fontId="7" fillId="35" borderId="0">
      <alignment vertical="center"/>
    </xf>
    <xf numFmtId="0" fontId="4" fillId="36" borderId="0">
      <alignment vertical="center"/>
    </xf>
    <xf numFmtId="0" fontId="7" fillId="37" borderId="0">
      <alignment vertical="center"/>
    </xf>
  </cellStyleXfs>
  <cellXfs count="62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176" fontId="0" fillId="5" borderId="1" xfId="0" applyNumberForma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2" fillId="4" borderId="0" xfId="0" applyFont="1" applyFill="1"/>
    <xf numFmtId="0" fontId="1" fillId="4" borderId="0" xfId="0" applyFont="1" applyFill="1" applyAlignment="1">
      <alignment horizontal="center"/>
    </xf>
    <xf numFmtId="0" fontId="2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1" xfId="0" applyNumberForma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3" fillId="7" borderId="0" xfId="31" applyFont="1" applyFill="1">
      <alignment vertical="center"/>
    </xf>
    <xf numFmtId="49" fontId="1" fillId="0" borderId="2" xfId="0" applyNumberFormat="1" applyFont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0" fontId="0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1" fillId="0" borderId="0" xfId="0" applyFont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5" borderId="0" xfId="0" applyNumberFormat="1" applyFont="1" applyFill="1" applyBorder="1" applyAlignment="1">
      <alignment horizontal="center"/>
    </xf>
    <xf numFmtId="0" fontId="3" fillId="0" borderId="0" xfId="31" applyFont="1" applyFill="1">
      <alignment vertical="center"/>
    </xf>
    <xf numFmtId="49" fontId="2" fillId="0" borderId="0" xfId="0" applyNumberFormat="1" applyFont="1" applyAlignment="1">
      <alignment horizontal="left"/>
    </xf>
    <xf numFmtId="20" fontId="1" fillId="0" borderId="0" xfId="0" applyNumberFormat="1" applyFont="1" applyAlignment="1">
      <alignment horizontal="left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2"/>
  <sheetViews>
    <sheetView topLeftCell="B1" workbookViewId="0">
      <selection activeCell="F33" sqref="F33"/>
    </sheetView>
  </sheetViews>
  <sheetFormatPr defaultColWidth="9" defaultRowHeight="14.25"/>
  <cols>
    <col min="1" max="1" width="24.625" customWidth="1"/>
    <col min="4" max="4" width="14.875" customWidth="1"/>
    <col min="19" max="19" width="10.625" customWidth="1"/>
    <col min="24" max="24" width="13.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2" t="s">
        <v>9</v>
      </c>
      <c r="V1" s="32"/>
      <c r="W1" s="32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  <c r="M2" s="4" t="s">
        <v>12</v>
      </c>
      <c r="N2" s="4" t="s">
        <v>12</v>
      </c>
      <c r="O2" s="4" t="s">
        <v>12</v>
      </c>
      <c r="P2" s="4" t="s">
        <v>12</v>
      </c>
      <c r="Q2" s="4" t="s">
        <v>12</v>
      </c>
      <c r="R2" s="4" t="s">
        <v>12</v>
      </c>
      <c r="S2" s="37" t="s">
        <v>12</v>
      </c>
      <c r="T2" s="38"/>
      <c r="U2" s="35">
        <v>0</v>
      </c>
      <c r="V2" s="32" t="s">
        <v>13</v>
      </c>
      <c r="W2" s="36" t="str">
        <f>S43</f>
        <v>F03B7004</v>
      </c>
      <c r="X2" t="str">
        <f>"0x"&amp;RIGHT("00000000"&amp;W2,8)&amp;","</f>
        <v>0xF03B7004,</v>
      </c>
      <c r="Y2" s="44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  <c r="M3" s="4" t="s">
        <v>12</v>
      </c>
      <c r="N3" s="4" t="s">
        <v>12</v>
      </c>
      <c r="O3" s="4" t="s">
        <v>12</v>
      </c>
      <c r="P3" s="4" t="s">
        <v>12</v>
      </c>
      <c r="Q3" s="4" t="s">
        <v>12</v>
      </c>
      <c r="R3" s="4" t="s">
        <v>12</v>
      </c>
      <c r="S3" s="37" t="s">
        <v>12</v>
      </c>
      <c r="T3" s="38"/>
      <c r="U3" s="35"/>
      <c r="V3" s="32" t="s">
        <v>16</v>
      </c>
      <c r="W3" s="36" t="str">
        <f>S42</f>
        <v>48BF4F5D</v>
      </c>
      <c r="X3" t="str">
        <f t="shared" ref="X3:X49" si="0">"0x"&amp;RIGHT("00000000"&amp;W3,8)&amp;","</f>
        <v>0x48BF4F5D,</v>
      </c>
      <c r="Y3" s="44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  <c r="M4" s="4" t="s">
        <v>12</v>
      </c>
      <c r="N4" s="4" t="s">
        <v>12</v>
      </c>
      <c r="O4" s="4" t="s">
        <v>12</v>
      </c>
      <c r="P4" s="4" t="s">
        <v>12</v>
      </c>
      <c r="Q4" s="4" t="s">
        <v>12</v>
      </c>
      <c r="R4" s="4" t="s">
        <v>12</v>
      </c>
      <c r="S4" s="37" t="s">
        <v>12</v>
      </c>
      <c r="T4" s="38"/>
      <c r="U4" s="35"/>
      <c r="V4" s="32" t="s">
        <v>20</v>
      </c>
      <c r="W4" s="36" t="str">
        <f>S41</f>
        <v>44080AA</v>
      </c>
      <c r="X4" t="str">
        <f t="shared" si="0"/>
        <v>0x044080AA,</v>
      </c>
      <c r="Y4" s="44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  <c r="M5" s="4" t="s">
        <v>12</v>
      </c>
      <c r="N5" s="4" t="s">
        <v>12</v>
      </c>
      <c r="O5" s="4" t="s">
        <v>12</v>
      </c>
      <c r="P5" s="4" t="s">
        <v>12</v>
      </c>
      <c r="Q5" s="4" t="s">
        <v>12</v>
      </c>
      <c r="R5" s="4" t="s">
        <v>12</v>
      </c>
      <c r="S5" s="37" t="s">
        <v>12</v>
      </c>
      <c r="T5" s="38"/>
      <c r="U5" s="35">
        <v>1</v>
      </c>
      <c r="V5" s="32" t="s">
        <v>13</v>
      </c>
      <c r="W5" s="36" t="str">
        <f>R43</f>
        <v>F03B7006</v>
      </c>
      <c r="X5" t="str">
        <f t="shared" si="0"/>
        <v>0xF03B7006,</v>
      </c>
      <c r="Y5" s="44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26</v>
      </c>
      <c r="S6" s="37" t="s">
        <v>26</v>
      </c>
      <c r="T6" s="38"/>
      <c r="U6" s="35"/>
      <c r="V6" s="32" t="s">
        <v>16</v>
      </c>
      <c r="W6" s="36" t="str">
        <f>R42</f>
        <v>48BF4F5D</v>
      </c>
      <c r="X6" t="str">
        <f t="shared" si="0"/>
        <v>0x48BF4F5D,</v>
      </c>
      <c r="Y6" s="44"/>
    </row>
    <row r="7" spans="1:25">
      <c r="A7" s="2" t="s">
        <v>27</v>
      </c>
      <c r="B7" s="2" t="s">
        <v>28</v>
      </c>
      <c r="C7" s="3" t="s">
        <v>25</v>
      </c>
      <c r="D7" s="2"/>
      <c r="E7" s="2"/>
      <c r="F7" s="2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7" t="s">
        <v>26</v>
      </c>
      <c r="T7" s="38"/>
      <c r="U7" s="35"/>
      <c r="V7" s="32" t="s">
        <v>20</v>
      </c>
      <c r="W7" s="36" t="str">
        <f>R41</f>
        <v>4408072</v>
      </c>
      <c r="X7" t="str">
        <f t="shared" si="0"/>
        <v>0x04408072,</v>
      </c>
      <c r="Y7" s="44"/>
    </row>
    <row r="8" spans="1:25">
      <c r="A8" s="2" t="s">
        <v>29</v>
      </c>
      <c r="B8" s="2" t="s">
        <v>30</v>
      </c>
      <c r="C8" s="3" t="s">
        <v>11</v>
      </c>
      <c r="D8" s="2"/>
      <c r="E8" s="2"/>
      <c r="F8" s="2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4" t="s">
        <v>12</v>
      </c>
      <c r="R8" s="4" t="s">
        <v>12</v>
      </c>
      <c r="S8" s="37" t="s">
        <v>12</v>
      </c>
      <c r="T8" s="38"/>
      <c r="U8" s="35">
        <v>2</v>
      </c>
      <c r="V8" s="32" t="s">
        <v>13</v>
      </c>
      <c r="W8" s="36" t="str">
        <f>Q43</f>
        <v>F03B7007</v>
      </c>
      <c r="X8" t="str">
        <f t="shared" si="0"/>
        <v>0xF03B7007,</v>
      </c>
      <c r="Y8" s="44" t="s">
        <v>31</v>
      </c>
    </row>
    <row r="9" spans="1:25">
      <c r="A9" s="2" t="s">
        <v>32</v>
      </c>
      <c r="B9" s="2" t="s">
        <v>33</v>
      </c>
      <c r="C9" s="3" t="s">
        <v>11</v>
      </c>
      <c r="D9" s="2"/>
      <c r="E9" s="2"/>
      <c r="F9" s="2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37" t="s">
        <v>12</v>
      </c>
      <c r="T9" s="38"/>
      <c r="U9" s="35"/>
      <c r="V9" s="32" t="s">
        <v>16</v>
      </c>
      <c r="W9" s="36" t="str">
        <f>Q42</f>
        <v>48BF4F5D</v>
      </c>
      <c r="X9" t="str">
        <f t="shared" si="0"/>
        <v>0x48BF4F5D,</v>
      </c>
      <c r="Y9" s="44"/>
    </row>
    <row r="10" spans="1:25">
      <c r="A10" s="5" t="s">
        <v>34</v>
      </c>
      <c r="B10" s="5" t="s">
        <v>35</v>
      </c>
      <c r="C10" s="6" t="s">
        <v>25</v>
      </c>
      <c r="D10" s="5"/>
      <c r="E10" s="5"/>
      <c r="F10" s="5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39" t="s">
        <v>25</v>
      </c>
      <c r="T10" s="38"/>
      <c r="U10" s="35"/>
      <c r="V10" s="32" t="s">
        <v>20</v>
      </c>
      <c r="W10" s="36" t="str">
        <f>Q41</f>
        <v>440806E</v>
      </c>
      <c r="X10" t="str">
        <f t="shared" si="0"/>
        <v>0x0440806E,</v>
      </c>
      <c r="Y10" s="44"/>
    </row>
    <row r="11" spans="1:25">
      <c r="A11" s="2" t="s">
        <v>36</v>
      </c>
      <c r="B11" s="2" t="s">
        <v>37</v>
      </c>
      <c r="C11" s="3" t="s">
        <v>25</v>
      </c>
      <c r="D11" s="2"/>
      <c r="E11" s="2"/>
      <c r="F11" s="2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37" t="s">
        <v>12</v>
      </c>
      <c r="T11" s="38"/>
      <c r="U11" s="35">
        <v>3</v>
      </c>
      <c r="V11" s="32" t="s">
        <v>13</v>
      </c>
      <c r="W11" s="36" t="str">
        <f>P43</f>
        <v>F03B7009</v>
      </c>
      <c r="X11" t="str">
        <f t="shared" si="0"/>
        <v>0xF03B7009,</v>
      </c>
      <c r="Y11" s="44" t="s">
        <v>38</v>
      </c>
    </row>
    <row r="12" spans="1:25">
      <c r="A12" s="5" t="s">
        <v>39</v>
      </c>
      <c r="B12" s="5" t="s">
        <v>40</v>
      </c>
      <c r="C12" s="6" t="s">
        <v>25</v>
      </c>
      <c r="D12" s="5"/>
      <c r="E12" s="5"/>
      <c r="F12" s="5"/>
      <c r="G12" s="7" t="s">
        <v>41</v>
      </c>
      <c r="H12" s="7" t="s">
        <v>41</v>
      </c>
      <c r="I12" s="7" t="s">
        <v>42</v>
      </c>
      <c r="J12" s="7" t="s">
        <v>43</v>
      </c>
      <c r="K12" s="7" t="s">
        <v>26</v>
      </c>
      <c r="L12" s="7" t="s">
        <v>44</v>
      </c>
      <c r="M12" s="48" t="s">
        <v>25</v>
      </c>
      <c r="N12" s="48" t="s">
        <v>25</v>
      </c>
      <c r="O12" s="48" t="s">
        <v>45</v>
      </c>
      <c r="P12" s="8" t="s">
        <v>45</v>
      </c>
      <c r="Q12" s="8" t="s">
        <v>45</v>
      </c>
      <c r="R12" s="8" t="s">
        <v>45</v>
      </c>
      <c r="S12" s="40" t="s">
        <v>46</v>
      </c>
      <c r="T12" s="41"/>
      <c r="U12" s="35"/>
      <c r="V12" s="32" t="s">
        <v>16</v>
      </c>
      <c r="W12" s="36" t="str">
        <f>P42</f>
        <v>48BF4F5D</v>
      </c>
      <c r="X12" t="str">
        <f t="shared" si="0"/>
        <v>0x48BF4F5D,</v>
      </c>
      <c r="Y12" s="44"/>
    </row>
    <row r="13" spans="1:25">
      <c r="A13" s="5" t="s">
        <v>47</v>
      </c>
      <c r="B13" s="5" t="s">
        <v>48</v>
      </c>
      <c r="C13" s="6" t="s">
        <v>45</v>
      </c>
      <c r="D13" s="5"/>
      <c r="E13" s="5"/>
      <c r="F13" s="5"/>
      <c r="G13" s="8" t="s">
        <v>49</v>
      </c>
      <c r="H13" s="8" t="s">
        <v>46</v>
      </c>
      <c r="I13" s="7" t="s">
        <v>46</v>
      </c>
      <c r="J13" s="7" t="s">
        <v>19</v>
      </c>
      <c r="K13" s="7" t="s">
        <v>45</v>
      </c>
      <c r="L13" s="7" t="s">
        <v>45</v>
      </c>
      <c r="M13" s="48" t="s">
        <v>45</v>
      </c>
      <c r="N13" s="48" t="s">
        <v>25</v>
      </c>
      <c r="O13" s="48" t="s">
        <v>25</v>
      </c>
      <c r="P13" s="8" t="s">
        <v>46</v>
      </c>
      <c r="Q13" s="8" t="s">
        <v>45</v>
      </c>
      <c r="R13" s="8" t="s">
        <v>25</v>
      </c>
      <c r="S13" s="40" t="s">
        <v>19</v>
      </c>
      <c r="T13" s="41"/>
      <c r="U13" s="35"/>
      <c r="V13" s="32" t="s">
        <v>20</v>
      </c>
      <c r="W13" s="36" t="str">
        <f>P41</f>
        <v>4408076</v>
      </c>
      <c r="X13" t="str">
        <f t="shared" si="0"/>
        <v>0x04408076,</v>
      </c>
      <c r="Y13" s="44"/>
    </row>
    <row r="14" spans="1:25">
      <c r="A14" s="2" t="s">
        <v>50</v>
      </c>
      <c r="B14" s="2" t="s">
        <v>51</v>
      </c>
      <c r="C14" s="3" t="s">
        <v>45</v>
      </c>
      <c r="D14" s="2"/>
      <c r="E14" s="2"/>
      <c r="F14" s="2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37" t="s">
        <v>25</v>
      </c>
      <c r="T14" s="38"/>
      <c r="U14" s="35">
        <v>4</v>
      </c>
      <c r="V14" s="32" t="s">
        <v>13</v>
      </c>
      <c r="W14" s="36" t="str">
        <f>O43</f>
        <v>F03B700C</v>
      </c>
      <c r="X14" t="str">
        <f t="shared" si="0"/>
        <v>0xF03B700C,</v>
      </c>
      <c r="Y14" s="44" t="s">
        <v>52</v>
      </c>
    </row>
    <row r="15" spans="1:25">
      <c r="A15" s="2" t="s">
        <v>53</v>
      </c>
      <c r="B15" s="2" t="s">
        <v>54</v>
      </c>
      <c r="C15" s="3" t="s">
        <v>25</v>
      </c>
      <c r="D15" s="2"/>
      <c r="E15" s="2"/>
      <c r="F15" s="2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4" t="s">
        <v>55</v>
      </c>
      <c r="R15" s="4" t="s">
        <v>55</v>
      </c>
      <c r="S15" s="37" t="s">
        <v>55</v>
      </c>
      <c r="T15" s="38"/>
      <c r="U15" s="35"/>
      <c r="V15" s="32" t="s">
        <v>16</v>
      </c>
      <c r="W15" s="36" t="str">
        <f>O42</f>
        <v>48BF4F5D</v>
      </c>
      <c r="X15" t="str">
        <f t="shared" si="0"/>
        <v>0x48BF4F5D,</v>
      </c>
      <c r="Y15" s="44"/>
    </row>
    <row r="16" spans="1:25">
      <c r="A16" s="2" t="s">
        <v>56</v>
      </c>
      <c r="B16" s="2" t="s">
        <v>57</v>
      </c>
      <c r="C16" s="3" t="s">
        <v>45</v>
      </c>
      <c r="D16" s="2"/>
      <c r="E16" s="2"/>
      <c r="F16" s="2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4" t="s">
        <v>12</v>
      </c>
      <c r="R16" s="4" t="s">
        <v>12</v>
      </c>
      <c r="S16" s="37" t="s">
        <v>12</v>
      </c>
      <c r="T16" s="38"/>
      <c r="U16" s="35"/>
      <c r="V16" s="32" t="s">
        <v>20</v>
      </c>
      <c r="W16" s="36" t="str">
        <f>O41</f>
        <v>4408072</v>
      </c>
      <c r="X16" t="str">
        <f t="shared" si="0"/>
        <v>0x04408072,</v>
      </c>
      <c r="Y16" s="44"/>
    </row>
    <row r="17" spans="1:25">
      <c r="A17" s="2" t="s">
        <v>58</v>
      </c>
      <c r="B17" s="2" t="s">
        <v>59</v>
      </c>
      <c r="C17" s="3" t="s">
        <v>11</v>
      </c>
      <c r="D17" s="2"/>
      <c r="E17" s="2"/>
      <c r="F17" s="2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4" t="s">
        <v>11</v>
      </c>
      <c r="R17" s="4" t="s">
        <v>11</v>
      </c>
      <c r="S17" s="37" t="s">
        <v>11</v>
      </c>
      <c r="T17" s="38"/>
      <c r="U17" s="35">
        <v>5</v>
      </c>
      <c r="V17" s="32" t="s">
        <v>13</v>
      </c>
      <c r="W17" s="36" t="str">
        <f>N43</f>
        <v>F03B700C</v>
      </c>
      <c r="X17" t="str">
        <f t="shared" si="0"/>
        <v>0xF03B700C,</v>
      </c>
      <c r="Y17" s="44" t="s">
        <v>60</v>
      </c>
    </row>
    <row r="18" spans="1:25">
      <c r="A18" s="2" t="s">
        <v>61</v>
      </c>
      <c r="B18" s="2" t="s">
        <v>62</v>
      </c>
      <c r="C18" s="3" t="s">
        <v>11</v>
      </c>
      <c r="D18" s="2"/>
      <c r="E18" s="2"/>
      <c r="F18" s="2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37" t="s">
        <v>12</v>
      </c>
      <c r="T18" s="38"/>
      <c r="U18" s="35"/>
      <c r="V18" s="32" t="s">
        <v>16</v>
      </c>
      <c r="W18" s="36" t="str">
        <f>N42</f>
        <v>48BF4F5D</v>
      </c>
      <c r="X18" t="str">
        <f t="shared" si="0"/>
        <v>0x48BF4F5D,</v>
      </c>
      <c r="Y18" s="44"/>
    </row>
    <row r="19" spans="1:25">
      <c r="A19" s="2" t="s">
        <v>63</v>
      </c>
      <c r="B19" s="2" t="s">
        <v>64</v>
      </c>
      <c r="C19" s="3" t="s">
        <v>19</v>
      </c>
      <c r="D19" s="2"/>
      <c r="E19" s="2"/>
      <c r="F19" s="2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37" t="s">
        <v>45</v>
      </c>
      <c r="T19" s="38"/>
      <c r="U19" s="35"/>
      <c r="V19" s="32" t="s">
        <v>20</v>
      </c>
      <c r="W19" s="36" t="str">
        <f>N41</f>
        <v>4408092</v>
      </c>
      <c r="X19" t="str">
        <f t="shared" si="0"/>
        <v>0x04408092,</v>
      </c>
      <c r="Y19" s="44"/>
    </row>
    <row r="20" spans="1:25">
      <c r="A20" s="2" t="s">
        <v>65</v>
      </c>
      <c r="B20" s="2" t="s">
        <v>66</v>
      </c>
      <c r="C20" s="3" t="s">
        <v>19</v>
      </c>
      <c r="D20" s="2"/>
      <c r="E20" s="2"/>
      <c r="F20" s="2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37" t="s">
        <v>45</v>
      </c>
      <c r="T20" s="38"/>
      <c r="U20" s="35">
        <v>6</v>
      </c>
      <c r="V20" s="32" t="s">
        <v>13</v>
      </c>
      <c r="W20" s="36" t="str">
        <f>M43</f>
        <v>F03B700F</v>
      </c>
      <c r="X20" t="str">
        <f t="shared" si="0"/>
        <v>0xF03B700F,</v>
      </c>
      <c r="Y20" s="44" t="s">
        <v>67</v>
      </c>
    </row>
    <row r="21" spans="1:25">
      <c r="A21" s="2" t="s">
        <v>68</v>
      </c>
      <c r="B21" s="2" t="s">
        <v>69</v>
      </c>
      <c r="C21" s="3" t="s">
        <v>45</v>
      </c>
      <c r="D21" s="2"/>
      <c r="E21" s="2"/>
      <c r="F21" s="2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7" t="s">
        <v>44</v>
      </c>
      <c r="T21" s="38"/>
      <c r="U21" s="35"/>
      <c r="V21" s="32" t="s">
        <v>16</v>
      </c>
      <c r="W21" s="36" t="str">
        <f>M42</f>
        <v>48BF4F5D</v>
      </c>
      <c r="X21" t="str">
        <f t="shared" si="0"/>
        <v>0x48BF4F5D,</v>
      </c>
      <c r="Y21" s="44"/>
    </row>
    <row r="22" spans="1:25">
      <c r="A22" s="2" t="s">
        <v>70</v>
      </c>
      <c r="B22" s="2" t="s">
        <v>71</v>
      </c>
      <c r="C22" s="3" t="s">
        <v>45</v>
      </c>
      <c r="D22" s="2"/>
      <c r="E22" s="2"/>
      <c r="F22" s="2"/>
      <c r="G22" s="4" t="s">
        <v>25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4" t="s">
        <v>25</v>
      </c>
      <c r="S22" s="37" t="s">
        <v>25</v>
      </c>
      <c r="T22" s="38"/>
      <c r="U22" s="35"/>
      <c r="V22" s="32" t="s">
        <v>20</v>
      </c>
      <c r="W22" s="36" t="str">
        <f>M41</f>
        <v>440808E</v>
      </c>
      <c r="X22" t="str">
        <f t="shared" si="0"/>
        <v>0x0440808E,</v>
      </c>
      <c r="Y22" s="44"/>
    </row>
    <row r="23" spans="1:25">
      <c r="A23" s="2" t="s">
        <v>72</v>
      </c>
      <c r="B23" s="2" t="s">
        <v>73</v>
      </c>
      <c r="C23" s="3" t="s">
        <v>11</v>
      </c>
      <c r="D23" s="2"/>
      <c r="E23" s="2"/>
      <c r="F23" s="2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37" t="s">
        <v>11</v>
      </c>
      <c r="T23" s="38"/>
      <c r="U23" s="35">
        <v>7</v>
      </c>
      <c r="V23" s="32" t="s">
        <v>13</v>
      </c>
      <c r="W23" s="36" t="str">
        <f>L43</f>
        <v>F03B700F</v>
      </c>
      <c r="X23" t="str">
        <f t="shared" si="0"/>
        <v>0xF03B700F,</v>
      </c>
      <c r="Y23" s="44" t="s">
        <v>74</v>
      </c>
    </row>
    <row r="24" spans="1:25">
      <c r="A24" s="2" t="s">
        <v>75</v>
      </c>
      <c r="B24" s="2" t="s">
        <v>76</v>
      </c>
      <c r="C24" s="3" t="s">
        <v>11</v>
      </c>
      <c r="D24" s="2"/>
      <c r="E24" s="2"/>
      <c r="F24" s="2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37" t="s">
        <v>11</v>
      </c>
      <c r="T24" s="38"/>
      <c r="U24" s="35"/>
      <c r="V24" s="32" t="s">
        <v>16</v>
      </c>
      <c r="W24" s="36" t="str">
        <f>L42</f>
        <v>48BF4F4D</v>
      </c>
      <c r="X24" t="str">
        <f t="shared" si="0"/>
        <v>0x48BF4F4D,</v>
      </c>
      <c r="Y24" s="44"/>
    </row>
    <row r="25" spans="1:25">
      <c r="A25" s="2" t="s">
        <v>77</v>
      </c>
      <c r="B25" s="2" t="s">
        <v>78</v>
      </c>
      <c r="C25" s="3" t="s">
        <v>45</v>
      </c>
      <c r="D25" s="2"/>
      <c r="E25" s="2"/>
      <c r="F25" s="2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7" t="s">
        <v>44</v>
      </c>
      <c r="T25" s="38"/>
      <c r="U25" s="35"/>
      <c r="V25" s="32" t="s">
        <v>20</v>
      </c>
      <c r="W25" s="36" t="str">
        <f>L41</f>
        <v>44080CE</v>
      </c>
      <c r="X25" t="str">
        <f t="shared" si="0"/>
        <v>0x044080CE,</v>
      </c>
      <c r="Y25" s="44"/>
    </row>
    <row r="26" spans="1:25">
      <c r="A26" s="2" t="s">
        <v>79</v>
      </c>
      <c r="B26" s="2" t="s">
        <v>80</v>
      </c>
      <c r="C26" s="3" t="s">
        <v>45</v>
      </c>
      <c r="D26" s="2"/>
      <c r="E26" s="2"/>
      <c r="F26" s="2"/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30" t="s">
        <v>46</v>
      </c>
      <c r="N26" s="30" t="s">
        <v>46</v>
      </c>
      <c r="O26" s="30" t="s">
        <v>46</v>
      </c>
      <c r="P26" s="30" t="s">
        <v>46</v>
      </c>
      <c r="Q26" s="30" t="s">
        <v>46</v>
      </c>
      <c r="R26" s="30" t="s">
        <v>46</v>
      </c>
      <c r="S26" s="42" t="s">
        <v>46</v>
      </c>
      <c r="T26" s="41"/>
      <c r="U26" s="35">
        <v>8</v>
      </c>
      <c r="V26" s="32" t="s">
        <v>13</v>
      </c>
      <c r="W26" s="36" t="str">
        <f>K43</f>
        <v>F03B700F</v>
      </c>
      <c r="X26" t="str">
        <f t="shared" si="0"/>
        <v>0xF03B700F,</v>
      </c>
      <c r="Y26" s="44" t="s">
        <v>81</v>
      </c>
    </row>
    <row r="27" spans="1:25">
      <c r="A27" s="2" t="s">
        <v>82</v>
      </c>
      <c r="B27" s="2" t="s">
        <v>83</v>
      </c>
      <c r="C27" s="3" t="s">
        <v>19</v>
      </c>
      <c r="D27" s="2"/>
      <c r="E27" s="2"/>
      <c r="F27" s="2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37" t="s">
        <v>45</v>
      </c>
      <c r="T27" s="38"/>
      <c r="U27" s="35"/>
      <c r="V27" s="32" t="s">
        <v>16</v>
      </c>
      <c r="W27" s="36" t="str">
        <f>K42</f>
        <v>48BF4F4D</v>
      </c>
      <c r="X27" t="str">
        <f t="shared" si="0"/>
        <v>0x48BF4F4D,</v>
      </c>
      <c r="Y27" s="44"/>
    </row>
    <row r="28" spans="1:25">
      <c r="A28" s="2" t="s">
        <v>84</v>
      </c>
      <c r="B28" s="2" t="s">
        <v>85</v>
      </c>
      <c r="C28" s="3" t="s">
        <v>11</v>
      </c>
      <c r="D28" s="2"/>
      <c r="E28" s="2"/>
      <c r="F28" s="2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4" t="s">
        <v>12</v>
      </c>
      <c r="R28" s="4" t="s">
        <v>12</v>
      </c>
      <c r="S28" s="37" t="s">
        <v>12</v>
      </c>
      <c r="T28" s="38"/>
      <c r="U28" s="35"/>
      <c r="V28" s="32" t="s">
        <v>20</v>
      </c>
      <c r="W28" s="36" t="str">
        <f>K41</f>
        <v>440810E</v>
      </c>
      <c r="X28" t="str">
        <f t="shared" si="0"/>
        <v>0x0440810E,</v>
      </c>
      <c r="Y28" s="44"/>
    </row>
    <row r="29" spans="1:25">
      <c r="A29" s="5" t="s">
        <v>86</v>
      </c>
      <c r="B29" s="5" t="s">
        <v>87</v>
      </c>
      <c r="C29" s="6" t="s">
        <v>19</v>
      </c>
      <c r="D29" s="5"/>
      <c r="E29" s="5"/>
      <c r="F29" s="5"/>
      <c r="G29" s="7" t="s">
        <v>45</v>
      </c>
      <c r="H29" s="7" t="s">
        <v>45</v>
      </c>
      <c r="I29" s="7" t="s">
        <v>45</v>
      </c>
      <c r="J29" s="7" t="s">
        <v>45</v>
      </c>
      <c r="K29" s="7" t="s">
        <v>45</v>
      </c>
      <c r="L29" s="7" t="s">
        <v>45</v>
      </c>
      <c r="M29" s="7" t="s">
        <v>45</v>
      </c>
      <c r="N29" s="7" t="s">
        <v>45</v>
      </c>
      <c r="O29" s="7" t="s">
        <v>45</v>
      </c>
      <c r="P29" s="7" t="s">
        <v>45</v>
      </c>
      <c r="Q29" s="7" t="s">
        <v>45</v>
      </c>
      <c r="R29" s="7" t="s">
        <v>45</v>
      </c>
      <c r="S29" s="39" t="s">
        <v>45</v>
      </c>
      <c r="T29" s="38"/>
      <c r="U29" s="35">
        <v>9</v>
      </c>
      <c r="V29" s="32" t="s">
        <v>13</v>
      </c>
      <c r="W29" s="36" t="str">
        <f>J43</f>
        <v>F03B700F</v>
      </c>
      <c r="X29" t="str">
        <f t="shared" si="0"/>
        <v>0xF03B700F,</v>
      </c>
      <c r="Y29" s="44" t="s">
        <v>88</v>
      </c>
    </row>
    <row r="30" spans="1:25">
      <c r="A30" s="5" t="s">
        <v>89</v>
      </c>
      <c r="B30" s="5" t="s">
        <v>90</v>
      </c>
      <c r="C30" s="6" t="s">
        <v>19</v>
      </c>
      <c r="D30" s="5"/>
      <c r="E30" s="5"/>
      <c r="F30" s="5"/>
      <c r="G30" s="7" t="s">
        <v>45</v>
      </c>
      <c r="H30" s="7" t="s">
        <v>45</v>
      </c>
      <c r="I30" s="7" t="s">
        <v>45</v>
      </c>
      <c r="J30" s="7" t="s">
        <v>45</v>
      </c>
      <c r="K30" s="7" t="s">
        <v>45</v>
      </c>
      <c r="L30" s="7" t="s">
        <v>45</v>
      </c>
      <c r="M30" s="7" t="s">
        <v>45</v>
      </c>
      <c r="N30" s="7" t="s">
        <v>45</v>
      </c>
      <c r="O30" s="7" t="s">
        <v>45</v>
      </c>
      <c r="P30" s="7" t="s">
        <v>45</v>
      </c>
      <c r="Q30" s="7" t="s">
        <v>45</v>
      </c>
      <c r="R30" s="7" t="s">
        <v>45</v>
      </c>
      <c r="S30" s="39" t="s">
        <v>45</v>
      </c>
      <c r="T30" s="38"/>
      <c r="U30" s="35"/>
      <c r="V30" s="32" t="s">
        <v>16</v>
      </c>
      <c r="W30" s="36" t="str">
        <f>J42</f>
        <v>48BF4F4D</v>
      </c>
      <c r="X30" t="str">
        <f t="shared" si="0"/>
        <v>0x48BF4F4D,</v>
      </c>
      <c r="Y30" s="44"/>
    </row>
    <row r="31" spans="1:25">
      <c r="A31" s="2" t="s">
        <v>91</v>
      </c>
      <c r="B31" s="2" t="s">
        <v>92</v>
      </c>
      <c r="C31" s="3" t="s">
        <v>44</v>
      </c>
      <c r="D31" s="2"/>
      <c r="E31" s="2"/>
      <c r="F31" s="2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4" t="s">
        <v>93</v>
      </c>
      <c r="R31" s="4" t="s">
        <v>93</v>
      </c>
      <c r="S31" s="37" t="s">
        <v>93</v>
      </c>
      <c r="T31" s="38"/>
      <c r="U31" s="35"/>
      <c r="V31" s="32" t="s">
        <v>20</v>
      </c>
      <c r="W31" s="36" t="str">
        <f>J41</f>
        <v>440818A</v>
      </c>
      <c r="X31" t="str">
        <f t="shared" si="0"/>
        <v>0x0440818A,</v>
      </c>
      <c r="Y31" s="44"/>
    </row>
    <row r="32" spans="1:25">
      <c r="A32" s="2" t="s">
        <v>94</v>
      </c>
      <c r="B32" s="2" t="s">
        <v>95</v>
      </c>
      <c r="C32" s="3" t="s">
        <v>25</v>
      </c>
      <c r="D32" s="2"/>
      <c r="E32" s="2"/>
      <c r="F32" s="2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4" t="s">
        <v>49</v>
      </c>
      <c r="R32" s="4" t="s">
        <v>49</v>
      </c>
      <c r="S32" s="37" t="s">
        <v>49</v>
      </c>
      <c r="T32" s="38"/>
      <c r="U32" s="35" t="s">
        <v>96</v>
      </c>
      <c r="V32" s="32" t="s">
        <v>13</v>
      </c>
      <c r="W32" s="36" t="str">
        <f>I43</f>
        <v>F03B700F</v>
      </c>
      <c r="X32" t="str">
        <f t="shared" si="0"/>
        <v>0xF03B700F,</v>
      </c>
      <c r="Y32" s="44" t="s">
        <v>97</v>
      </c>
    </row>
    <row r="33" spans="1:25">
      <c r="A33" s="2" t="s">
        <v>98</v>
      </c>
      <c r="B33" s="2" t="s">
        <v>99</v>
      </c>
      <c r="C33" s="3" t="s">
        <v>45</v>
      </c>
      <c r="D33" s="2"/>
      <c r="E33" s="2"/>
      <c r="F33" s="2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4" t="s">
        <v>45</v>
      </c>
      <c r="R33" s="4" t="s">
        <v>45</v>
      </c>
      <c r="S33" s="37" t="s">
        <v>45</v>
      </c>
      <c r="T33" s="38"/>
      <c r="U33" s="35"/>
      <c r="V33" s="32" t="s">
        <v>16</v>
      </c>
      <c r="W33" s="36" t="str">
        <f>I42</f>
        <v>48BF4F4D</v>
      </c>
      <c r="X33" t="str">
        <f t="shared" si="0"/>
        <v>0x48BF4F4D,</v>
      </c>
      <c r="Y33" s="44"/>
    </row>
    <row r="34" spans="1:25">
      <c r="A34" s="2" t="s">
        <v>100</v>
      </c>
      <c r="B34" s="2" t="s">
        <v>41</v>
      </c>
      <c r="C34" s="3" t="s">
        <v>11</v>
      </c>
      <c r="D34" s="2"/>
      <c r="E34" s="2"/>
      <c r="F34" s="2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4" t="s">
        <v>12</v>
      </c>
      <c r="R34" s="4" t="s">
        <v>12</v>
      </c>
      <c r="S34" s="37" t="s">
        <v>12</v>
      </c>
      <c r="T34" s="38"/>
      <c r="U34" s="35"/>
      <c r="V34" s="32" t="s">
        <v>20</v>
      </c>
      <c r="W34" s="36" t="str">
        <f>I41</f>
        <v>44081B6</v>
      </c>
      <c r="X34" t="str">
        <f t="shared" si="0"/>
        <v>0x044081B6,</v>
      </c>
      <c r="Y34" s="44"/>
    </row>
    <row r="35" spans="1:25">
      <c r="A35" s="2" t="s">
        <v>101</v>
      </c>
      <c r="B35" s="2" t="s">
        <v>102</v>
      </c>
      <c r="C35" s="3" t="s">
        <v>45</v>
      </c>
      <c r="D35" s="2"/>
      <c r="E35" s="2"/>
      <c r="F35" s="2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4" t="s">
        <v>49</v>
      </c>
      <c r="R35" s="4" t="s">
        <v>49</v>
      </c>
      <c r="S35" s="37" t="s">
        <v>49</v>
      </c>
      <c r="T35" s="38"/>
      <c r="U35" s="35" t="s">
        <v>103</v>
      </c>
      <c r="V35" s="32" t="s">
        <v>13</v>
      </c>
      <c r="W35" s="36" t="str">
        <f>H43</f>
        <v>F03B700F</v>
      </c>
      <c r="X35" t="str">
        <f t="shared" si="0"/>
        <v>0xF03B700F,</v>
      </c>
      <c r="Y35" s="44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0"/>
      <c r="E36" s="10"/>
      <c r="F36" s="10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12" t="s">
        <v>12</v>
      </c>
      <c r="R36" s="12" t="s">
        <v>12</v>
      </c>
      <c r="S36" s="43" t="s">
        <v>12</v>
      </c>
      <c r="T36" s="38"/>
      <c r="U36" s="35"/>
      <c r="V36" s="32" t="s">
        <v>16</v>
      </c>
      <c r="W36" s="36" t="str">
        <f>H42</f>
        <v>48BF4F4D</v>
      </c>
      <c r="X36" t="str">
        <f t="shared" si="0"/>
        <v>0x48BF4F4D,</v>
      </c>
      <c r="Y36" s="44"/>
    </row>
    <row r="37" spans="1:25">
      <c r="A37" s="2" t="s">
        <v>107</v>
      </c>
      <c r="B37" s="2" t="s">
        <v>108</v>
      </c>
      <c r="C37" s="3" t="s">
        <v>44</v>
      </c>
      <c r="D37" s="2"/>
      <c r="E37" s="2"/>
      <c r="F37" s="2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43</v>
      </c>
      <c r="O37" s="4" t="s">
        <v>43</v>
      </c>
      <c r="P37" s="4" t="s">
        <v>55</v>
      </c>
      <c r="Q37" s="4" t="s">
        <v>49</v>
      </c>
      <c r="R37" s="4" t="s">
        <v>44</v>
      </c>
      <c r="S37" s="37" t="s">
        <v>25</v>
      </c>
      <c r="T37" s="38"/>
      <c r="U37" s="35"/>
      <c r="V37" s="32" t="s">
        <v>20</v>
      </c>
      <c r="W37" s="36" t="str">
        <f>H41</f>
        <v>44081F6</v>
      </c>
      <c r="X37" t="str">
        <f t="shared" si="0"/>
        <v>0x044081F6,</v>
      </c>
      <c r="Y37" s="44"/>
    </row>
    <row r="38" spans="7:25"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5" t="s">
        <v>109</v>
      </c>
      <c r="V38" s="32" t="s">
        <v>13</v>
      </c>
      <c r="W38" s="36" t="str">
        <f>G43</f>
        <v>F03B700F</v>
      </c>
      <c r="X38" t="str">
        <f t="shared" si="0"/>
        <v>0xF03B700F,</v>
      </c>
      <c r="Y38" s="44" t="s">
        <v>110</v>
      </c>
    </row>
    <row r="39" spans="1:25">
      <c r="A39" t="s">
        <v>111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5"/>
      <c r="V39" s="32" t="s">
        <v>16</v>
      </c>
      <c r="W39" s="36" t="str">
        <f>G42</f>
        <v>48BF4F4D</v>
      </c>
      <c r="X39" t="str">
        <f t="shared" si="0"/>
        <v>0x48BF4F4D,</v>
      </c>
      <c r="Y39" s="44"/>
    </row>
    <row r="40" spans="1:25">
      <c r="A40" s="15" t="s">
        <v>112</v>
      </c>
      <c r="B40" s="15"/>
      <c r="C40" s="15"/>
      <c r="D40" s="15"/>
      <c r="E40" s="15"/>
      <c r="F40" s="15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5"/>
      <c r="V40" s="32" t="s">
        <v>20</v>
      </c>
      <c r="W40" s="36" t="str">
        <f>G41</f>
        <v>44081FE</v>
      </c>
      <c r="X40" t="str">
        <f t="shared" si="0"/>
        <v>0x044081FE,</v>
      </c>
      <c r="Y40" s="44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44081FE</v>
      </c>
      <c r="H41" s="19" t="str">
        <f t="shared" si="1"/>
        <v>44081F6</v>
      </c>
      <c r="I41" s="19" t="str">
        <f t="shared" si="1"/>
        <v>44081B6</v>
      </c>
      <c r="J41" s="19" t="str">
        <f t="shared" si="1"/>
        <v>440818A</v>
      </c>
      <c r="K41" s="19" t="str">
        <f t="shared" si="1"/>
        <v>440810E</v>
      </c>
      <c r="L41" s="19" t="str">
        <f t="shared" si="1"/>
        <v>44080CE</v>
      </c>
      <c r="M41" s="19" t="str">
        <f t="shared" si="1"/>
        <v>440808E</v>
      </c>
      <c r="N41" s="19" t="str">
        <f t="shared" si="1"/>
        <v>4408092</v>
      </c>
      <c r="O41" s="19" t="str">
        <f t="shared" si="1"/>
        <v>4408072</v>
      </c>
      <c r="P41" s="19" t="str">
        <f t="shared" si="1"/>
        <v>4408076</v>
      </c>
      <c r="Q41" s="19" t="str">
        <f t="shared" si="1"/>
        <v>440806E</v>
      </c>
      <c r="R41" s="19" t="str">
        <f t="shared" si="1"/>
        <v>4408072</v>
      </c>
      <c r="S41" s="19" t="str">
        <f t="shared" si="1"/>
        <v>44080AA</v>
      </c>
      <c r="U41" s="35" t="s">
        <v>114</v>
      </c>
      <c r="V41" s="32" t="s">
        <v>13</v>
      </c>
      <c r="W41" s="36" t="str">
        <f>F43</f>
        <v>0</v>
      </c>
      <c r="X41" t="str">
        <f t="shared" si="0"/>
        <v>0x00000000,</v>
      </c>
      <c r="Y41" s="44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48BF4F4D</v>
      </c>
      <c r="H42" s="19" t="str">
        <f t="shared" si="2"/>
        <v>48BF4F4D</v>
      </c>
      <c r="I42" s="19" t="str">
        <f t="shared" si="2"/>
        <v>48BF4F4D</v>
      </c>
      <c r="J42" s="19" t="str">
        <f t="shared" si="2"/>
        <v>48BF4F4D</v>
      </c>
      <c r="K42" s="19" t="str">
        <f t="shared" si="2"/>
        <v>48BF4F4D</v>
      </c>
      <c r="L42" s="19" t="str">
        <f t="shared" si="2"/>
        <v>48BF4F4D</v>
      </c>
      <c r="M42" s="19" t="str">
        <f t="shared" si="2"/>
        <v>48BF4F5D</v>
      </c>
      <c r="N42" s="19" t="str">
        <f t="shared" si="2"/>
        <v>48BF4F5D</v>
      </c>
      <c r="O42" s="19" t="str">
        <f t="shared" si="2"/>
        <v>48BF4F5D</v>
      </c>
      <c r="P42" s="19" t="str">
        <f t="shared" si="2"/>
        <v>48BF4F5D</v>
      </c>
      <c r="Q42" s="19" t="str">
        <f t="shared" si="2"/>
        <v>48BF4F5D</v>
      </c>
      <c r="R42" s="19" t="str">
        <f t="shared" si="2"/>
        <v>48BF4F5D</v>
      </c>
      <c r="S42" s="19" t="str">
        <f t="shared" si="2"/>
        <v>48BF4F5D</v>
      </c>
      <c r="U42" s="35"/>
      <c r="V42" s="32" t="s">
        <v>16</v>
      </c>
      <c r="W42" s="36" t="str">
        <f>F42</f>
        <v>0</v>
      </c>
      <c r="X42" t="str">
        <f t="shared" si="0"/>
        <v>0x00000000,</v>
      </c>
      <c r="Y42" s="44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F03B700F</v>
      </c>
      <c r="H43" s="19" t="str">
        <f t="shared" si="3"/>
        <v>F03B700F</v>
      </c>
      <c r="I43" s="19" t="str">
        <f t="shared" si="3"/>
        <v>F03B700F</v>
      </c>
      <c r="J43" s="19" t="str">
        <f t="shared" si="3"/>
        <v>F03B700F</v>
      </c>
      <c r="K43" s="19" t="str">
        <f t="shared" si="3"/>
        <v>F03B700F</v>
      </c>
      <c r="L43" s="19" t="str">
        <f t="shared" si="3"/>
        <v>F03B700F</v>
      </c>
      <c r="M43" s="19" t="str">
        <f t="shared" si="3"/>
        <v>F03B700F</v>
      </c>
      <c r="N43" s="19" t="str">
        <f t="shared" si="3"/>
        <v>F03B700C</v>
      </c>
      <c r="O43" s="19" t="str">
        <f t="shared" si="3"/>
        <v>F03B700C</v>
      </c>
      <c r="P43" s="19" t="str">
        <f t="shared" si="3"/>
        <v>F03B7009</v>
      </c>
      <c r="Q43" s="19" t="str">
        <f t="shared" si="3"/>
        <v>F03B7007</v>
      </c>
      <c r="R43" s="19" t="str">
        <f t="shared" si="3"/>
        <v>F03B7006</v>
      </c>
      <c r="S43" s="19" t="str">
        <f t="shared" si="3"/>
        <v>F03B7004</v>
      </c>
      <c r="U43" s="35"/>
      <c r="V43" s="32" t="s">
        <v>20</v>
      </c>
      <c r="W43" s="36" t="str">
        <f>F41</f>
        <v>0</v>
      </c>
      <c r="X43" t="str">
        <f t="shared" si="0"/>
        <v>0x00000000,</v>
      </c>
      <c r="Y43" s="44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5" t="s">
        <v>118</v>
      </c>
      <c r="V44" s="32" t="s">
        <v>13</v>
      </c>
      <c r="W44" s="36" t="str">
        <f>E43</f>
        <v>0</v>
      </c>
      <c r="X44" t="str">
        <f t="shared" si="0"/>
        <v>0x00000000,</v>
      </c>
      <c r="Y44" s="44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5"/>
      <c r="V45" s="32" t="s">
        <v>16</v>
      </c>
      <c r="W45" s="36" t="str">
        <f>E42</f>
        <v>0</v>
      </c>
      <c r="X45" t="str">
        <f t="shared" si="0"/>
        <v>0x00000000,</v>
      </c>
      <c r="Y45" s="44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5"/>
      <c r="V46" s="32" t="s">
        <v>20</v>
      </c>
      <c r="W46" s="36" t="str">
        <f>E41</f>
        <v>0</v>
      </c>
      <c r="X46" t="str">
        <f t="shared" si="0"/>
        <v>0x00000000,</v>
      </c>
      <c r="Y46" s="44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5" t="s">
        <v>120</v>
      </c>
      <c r="V47" s="32" t="s">
        <v>13</v>
      </c>
      <c r="W47" s="36" t="str">
        <f>D43</f>
        <v>0</v>
      </c>
      <c r="X47" t="str">
        <f t="shared" si="0"/>
        <v>0x00000000,</v>
      </c>
      <c r="Y47" s="44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2"/>
      <c r="V48" s="32" t="s">
        <v>16</v>
      </c>
      <c r="W48" s="36" t="str">
        <f>D42</f>
        <v>0</v>
      </c>
      <c r="X48" t="str">
        <f t="shared" si="0"/>
        <v>0x00000000,</v>
      </c>
      <c r="Y48" s="44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2"/>
      <c r="V49" s="32" t="s">
        <v>20</v>
      </c>
      <c r="W49" s="36" t="str">
        <f>D41</f>
        <v>0</v>
      </c>
      <c r="X49" t="str">
        <f t="shared" si="0"/>
        <v>0x00000000,</v>
      </c>
      <c r="Y49" s="44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45"/>
      <c r="B52" s="46"/>
      <c r="C52" s="46"/>
      <c r="D52" s="46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45"/>
      <c r="B57" s="46"/>
      <c r="C57" s="59"/>
      <c r="D57" s="59"/>
      <c r="E57" s="13"/>
    </row>
    <row r="58" spans="1:5">
      <c r="A58" s="22"/>
      <c r="B58" s="23"/>
      <c r="C58" s="23"/>
      <c r="D58" s="23"/>
      <c r="E58" s="13"/>
    </row>
    <row r="59" spans="1:4">
      <c r="A59" s="22"/>
      <c r="B59" s="23"/>
      <c r="C59" s="23"/>
      <c r="D59" s="23"/>
    </row>
    <row r="60" spans="1:4">
      <c r="A60" s="22"/>
      <c r="B60" s="23"/>
      <c r="C60" s="23"/>
      <c r="D60" s="23"/>
    </row>
    <row r="61" spans="1:4">
      <c r="A61" s="22"/>
      <c r="B61" s="47"/>
      <c r="C61" s="47"/>
      <c r="D61" s="24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8">
      <c r="A67" s="45"/>
      <c r="B67" s="46"/>
      <c r="C67" s="46"/>
      <c r="D67" s="46"/>
      <c r="E67" s="20"/>
      <c r="H67" s="20"/>
    </row>
    <row r="68" spans="1:5">
      <c r="A68" s="22"/>
      <c r="B68" s="23"/>
      <c r="C68" s="23"/>
      <c r="D68" s="23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7"/>
      <c r="C73" s="47"/>
      <c r="D73" s="47"/>
    </row>
    <row r="74" spans="1:4">
      <c r="A74" s="14"/>
      <c r="B74" s="60"/>
      <c r="C74" s="47"/>
      <c r="D74" s="47"/>
    </row>
    <row r="75" spans="1:4">
      <c r="A75" s="25"/>
      <c r="B75" s="21"/>
      <c r="C75" s="21"/>
      <c r="D75" s="21"/>
    </row>
    <row r="76" spans="1:4">
      <c r="A76" s="25"/>
      <c r="B76" s="21"/>
      <c r="C76" s="21"/>
      <c r="D76" s="21"/>
    </row>
    <row r="77" spans="1:4">
      <c r="A77" s="25"/>
      <c r="B77" s="21"/>
      <c r="C77" s="21"/>
      <c r="D77" s="21"/>
    </row>
    <row r="78" spans="1:1">
      <c r="A78" s="61"/>
    </row>
    <row r="79" spans="1:1">
      <c r="A79" s="61"/>
    </row>
    <row r="80" spans="1:1">
      <c r="A80" s="61"/>
    </row>
    <row r="81" spans="1:1">
      <c r="A81" s="61"/>
    </row>
    <row r="82" spans="1:4">
      <c r="A82" s="61"/>
      <c r="D82" s="4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topLeftCell="B1" workbookViewId="0">
      <selection activeCell="F15" sqref="F15"/>
    </sheetView>
  </sheetViews>
  <sheetFormatPr defaultColWidth="9" defaultRowHeight="14.25"/>
  <cols>
    <col min="1" max="1" width="28.375" customWidth="1"/>
    <col min="24" max="24" width="12.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2" t="s">
        <v>9</v>
      </c>
      <c r="V1" s="32"/>
      <c r="W1" s="32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33" t="s">
        <v>12</v>
      </c>
      <c r="T2" s="55"/>
      <c r="U2" s="35">
        <v>0</v>
      </c>
      <c r="V2" s="32" t="s">
        <v>13</v>
      </c>
      <c r="W2" s="36" t="str">
        <f>S43</f>
        <v>703B7004</v>
      </c>
      <c r="X2" t="str">
        <f>"0x"&amp;RIGHT("00000000"&amp;W2,8)&amp;","</f>
        <v>0x703B7004,</v>
      </c>
      <c r="Y2" s="44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33" t="s">
        <v>12</v>
      </c>
      <c r="T3" s="55"/>
      <c r="U3" s="35"/>
      <c r="V3" s="32" t="s">
        <v>16</v>
      </c>
      <c r="W3" s="36" t="str">
        <f>S42</f>
        <v>48BF4F5D</v>
      </c>
      <c r="X3" t="str">
        <f t="shared" ref="X3:X49" si="0">"0x"&amp;RIGHT("00000000"&amp;W3,8)&amp;","</f>
        <v>0x48BF4F5D,</v>
      </c>
      <c r="Y3" s="44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33" t="s">
        <v>12</v>
      </c>
      <c r="T4" s="55"/>
      <c r="U4" s="35"/>
      <c r="V4" s="32" t="s">
        <v>20</v>
      </c>
      <c r="W4" s="36" t="str">
        <f>S41</f>
        <v>4408072</v>
      </c>
      <c r="X4" t="str">
        <f t="shared" si="0"/>
        <v>0x04408072,</v>
      </c>
      <c r="Y4" s="44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33" t="s">
        <v>12</v>
      </c>
      <c r="T5" s="55"/>
      <c r="U5" s="35">
        <v>1</v>
      </c>
      <c r="V5" s="32" t="s">
        <v>13</v>
      </c>
      <c r="W5" s="36" t="str">
        <f>R43</f>
        <v>703B7006</v>
      </c>
      <c r="X5" t="str">
        <f t="shared" si="0"/>
        <v>0x703B7006,</v>
      </c>
      <c r="Y5" s="44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33" t="s">
        <v>26</v>
      </c>
      <c r="T6" s="55"/>
      <c r="U6" s="35"/>
      <c r="V6" s="32" t="s">
        <v>16</v>
      </c>
      <c r="W6" s="36" t="str">
        <f>R42</f>
        <v>48BF4F5D</v>
      </c>
      <c r="X6" t="str">
        <f t="shared" si="0"/>
        <v>0x48BF4F5D,</v>
      </c>
      <c r="Y6" s="44"/>
    </row>
    <row r="7" spans="1:25">
      <c r="A7" s="2" t="s">
        <v>27</v>
      </c>
      <c r="B7" s="2" t="s">
        <v>28</v>
      </c>
      <c r="C7" s="3" t="s">
        <v>25</v>
      </c>
      <c r="D7" s="4"/>
      <c r="E7" s="4"/>
      <c r="F7" s="4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7" t="s">
        <v>26</v>
      </c>
      <c r="T7" s="56"/>
      <c r="U7" s="35"/>
      <c r="V7" s="32" t="s">
        <v>20</v>
      </c>
      <c r="W7" s="36" t="str">
        <f>R41</f>
        <v>440806A</v>
      </c>
      <c r="X7" t="str">
        <f t="shared" si="0"/>
        <v>0x0440806A,</v>
      </c>
      <c r="Y7" s="44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4" t="s">
        <v>12</v>
      </c>
      <c r="R8" s="4" t="s">
        <v>12</v>
      </c>
      <c r="S8" s="37" t="s">
        <v>12</v>
      </c>
      <c r="T8" s="56"/>
      <c r="U8" s="35">
        <v>2</v>
      </c>
      <c r="V8" s="32" t="s">
        <v>13</v>
      </c>
      <c r="W8" s="36" t="str">
        <f>Q43</f>
        <v>703B7007</v>
      </c>
      <c r="X8" t="str">
        <f t="shared" si="0"/>
        <v>0x703B7007,</v>
      </c>
      <c r="Y8" s="44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37" t="s">
        <v>12</v>
      </c>
      <c r="T9" s="56"/>
      <c r="U9" s="35"/>
      <c r="V9" s="32" t="s">
        <v>16</v>
      </c>
      <c r="W9" s="36" t="str">
        <f>Q42</f>
        <v>48BF4F5D</v>
      </c>
      <c r="X9" t="str">
        <f t="shared" si="0"/>
        <v>0x48BF4F5D,</v>
      </c>
      <c r="Y9" s="44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39" t="s">
        <v>25</v>
      </c>
      <c r="T10" s="38"/>
      <c r="U10" s="35"/>
      <c r="V10" s="32" t="s">
        <v>20</v>
      </c>
      <c r="W10" s="36" t="str">
        <f>Q41</f>
        <v>4408052</v>
      </c>
      <c r="X10" t="str">
        <f t="shared" si="0"/>
        <v>0x04408052,</v>
      </c>
      <c r="Y10" s="44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37" t="s">
        <v>12</v>
      </c>
      <c r="T11" s="38"/>
      <c r="U11" s="35">
        <v>3</v>
      </c>
      <c r="V11" s="32" t="s">
        <v>13</v>
      </c>
      <c r="W11" s="36" t="str">
        <f>P43</f>
        <v>703B7009</v>
      </c>
      <c r="X11" t="str">
        <f t="shared" si="0"/>
        <v>0x703B7009,</v>
      </c>
      <c r="Y11" s="44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7" t="s">
        <v>122</v>
      </c>
      <c r="H12" s="7" t="s">
        <v>43</v>
      </c>
      <c r="I12" s="7" t="s">
        <v>122</v>
      </c>
      <c r="J12" s="7" t="s">
        <v>123</v>
      </c>
      <c r="K12" s="7" t="s">
        <v>49</v>
      </c>
      <c r="L12" s="7" t="s">
        <v>49</v>
      </c>
      <c r="M12" s="9" t="s">
        <v>25</v>
      </c>
      <c r="N12" s="7" t="s">
        <v>45</v>
      </c>
      <c r="O12" s="7" t="s">
        <v>19</v>
      </c>
      <c r="P12" s="7" t="s">
        <v>19</v>
      </c>
      <c r="Q12" s="7" t="s">
        <v>19</v>
      </c>
      <c r="R12" s="7" t="s">
        <v>45</v>
      </c>
      <c r="S12" s="7" t="s">
        <v>45</v>
      </c>
      <c r="T12" s="41"/>
      <c r="U12" s="35"/>
      <c r="V12" s="32" t="s">
        <v>16</v>
      </c>
      <c r="W12" s="36" t="str">
        <f>P42</f>
        <v>48BF4F5D</v>
      </c>
      <c r="X12" t="str">
        <f t="shared" si="0"/>
        <v>0x48BF4F5D,</v>
      </c>
      <c r="Y12" s="44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8" t="s">
        <v>49</v>
      </c>
      <c r="H13" s="8" t="s">
        <v>44</v>
      </c>
      <c r="I13" s="7" t="s">
        <v>45</v>
      </c>
      <c r="J13" s="7" t="s">
        <v>19</v>
      </c>
      <c r="K13" s="7" t="s">
        <v>45</v>
      </c>
      <c r="L13" s="7" t="s">
        <v>11</v>
      </c>
      <c r="M13" s="7" t="s">
        <v>19</v>
      </c>
      <c r="N13" s="7" t="s">
        <v>46</v>
      </c>
      <c r="O13" s="7" t="s">
        <v>44</v>
      </c>
      <c r="P13" s="7" t="s">
        <v>44</v>
      </c>
      <c r="Q13" s="7" t="s">
        <v>25</v>
      </c>
      <c r="R13" s="7" t="s">
        <v>19</v>
      </c>
      <c r="S13" s="7" t="s">
        <v>25</v>
      </c>
      <c r="T13" s="41"/>
      <c r="U13" s="35"/>
      <c r="V13" s="32" t="s">
        <v>20</v>
      </c>
      <c r="W13" s="36" t="str">
        <f>P41</f>
        <v>440805A</v>
      </c>
      <c r="X13" t="str">
        <f t="shared" si="0"/>
        <v>0x0440805A,</v>
      </c>
      <c r="Y13" s="44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37" t="s">
        <v>25</v>
      </c>
      <c r="T14" s="38"/>
      <c r="U14" s="35">
        <v>4</v>
      </c>
      <c r="V14" s="32" t="s">
        <v>13</v>
      </c>
      <c r="W14" s="36" t="str">
        <f>O43</f>
        <v>703B700C</v>
      </c>
      <c r="X14" t="str">
        <f t="shared" si="0"/>
        <v>0x703B700C,</v>
      </c>
      <c r="Y14" s="44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4" t="s">
        <v>55</v>
      </c>
      <c r="R15" s="4" t="s">
        <v>55</v>
      </c>
      <c r="S15" s="37" t="s">
        <v>55</v>
      </c>
      <c r="T15" s="38"/>
      <c r="U15" s="35"/>
      <c r="V15" s="32" t="s">
        <v>16</v>
      </c>
      <c r="W15" s="36" t="str">
        <f>O42</f>
        <v>48BF4F5D</v>
      </c>
      <c r="X15" t="str">
        <f t="shared" si="0"/>
        <v>0x48BF4F5D,</v>
      </c>
      <c r="Y15" s="44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4" t="s">
        <v>12</v>
      </c>
      <c r="R16" s="4" t="s">
        <v>12</v>
      </c>
      <c r="S16" s="37" t="s">
        <v>12</v>
      </c>
      <c r="T16" s="38"/>
      <c r="U16" s="35"/>
      <c r="V16" s="32" t="s">
        <v>20</v>
      </c>
      <c r="W16" s="36" t="str">
        <f>O41</f>
        <v>440805A</v>
      </c>
      <c r="X16" t="str">
        <f t="shared" si="0"/>
        <v>0x0440805A,</v>
      </c>
      <c r="Y16" s="44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4" t="s">
        <v>11</v>
      </c>
      <c r="R17" s="4" t="s">
        <v>11</v>
      </c>
      <c r="S17" s="37" t="s">
        <v>11</v>
      </c>
      <c r="T17" s="38"/>
      <c r="U17" s="35">
        <v>5</v>
      </c>
      <c r="V17" s="32" t="s">
        <v>13</v>
      </c>
      <c r="W17" s="36" t="str">
        <f>N43</f>
        <v>703B700C</v>
      </c>
      <c r="X17" t="str">
        <f t="shared" si="0"/>
        <v>0x703B700C,</v>
      </c>
      <c r="Y17" s="44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37" t="s">
        <v>12</v>
      </c>
      <c r="T18" s="38"/>
      <c r="U18" s="35"/>
      <c r="V18" s="32" t="s">
        <v>16</v>
      </c>
      <c r="W18" s="36" t="str">
        <f>N42</f>
        <v>48BF4F5D</v>
      </c>
      <c r="X18" t="str">
        <f t="shared" si="0"/>
        <v>0x48BF4F5D,</v>
      </c>
      <c r="Y18" s="44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37" t="s">
        <v>45</v>
      </c>
      <c r="T19" s="38"/>
      <c r="U19" s="35"/>
      <c r="V19" s="32" t="s">
        <v>20</v>
      </c>
      <c r="W19" s="36" t="str">
        <f>N41</f>
        <v>4408076</v>
      </c>
      <c r="X19" t="str">
        <f t="shared" si="0"/>
        <v>0x04408076,</v>
      </c>
      <c r="Y19" s="44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37" t="s">
        <v>45</v>
      </c>
      <c r="T20" s="38"/>
      <c r="U20" s="35">
        <v>6</v>
      </c>
      <c r="V20" s="32" t="s">
        <v>13</v>
      </c>
      <c r="W20" s="36" t="str">
        <f>M43</f>
        <v>703B700F</v>
      </c>
      <c r="X20" t="str">
        <f t="shared" si="0"/>
        <v>0x703B700F,</v>
      </c>
      <c r="Y20" s="44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7" t="s">
        <v>44</v>
      </c>
      <c r="T21" s="38"/>
      <c r="U21" s="35"/>
      <c r="V21" s="32" t="s">
        <v>16</v>
      </c>
      <c r="W21" s="36" t="str">
        <f>M42</f>
        <v>48BF4F5D</v>
      </c>
      <c r="X21" t="str">
        <f t="shared" si="0"/>
        <v>0x48BF4F5D,</v>
      </c>
      <c r="Y21" s="44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25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4" t="s">
        <v>25</v>
      </c>
      <c r="S22" s="37" t="s">
        <v>25</v>
      </c>
      <c r="T22" s="38"/>
      <c r="U22" s="35"/>
      <c r="V22" s="32" t="s">
        <v>20</v>
      </c>
      <c r="W22" s="36" t="str">
        <f>M41</f>
        <v>440808A</v>
      </c>
      <c r="X22" t="str">
        <f t="shared" si="0"/>
        <v>0x0440808A,</v>
      </c>
      <c r="Y22" s="44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37" t="s">
        <v>11</v>
      </c>
      <c r="T23" s="38"/>
      <c r="U23" s="35">
        <v>7</v>
      </c>
      <c r="V23" s="32" t="s">
        <v>13</v>
      </c>
      <c r="W23" s="36" t="str">
        <f>L43</f>
        <v>703B700F</v>
      </c>
      <c r="X23" t="str">
        <f t="shared" si="0"/>
        <v>0x703B700F,</v>
      </c>
      <c r="Y23" s="44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37" t="s">
        <v>11</v>
      </c>
      <c r="T24" s="38"/>
      <c r="U24" s="35"/>
      <c r="V24" s="32" t="s">
        <v>16</v>
      </c>
      <c r="W24" s="36" t="str">
        <f>L42</f>
        <v>48BF4F4D</v>
      </c>
      <c r="X24" t="str">
        <f t="shared" si="0"/>
        <v>0x48BF4F4D,</v>
      </c>
      <c r="Y24" s="44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7" t="s">
        <v>44</v>
      </c>
      <c r="T25" s="38"/>
      <c r="U25" s="35"/>
      <c r="V25" s="32" t="s">
        <v>20</v>
      </c>
      <c r="W25" s="36" t="str">
        <f>L41</f>
        <v>44080E6</v>
      </c>
      <c r="X25" t="str">
        <f t="shared" si="0"/>
        <v>0x044080E6,</v>
      </c>
      <c r="Y25" s="44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30" t="s">
        <v>46</v>
      </c>
      <c r="N26" s="30" t="s">
        <v>46</v>
      </c>
      <c r="O26" s="30" t="s">
        <v>46</v>
      </c>
      <c r="P26" s="30" t="s">
        <v>46</v>
      </c>
      <c r="Q26" s="30" t="s">
        <v>46</v>
      </c>
      <c r="R26" s="30" t="s">
        <v>46</v>
      </c>
      <c r="S26" s="42" t="s">
        <v>46</v>
      </c>
      <c r="T26" s="41"/>
      <c r="U26" s="35">
        <v>8</v>
      </c>
      <c r="V26" s="32" t="s">
        <v>13</v>
      </c>
      <c r="W26" s="36" t="str">
        <f>K43</f>
        <v>703B700F</v>
      </c>
      <c r="X26" t="str">
        <f t="shared" si="0"/>
        <v>0x703B700F,</v>
      </c>
      <c r="Y26" s="44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37" t="s">
        <v>45</v>
      </c>
      <c r="T27" s="38"/>
      <c r="U27" s="35"/>
      <c r="V27" s="32" t="s">
        <v>16</v>
      </c>
      <c r="W27" s="36" t="str">
        <f>K42</f>
        <v>48BF4F4D</v>
      </c>
      <c r="X27" t="str">
        <f t="shared" si="0"/>
        <v>0x48BF4F4D,</v>
      </c>
      <c r="Y27" s="44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4" t="s">
        <v>12</v>
      </c>
      <c r="R28" s="4" t="s">
        <v>12</v>
      </c>
      <c r="S28" s="37" t="s">
        <v>12</v>
      </c>
      <c r="T28" s="38"/>
      <c r="U28" s="35"/>
      <c r="V28" s="32" t="s">
        <v>20</v>
      </c>
      <c r="W28" s="36" t="str">
        <f>K41</f>
        <v>44080EE</v>
      </c>
      <c r="X28" t="str">
        <f t="shared" si="0"/>
        <v>0x044080EE,</v>
      </c>
      <c r="Y28" s="44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19</v>
      </c>
      <c r="H29" s="7" t="s">
        <v>19</v>
      </c>
      <c r="I29" s="7" t="s">
        <v>19</v>
      </c>
      <c r="J29" s="7" t="s">
        <v>19</v>
      </c>
      <c r="K29" s="7" t="s">
        <v>19</v>
      </c>
      <c r="L29" s="7" t="s">
        <v>19</v>
      </c>
      <c r="M29" s="7" t="s">
        <v>19</v>
      </c>
      <c r="N29" s="7" t="s">
        <v>19</v>
      </c>
      <c r="O29" s="7" t="s">
        <v>19</v>
      </c>
      <c r="P29" s="7" t="s">
        <v>19</v>
      </c>
      <c r="Q29" s="7" t="s">
        <v>19</v>
      </c>
      <c r="R29" s="7" t="s">
        <v>19</v>
      </c>
      <c r="S29" s="39" t="s">
        <v>19</v>
      </c>
      <c r="T29" s="38"/>
      <c r="U29" s="35">
        <v>9</v>
      </c>
      <c r="V29" s="32" t="s">
        <v>13</v>
      </c>
      <c r="W29" s="36" t="str">
        <f>J43</f>
        <v>703B700F</v>
      </c>
      <c r="X29" t="str">
        <f t="shared" si="0"/>
        <v>0x703B700F,</v>
      </c>
      <c r="Y29" s="44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45</v>
      </c>
      <c r="H30" s="7" t="s">
        <v>45</v>
      </c>
      <c r="I30" s="7" t="s">
        <v>45</v>
      </c>
      <c r="J30" s="7" t="s">
        <v>45</v>
      </c>
      <c r="K30" s="7" t="s">
        <v>45</v>
      </c>
      <c r="L30" s="7" t="s">
        <v>45</v>
      </c>
      <c r="M30" s="7" t="s">
        <v>45</v>
      </c>
      <c r="N30" s="7" t="s">
        <v>45</v>
      </c>
      <c r="O30" s="7" t="s">
        <v>45</v>
      </c>
      <c r="P30" s="7" t="s">
        <v>45</v>
      </c>
      <c r="Q30" s="7" t="s">
        <v>45</v>
      </c>
      <c r="R30" s="7" t="s">
        <v>45</v>
      </c>
      <c r="S30" s="39" t="s">
        <v>45</v>
      </c>
      <c r="T30" s="38"/>
      <c r="U30" s="35"/>
      <c r="V30" s="32" t="s">
        <v>16</v>
      </c>
      <c r="W30" s="36" t="str">
        <f>J42</f>
        <v>48BF4F4D</v>
      </c>
      <c r="X30" t="str">
        <f t="shared" si="0"/>
        <v>0x48BF4F4D,</v>
      </c>
      <c r="Y30" s="44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4" t="s">
        <v>93</v>
      </c>
      <c r="R31" s="4" t="s">
        <v>93</v>
      </c>
      <c r="S31" s="37" t="s">
        <v>93</v>
      </c>
      <c r="T31" s="38"/>
      <c r="U31" s="35"/>
      <c r="V31" s="32" t="s">
        <v>20</v>
      </c>
      <c r="W31" s="36" t="str">
        <f>J41</f>
        <v>440816A</v>
      </c>
      <c r="X31" t="str">
        <f t="shared" si="0"/>
        <v>0x0440816A,</v>
      </c>
      <c r="Y31" s="44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4" t="s">
        <v>49</v>
      </c>
      <c r="R32" s="4" t="s">
        <v>49</v>
      </c>
      <c r="S32" s="37" t="s">
        <v>49</v>
      </c>
      <c r="T32" s="56"/>
      <c r="U32" s="35" t="s">
        <v>96</v>
      </c>
      <c r="V32" s="32" t="s">
        <v>13</v>
      </c>
      <c r="W32" s="36" t="str">
        <f>I43</f>
        <v>703B700F</v>
      </c>
      <c r="X32" t="str">
        <f t="shared" si="0"/>
        <v>0x703B700F,</v>
      </c>
      <c r="Y32" s="44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4" t="s">
        <v>45</v>
      </c>
      <c r="R33" s="4" t="s">
        <v>45</v>
      </c>
      <c r="S33" s="37" t="s">
        <v>45</v>
      </c>
      <c r="T33" s="56"/>
      <c r="U33" s="35"/>
      <c r="V33" s="32" t="s">
        <v>16</v>
      </c>
      <c r="W33" s="36" t="str">
        <f>I42</f>
        <v>48BF4F4D</v>
      </c>
      <c r="X33" t="str">
        <f t="shared" si="0"/>
        <v>0x48BF4F4D,</v>
      </c>
      <c r="Y33" s="44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4" t="s">
        <v>12</v>
      </c>
      <c r="R34" s="4" t="s">
        <v>12</v>
      </c>
      <c r="S34" s="37" t="s">
        <v>12</v>
      </c>
      <c r="T34" s="56"/>
      <c r="U34" s="35"/>
      <c r="V34" s="32" t="s">
        <v>20</v>
      </c>
      <c r="W34" s="36" t="str">
        <f>I41</f>
        <v>44081CE</v>
      </c>
      <c r="X34" t="str">
        <f t="shared" si="0"/>
        <v>0x044081CE,</v>
      </c>
      <c r="Y34" s="44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4" t="s">
        <v>49</v>
      </c>
      <c r="R35" s="4" t="s">
        <v>49</v>
      </c>
      <c r="S35" s="37" t="s">
        <v>49</v>
      </c>
      <c r="T35" s="56"/>
      <c r="U35" s="35" t="s">
        <v>103</v>
      </c>
      <c r="V35" s="32" t="s">
        <v>13</v>
      </c>
      <c r="W35" s="36" t="str">
        <f>H43</f>
        <v>703B700F</v>
      </c>
      <c r="X35" t="str">
        <f t="shared" si="0"/>
        <v>0x703B700F,</v>
      </c>
      <c r="Y35" s="44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12" t="s">
        <v>12</v>
      </c>
      <c r="R36" s="12" t="s">
        <v>12</v>
      </c>
      <c r="S36" s="43" t="s">
        <v>12</v>
      </c>
      <c r="T36" s="57"/>
      <c r="U36" s="35"/>
      <c r="V36" s="32" t="s">
        <v>16</v>
      </c>
      <c r="W36" s="36" t="str">
        <f>H42</f>
        <v>48BF4F4D</v>
      </c>
      <c r="X36" t="str">
        <f t="shared" si="0"/>
        <v>0x48BF4F4D,</v>
      </c>
      <c r="Y36" s="44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43</v>
      </c>
      <c r="O37" s="4" t="s">
        <v>43</v>
      </c>
      <c r="P37" s="4" t="s">
        <v>55</v>
      </c>
      <c r="Q37" s="4" t="s">
        <v>49</v>
      </c>
      <c r="R37" s="4" t="s">
        <v>44</v>
      </c>
      <c r="S37" s="37" t="s">
        <v>25</v>
      </c>
      <c r="T37" s="56"/>
      <c r="U37" s="35"/>
      <c r="V37" s="32" t="s">
        <v>20</v>
      </c>
      <c r="W37" s="36" t="str">
        <f>H41</f>
        <v>440819A</v>
      </c>
      <c r="X37" t="str">
        <f t="shared" si="0"/>
        <v>0x0440819A,</v>
      </c>
      <c r="Y37" s="44"/>
    </row>
    <row r="38" spans="4:25">
      <c r="D38" s="13"/>
      <c r="E38" s="13"/>
      <c r="F38" s="13"/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5" t="s">
        <v>109</v>
      </c>
      <c r="V38" s="32" t="s">
        <v>13</v>
      </c>
      <c r="W38" s="36" t="str">
        <f>G43</f>
        <v>703B700F</v>
      </c>
      <c r="X38" t="str">
        <f t="shared" si="0"/>
        <v>0x703B700F,</v>
      </c>
      <c r="Y38" s="44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5"/>
      <c r="V39" s="32" t="s">
        <v>16</v>
      </c>
      <c r="W39" s="36" t="str">
        <f>G42</f>
        <v>48BF4F4D</v>
      </c>
      <c r="X39" t="str">
        <f t="shared" si="0"/>
        <v>0x48BF4F4D,</v>
      </c>
      <c r="Y39" s="44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5"/>
      <c r="V40" s="32" t="s">
        <v>20</v>
      </c>
      <c r="W40" s="36" t="str">
        <f>G41</f>
        <v>44081DE</v>
      </c>
      <c r="X40" t="str">
        <f t="shared" si="0"/>
        <v>0x044081DE,</v>
      </c>
      <c r="Y40" s="44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44081DE</v>
      </c>
      <c r="H41" s="19" t="str">
        <f t="shared" si="1"/>
        <v>440819A</v>
      </c>
      <c r="I41" s="19" t="str">
        <f t="shared" si="1"/>
        <v>44081CE</v>
      </c>
      <c r="J41" s="19" t="str">
        <f t="shared" si="1"/>
        <v>440816A</v>
      </c>
      <c r="K41" s="19" t="str">
        <f t="shared" si="1"/>
        <v>44080EE</v>
      </c>
      <c r="L41" s="19" t="str">
        <f t="shared" si="1"/>
        <v>44080E6</v>
      </c>
      <c r="M41" s="19" t="str">
        <f t="shared" si="1"/>
        <v>440808A</v>
      </c>
      <c r="N41" s="19" t="str">
        <f t="shared" si="1"/>
        <v>4408076</v>
      </c>
      <c r="O41" s="19" t="str">
        <f t="shared" si="1"/>
        <v>440805A</v>
      </c>
      <c r="P41" s="19" t="str">
        <f t="shared" si="1"/>
        <v>440805A</v>
      </c>
      <c r="Q41" s="19" t="str">
        <f t="shared" si="1"/>
        <v>4408052</v>
      </c>
      <c r="R41" s="19" t="str">
        <f t="shared" si="1"/>
        <v>440806A</v>
      </c>
      <c r="S41" s="19" t="str">
        <f t="shared" si="1"/>
        <v>4408072</v>
      </c>
      <c r="U41" s="35" t="s">
        <v>114</v>
      </c>
      <c r="V41" s="32" t="s">
        <v>13</v>
      </c>
      <c r="W41" s="36" t="str">
        <f>F43</f>
        <v>0</v>
      </c>
      <c r="X41" t="str">
        <f t="shared" si="0"/>
        <v>0x00000000,</v>
      </c>
      <c r="Y41" s="44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48BF4F4D</v>
      </c>
      <c r="H42" s="19" t="str">
        <f t="shared" si="2"/>
        <v>48BF4F4D</v>
      </c>
      <c r="I42" s="19" t="str">
        <f t="shared" si="2"/>
        <v>48BF4F4D</v>
      </c>
      <c r="J42" s="19" t="str">
        <f t="shared" si="2"/>
        <v>48BF4F4D</v>
      </c>
      <c r="K42" s="19" t="str">
        <f t="shared" si="2"/>
        <v>48BF4F4D</v>
      </c>
      <c r="L42" s="19" t="str">
        <f t="shared" si="2"/>
        <v>48BF4F4D</v>
      </c>
      <c r="M42" s="19" t="str">
        <f t="shared" si="2"/>
        <v>48BF4F5D</v>
      </c>
      <c r="N42" s="19" t="str">
        <f t="shared" si="2"/>
        <v>48BF4F5D</v>
      </c>
      <c r="O42" s="19" t="str">
        <f t="shared" si="2"/>
        <v>48BF4F5D</v>
      </c>
      <c r="P42" s="19" t="str">
        <f t="shared" si="2"/>
        <v>48BF4F5D</v>
      </c>
      <c r="Q42" s="19" t="str">
        <f t="shared" si="2"/>
        <v>48BF4F5D</v>
      </c>
      <c r="R42" s="19" t="str">
        <f t="shared" si="2"/>
        <v>48BF4F5D</v>
      </c>
      <c r="S42" s="19" t="str">
        <f t="shared" si="2"/>
        <v>48BF4F5D</v>
      </c>
      <c r="U42" s="35"/>
      <c r="V42" s="32" t="s">
        <v>16</v>
      </c>
      <c r="W42" s="36" t="str">
        <f>F42</f>
        <v>0</v>
      </c>
      <c r="X42" t="str">
        <f t="shared" si="0"/>
        <v>0x00000000,</v>
      </c>
      <c r="Y42" s="44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703B700F</v>
      </c>
      <c r="H43" s="19" t="str">
        <f t="shared" si="3"/>
        <v>703B700F</v>
      </c>
      <c r="I43" s="19" t="str">
        <f t="shared" si="3"/>
        <v>703B700F</v>
      </c>
      <c r="J43" s="19" t="str">
        <f t="shared" si="3"/>
        <v>703B700F</v>
      </c>
      <c r="K43" s="19" t="str">
        <f t="shared" si="3"/>
        <v>703B700F</v>
      </c>
      <c r="L43" s="19" t="str">
        <f t="shared" si="3"/>
        <v>703B700F</v>
      </c>
      <c r="M43" s="19" t="str">
        <f t="shared" si="3"/>
        <v>703B700F</v>
      </c>
      <c r="N43" s="19" t="str">
        <f t="shared" si="3"/>
        <v>703B700C</v>
      </c>
      <c r="O43" s="19" t="str">
        <f t="shared" si="3"/>
        <v>703B700C</v>
      </c>
      <c r="P43" s="19" t="str">
        <f t="shared" si="3"/>
        <v>703B7009</v>
      </c>
      <c r="Q43" s="19" t="str">
        <f t="shared" si="3"/>
        <v>703B7007</v>
      </c>
      <c r="R43" s="19" t="str">
        <f t="shared" si="3"/>
        <v>703B7006</v>
      </c>
      <c r="S43" s="19" t="str">
        <f t="shared" si="3"/>
        <v>703B7004</v>
      </c>
      <c r="U43" s="35"/>
      <c r="V43" s="32" t="s">
        <v>20</v>
      </c>
      <c r="W43" s="36" t="str">
        <f>F41</f>
        <v>0</v>
      </c>
      <c r="X43" t="str">
        <f t="shared" si="0"/>
        <v>0x00000000,</v>
      </c>
      <c r="Y43" s="44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5" t="s">
        <v>118</v>
      </c>
      <c r="V44" s="32" t="s">
        <v>13</v>
      </c>
      <c r="W44" s="36" t="str">
        <f>E43</f>
        <v>0</v>
      </c>
      <c r="X44" t="str">
        <f t="shared" si="0"/>
        <v>0x00000000,</v>
      </c>
      <c r="Y44" s="44" t="s">
        <v>119</v>
      </c>
    </row>
    <row r="45" spans="4:25">
      <c r="D45" s="20"/>
      <c r="E45" s="20"/>
      <c r="F45" s="20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U45" s="35"/>
      <c r="V45" s="32" t="s">
        <v>16</v>
      </c>
      <c r="W45" s="36" t="str">
        <f>E42</f>
        <v>0</v>
      </c>
      <c r="X45" t="str">
        <f t="shared" si="0"/>
        <v>0x00000000,</v>
      </c>
      <c r="Y45" s="44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5"/>
      <c r="V46" s="32" t="s">
        <v>20</v>
      </c>
      <c r="W46" s="36" t="str">
        <f>E41</f>
        <v>0</v>
      </c>
      <c r="X46" t="str">
        <f t="shared" si="0"/>
        <v>0x00000000,</v>
      </c>
      <c r="Y46" s="44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5" t="s">
        <v>120</v>
      </c>
      <c r="V47" s="32" t="s">
        <v>13</v>
      </c>
      <c r="W47" s="36" t="str">
        <f>D43</f>
        <v>0</v>
      </c>
      <c r="X47" t="str">
        <f t="shared" si="0"/>
        <v>0x00000000,</v>
      </c>
      <c r="Y47" s="44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2"/>
      <c r="V48" s="32" t="s">
        <v>16</v>
      </c>
      <c r="W48" s="36" t="str">
        <f>D42</f>
        <v>0</v>
      </c>
      <c r="X48" t="str">
        <f t="shared" si="0"/>
        <v>0x00000000,</v>
      </c>
      <c r="Y48" s="44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2"/>
      <c r="V49" s="32" t="s">
        <v>20</v>
      </c>
      <c r="W49" s="36" t="str">
        <f>D41</f>
        <v>0</v>
      </c>
      <c r="X49" t="str">
        <f t="shared" si="0"/>
        <v>0x00000000,</v>
      </c>
      <c r="Y49" s="44"/>
    </row>
    <row r="50" spans="1:23">
      <c r="A50" s="21"/>
      <c r="B50" s="21"/>
      <c r="C50" s="21"/>
      <c r="D50" s="21"/>
      <c r="V50" s="32"/>
      <c r="W50" s="58"/>
    </row>
    <row r="51" spans="1:23">
      <c r="A51" s="21"/>
      <c r="B51" s="21"/>
      <c r="C51" s="21"/>
      <c r="D51" s="21"/>
      <c r="V51" s="32"/>
      <c r="W51" s="58"/>
    </row>
    <row r="52" spans="1:23">
      <c r="A52" s="22"/>
      <c r="B52" s="23"/>
      <c r="C52" s="23"/>
      <c r="D52" s="23"/>
      <c r="E52" s="13"/>
      <c r="V52" s="32"/>
      <c r="W52" s="58"/>
    </row>
    <row r="53" spans="1:23">
      <c r="A53" s="22"/>
      <c r="B53" s="23"/>
      <c r="C53" s="23"/>
      <c r="D53" s="23"/>
      <c r="E53" s="13"/>
      <c r="V53" s="32"/>
      <c r="W53" s="58"/>
    </row>
    <row r="54" spans="1:23">
      <c r="A54" s="22"/>
      <c r="B54" s="23"/>
      <c r="C54" s="23"/>
      <c r="D54" s="23"/>
      <c r="E54" s="13"/>
      <c r="V54" s="32"/>
      <c r="W54" s="58"/>
    </row>
    <row r="55" spans="1:23">
      <c r="A55" s="22"/>
      <c r="B55" s="23"/>
      <c r="C55" s="23"/>
      <c r="D55" s="23"/>
      <c r="E55" s="13"/>
      <c r="V55" s="32"/>
      <c r="W55" s="58"/>
    </row>
    <row r="56" spans="1:23">
      <c r="A56" s="22"/>
      <c r="B56" s="23"/>
      <c r="C56" s="23"/>
      <c r="D56" s="23"/>
      <c r="E56" s="13"/>
      <c r="V56" s="32"/>
      <c r="W56" s="58"/>
    </row>
    <row r="57" spans="1:23">
      <c r="A57" s="22"/>
      <c r="B57" s="23"/>
      <c r="C57" s="24"/>
      <c r="D57" s="24"/>
      <c r="E57" s="13"/>
      <c r="V57" s="32"/>
      <c r="W57" s="58"/>
    </row>
    <row r="58" spans="1:23">
      <c r="A58" s="22"/>
      <c r="B58" s="23"/>
      <c r="C58" s="23"/>
      <c r="D58" s="23"/>
      <c r="E58" s="13"/>
      <c r="V58" s="32"/>
      <c r="W58" s="58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5">
      <c r="A62" s="22"/>
      <c r="B62" s="23"/>
      <c r="C62" s="23"/>
      <c r="D62" s="23"/>
      <c r="E62" s="13"/>
    </row>
    <row r="63" spans="1:5">
      <c r="A63" s="22"/>
      <c r="B63" s="23"/>
      <c r="C63" s="23"/>
      <c r="D63" s="23"/>
      <c r="E63" s="13"/>
    </row>
    <row r="64" spans="1:5">
      <c r="A64" s="22"/>
      <c r="B64" s="23"/>
      <c r="C64" s="23"/>
      <c r="D64" s="23"/>
      <c r="E64" s="13"/>
    </row>
    <row r="65" spans="1:5">
      <c r="A65" s="22"/>
      <c r="B65" s="23"/>
      <c r="C65" s="23"/>
      <c r="D65" s="23"/>
      <c r="E65" s="13"/>
    </row>
    <row r="66" spans="1:5">
      <c r="A66" s="22"/>
      <c r="B66" s="23"/>
      <c r="C66" s="23"/>
      <c r="D66" s="23"/>
      <c r="E66" s="13"/>
    </row>
    <row r="67" spans="1:5">
      <c r="A67" s="45"/>
      <c r="B67" s="46"/>
      <c r="C67" s="46"/>
      <c r="D67" s="46"/>
      <c r="E67" s="20"/>
    </row>
    <row r="68" spans="1:5">
      <c r="A68" s="45"/>
      <c r="B68" s="46"/>
      <c r="C68" s="46"/>
      <c r="D68" s="46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7"/>
      <c r="C73" s="47"/>
      <c r="D73" s="4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topLeftCell="B1" workbookViewId="0">
      <selection activeCell="D41" sqref="D41:S43"/>
    </sheetView>
  </sheetViews>
  <sheetFormatPr defaultColWidth="9" defaultRowHeight="14.25"/>
  <cols>
    <col min="1" max="1" width="28.625" customWidth="1"/>
    <col min="24" max="24" width="11.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2" t="s">
        <v>9</v>
      </c>
      <c r="V1" s="32"/>
      <c r="W1" s="32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8" t="s">
        <v>12</v>
      </c>
      <c r="R2" s="2" t="s">
        <v>12</v>
      </c>
      <c r="S2" s="33" t="s">
        <v>12</v>
      </c>
      <c r="T2" s="34"/>
      <c r="U2" s="35">
        <v>0</v>
      </c>
      <c r="V2" s="32" t="s">
        <v>13</v>
      </c>
      <c r="W2" s="36" t="str">
        <f>S43</f>
        <v>103B7004</v>
      </c>
      <c r="X2" t="str">
        <f>"0x"&amp;RIGHT("00000000"&amp;W2,8)&amp;","</f>
        <v>0x103B7004,</v>
      </c>
      <c r="Y2" s="44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8" t="s">
        <v>12</v>
      </c>
      <c r="R3" s="2" t="s">
        <v>12</v>
      </c>
      <c r="S3" s="33" t="s">
        <v>12</v>
      </c>
      <c r="T3" s="34"/>
      <c r="U3" s="35"/>
      <c r="V3" s="32" t="s">
        <v>16</v>
      </c>
      <c r="W3" s="36" t="str">
        <f>S42</f>
        <v>48BF4F5C</v>
      </c>
      <c r="X3" t="str">
        <f t="shared" ref="X3:X49" si="0">"0x"&amp;RIGHT("00000000"&amp;W3,8)&amp;","</f>
        <v>0x48BF4F5C,</v>
      </c>
      <c r="Y3" s="44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8" t="s">
        <v>12</v>
      </c>
      <c r="R4" s="2" t="s">
        <v>12</v>
      </c>
      <c r="S4" s="33" t="s">
        <v>12</v>
      </c>
      <c r="T4" s="34"/>
      <c r="U4" s="35"/>
      <c r="V4" s="32" t="s">
        <v>20</v>
      </c>
      <c r="W4" s="36" t="str">
        <f>S41</f>
        <v>440808A</v>
      </c>
      <c r="X4" t="str">
        <f t="shared" si="0"/>
        <v>0x0440808A,</v>
      </c>
      <c r="Y4" s="44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8" t="s">
        <v>12</v>
      </c>
      <c r="R5" s="2" t="s">
        <v>12</v>
      </c>
      <c r="S5" s="33" t="s">
        <v>12</v>
      </c>
      <c r="T5" s="34"/>
      <c r="U5" s="35">
        <v>1</v>
      </c>
      <c r="V5" s="32" t="s">
        <v>13</v>
      </c>
      <c r="W5" s="36" t="str">
        <f>R43</f>
        <v>103B7006</v>
      </c>
      <c r="X5" t="str">
        <f t="shared" si="0"/>
        <v>0x103B7006,</v>
      </c>
      <c r="Y5" s="44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8" t="s">
        <v>26</v>
      </c>
      <c r="R6" s="2" t="s">
        <v>26</v>
      </c>
      <c r="S6" s="33" t="s">
        <v>26</v>
      </c>
      <c r="T6" s="34"/>
      <c r="U6" s="35"/>
      <c r="V6" s="32" t="s">
        <v>16</v>
      </c>
      <c r="W6" s="36" t="str">
        <f>R42</f>
        <v>48BF4F5C</v>
      </c>
      <c r="X6" t="str">
        <f t="shared" si="0"/>
        <v>0x48BF4F5C,</v>
      </c>
      <c r="Y6" s="44"/>
    </row>
    <row r="7" spans="1:25">
      <c r="A7" s="2" t="s">
        <v>27</v>
      </c>
      <c r="B7" s="2" t="s">
        <v>28</v>
      </c>
      <c r="C7" s="3" t="s">
        <v>25</v>
      </c>
      <c r="D7" s="2"/>
      <c r="E7" s="2"/>
      <c r="F7" s="2"/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8" t="s">
        <v>26</v>
      </c>
      <c r="R7" s="2" t="s">
        <v>26</v>
      </c>
      <c r="S7" s="33" t="s">
        <v>26</v>
      </c>
      <c r="T7" s="34"/>
      <c r="U7" s="35"/>
      <c r="V7" s="32" t="s">
        <v>20</v>
      </c>
      <c r="W7" s="36" t="str">
        <f>R41</f>
        <v>4408056</v>
      </c>
      <c r="X7" t="str">
        <f t="shared" si="0"/>
        <v>0x04408056,</v>
      </c>
      <c r="Y7" s="44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29" t="s">
        <v>12</v>
      </c>
      <c r="R8" s="4" t="s">
        <v>12</v>
      </c>
      <c r="S8" s="37" t="s">
        <v>12</v>
      </c>
      <c r="T8" s="38"/>
      <c r="U8" s="35">
        <v>2</v>
      </c>
      <c r="V8" s="32" t="s">
        <v>13</v>
      </c>
      <c r="W8" s="36" t="str">
        <f>Q43</f>
        <v>103B7007</v>
      </c>
      <c r="X8" t="str">
        <f t="shared" si="0"/>
        <v>0x103B7007,</v>
      </c>
      <c r="Y8" s="44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29" t="s">
        <v>12</v>
      </c>
      <c r="R9" s="4" t="s">
        <v>12</v>
      </c>
      <c r="S9" s="37" t="s">
        <v>12</v>
      </c>
      <c r="T9" s="38"/>
      <c r="U9" s="35"/>
      <c r="V9" s="32" t="s">
        <v>16</v>
      </c>
      <c r="W9" s="36" t="str">
        <f>Q42</f>
        <v>48BF4F5C</v>
      </c>
      <c r="X9" t="str">
        <f t="shared" si="0"/>
        <v>0x48BF4F5C,</v>
      </c>
      <c r="Y9" s="44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39" t="s">
        <v>25</v>
      </c>
      <c r="T10" s="38"/>
      <c r="U10" s="35"/>
      <c r="V10" s="32" t="s">
        <v>20</v>
      </c>
      <c r="W10" s="36" t="str">
        <f>Q41</f>
        <v>440806A</v>
      </c>
      <c r="X10" t="str">
        <f t="shared" si="0"/>
        <v>0x0440806A,</v>
      </c>
      <c r="Y10" s="44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29" t="s">
        <v>12</v>
      </c>
      <c r="R11" s="4" t="s">
        <v>12</v>
      </c>
      <c r="S11" s="37" t="s">
        <v>12</v>
      </c>
      <c r="T11" s="38"/>
      <c r="U11" s="35">
        <v>3</v>
      </c>
      <c r="V11" s="32" t="s">
        <v>13</v>
      </c>
      <c r="W11" s="36" t="str">
        <f>P43</f>
        <v>103B7009</v>
      </c>
      <c r="X11" t="str">
        <f t="shared" si="0"/>
        <v>0x103B7009,</v>
      </c>
      <c r="Y11" s="44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7" t="s">
        <v>41</v>
      </c>
      <c r="H12" s="7" t="s">
        <v>122</v>
      </c>
      <c r="I12" s="7" t="s">
        <v>42</v>
      </c>
      <c r="J12" s="7" t="s">
        <v>55</v>
      </c>
      <c r="K12" s="7" t="s">
        <v>124</v>
      </c>
      <c r="L12" s="7" t="s">
        <v>46</v>
      </c>
      <c r="M12" s="8" t="s">
        <v>25</v>
      </c>
      <c r="N12" s="8" t="s">
        <v>25</v>
      </c>
      <c r="O12" s="8" t="s">
        <v>45</v>
      </c>
      <c r="P12" s="8" t="s">
        <v>45</v>
      </c>
      <c r="Q12" s="8" t="s">
        <v>45</v>
      </c>
      <c r="R12" s="8" t="s">
        <v>19</v>
      </c>
      <c r="S12" s="40" t="s">
        <v>25</v>
      </c>
      <c r="T12" s="41"/>
      <c r="U12" s="35"/>
      <c r="V12" s="32" t="s">
        <v>16</v>
      </c>
      <c r="W12" s="36" t="str">
        <f>P42</f>
        <v>48BF4F5C</v>
      </c>
      <c r="X12" t="str">
        <f t="shared" si="0"/>
        <v>0x48BF4F5C,</v>
      </c>
      <c r="Y12" s="44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7" t="s">
        <v>49</v>
      </c>
      <c r="H13" s="7" t="s">
        <v>46</v>
      </c>
      <c r="I13" s="7" t="s">
        <v>45</v>
      </c>
      <c r="J13" s="7" t="s">
        <v>25</v>
      </c>
      <c r="K13" s="7" t="s">
        <v>11</v>
      </c>
      <c r="L13" s="7" t="s">
        <v>25</v>
      </c>
      <c r="M13" s="8" t="s">
        <v>19</v>
      </c>
      <c r="N13" s="8" t="s">
        <v>45</v>
      </c>
      <c r="O13" s="8" t="s">
        <v>45</v>
      </c>
      <c r="P13" s="8" t="s">
        <v>45</v>
      </c>
      <c r="Q13" s="8" t="s">
        <v>19</v>
      </c>
      <c r="R13" s="8" t="s">
        <v>46</v>
      </c>
      <c r="S13" s="40" t="s">
        <v>19</v>
      </c>
      <c r="T13" s="41"/>
      <c r="U13" s="35"/>
      <c r="V13" s="32" t="s">
        <v>20</v>
      </c>
      <c r="W13" s="36" t="str">
        <f>P41</f>
        <v>440806E</v>
      </c>
      <c r="X13" t="str">
        <f t="shared" si="0"/>
        <v>0x0440806E,</v>
      </c>
      <c r="Y13" s="44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29" t="s">
        <v>25</v>
      </c>
      <c r="R14" s="4" t="s">
        <v>25</v>
      </c>
      <c r="S14" s="37" t="s">
        <v>25</v>
      </c>
      <c r="T14" s="38"/>
      <c r="U14" s="35">
        <v>4</v>
      </c>
      <c r="V14" s="32" t="s">
        <v>13</v>
      </c>
      <c r="W14" s="36" t="str">
        <f>O43</f>
        <v>103B700C</v>
      </c>
      <c r="X14" t="str">
        <f t="shared" si="0"/>
        <v>0x103B700C,</v>
      </c>
      <c r="Y14" s="44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29" t="s">
        <v>55</v>
      </c>
      <c r="R15" s="4" t="s">
        <v>55</v>
      </c>
      <c r="S15" s="37" t="s">
        <v>55</v>
      </c>
      <c r="T15" s="38"/>
      <c r="U15" s="35"/>
      <c r="V15" s="32" t="s">
        <v>16</v>
      </c>
      <c r="W15" s="36" t="str">
        <f>O42</f>
        <v>48BF4F5C</v>
      </c>
      <c r="X15" t="str">
        <f t="shared" si="0"/>
        <v>0x48BF4F5C,</v>
      </c>
      <c r="Y15" s="44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29" t="s">
        <v>12</v>
      </c>
      <c r="R16" s="4" t="s">
        <v>12</v>
      </c>
      <c r="S16" s="37" t="s">
        <v>12</v>
      </c>
      <c r="T16" s="38"/>
      <c r="U16" s="35"/>
      <c r="V16" s="32" t="s">
        <v>20</v>
      </c>
      <c r="W16" s="36" t="str">
        <f>O41</f>
        <v>440806E</v>
      </c>
      <c r="X16" t="str">
        <f t="shared" si="0"/>
        <v>0x0440806E,</v>
      </c>
      <c r="Y16" s="44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29" t="s">
        <v>11</v>
      </c>
      <c r="R17" s="4" t="s">
        <v>11</v>
      </c>
      <c r="S17" s="37" t="s">
        <v>11</v>
      </c>
      <c r="T17" s="38"/>
      <c r="U17" s="35">
        <v>5</v>
      </c>
      <c r="V17" s="32" t="s">
        <v>13</v>
      </c>
      <c r="W17" s="36" t="str">
        <f>N43</f>
        <v>103B700C</v>
      </c>
      <c r="X17" t="str">
        <f t="shared" si="0"/>
        <v>0x103B700C,</v>
      </c>
      <c r="Y17" s="44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29" t="s">
        <v>12</v>
      </c>
      <c r="R18" s="4" t="s">
        <v>12</v>
      </c>
      <c r="S18" s="37" t="s">
        <v>12</v>
      </c>
      <c r="T18" s="38"/>
      <c r="U18" s="35"/>
      <c r="V18" s="32" t="s">
        <v>16</v>
      </c>
      <c r="W18" s="36" t="str">
        <f>N42</f>
        <v>48BF4F5C</v>
      </c>
      <c r="X18" t="str">
        <f t="shared" si="0"/>
        <v>0x48BF4F5C,</v>
      </c>
      <c r="Y18" s="44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29" t="s">
        <v>45</v>
      </c>
      <c r="R19" s="4" t="s">
        <v>45</v>
      </c>
      <c r="S19" s="37" t="s">
        <v>45</v>
      </c>
      <c r="T19" s="38"/>
      <c r="U19" s="35"/>
      <c r="V19" s="32" t="s">
        <v>20</v>
      </c>
      <c r="W19" s="36" t="str">
        <f>N41</f>
        <v>440808E</v>
      </c>
      <c r="X19" t="str">
        <f t="shared" si="0"/>
        <v>0x0440808E,</v>
      </c>
      <c r="Y19" s="44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29" t="s">
        <v>45</v>
      </c>
      <c r="R20" s="4" t="s">
        <v>45</v>
      </c>
      <c r="S20" s="37" t="s">
        <v>45</v>
      </c>
      <c r="T20" s="38"/>
      <c r="U20" s="35">
        <v>6</v>
      </c>
      <c r="V20" s="32" t="s">
        <v>13</v>
      </c>
      <c r="W20" s="36" t="str">
        <f>M43</f>
        <v>103B700F</v>
      </c>
      <c r="X20" t="str">
        <f t="shared" si="0"/>
        <v>0x103B700F,</v>
      </c>
      <c r="Y20" s="44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7" t="s">
        <v>44</v>
      </c>
      <c r="T21" s="38"/>
      <c r="U21" s="35"/>
      <c r="V21" s="32" t="s">
        <v>16</v>
      </c>
      <c r="W21" s="36" t="str">
        <f>M42</f>
        <v>48BF4F5C</v>
      </c>
      <c r="X21" t="str">
        <f t="shared" si="0"/>
        <v>0x48BF4F5C,</v>
      </c>
      <c r="Y21" s="44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25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29" t="s">
        <v>25</v>
      </c>
      <c r="R22" s="4" t="s">
        <v>25</v>
      </c>
      <c r="S22" s="37" t="s">
        <v>25</v>
      </c>
      <c r="T22" s="38"/>
      <c r="U22" s="35"/>
      <c r="V22" s="32" t="s">
        <v>20</v>
      </c>
      <c r="W22" s="36" t="str">
        <f>M41</f>
        <v>440808A</v>
      </c>
      <c r="X22" t="str">
        <f t="shared" si="0"/>
        <v>0x0440808A,</v>
      </c>
      <c r="Y22" s="44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29" t="s">
        <v>11</v>
      </c>
      <c r="R23" s="4" t="s">
        <v>11</v>
      </c>
      <c r="S23" s="37" t="s">
        <v>11</v>
      </c>
      <c r="T23" s="38"/>
      <c r="U23" s="35">
        <v>7</v>
      </c>
      <c r="V23" s="32" t="s">
        <v>13</v>
      </c>
      <c r="W23" s="36" t="str">
        <f>L43</f>
        <v>103B700F</v>
      </c>
      <c r="X23" t="str">
        <f t="shared" si="0"/>
        <v>0x103B700F,</v>
      </c>
      <c r="Y23" s="44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29" t="s">
        <v>11</v>
      </c>
      <c r="R24" s="4" t="s">
        <v>11</v>
      </c>
      <c r="S24" s="37" t="s">
        <v>11</v>
      </c>
      <c r="T24" s="38"/>
      <c r="U24" s="35"/>
      <c r="V24" s="32" t="s">
        <v>16</v>
      </c>
      <c r="W24" s="36" t="str">
        <f>L42</f>
        <v>48BF4F4C</v>
      </c>
      <c r="X24" t="str">
        <f t="shared" si="0"/>
        <v>0x48BF4F4C,</v>
      </c>
      <c r="Y24" s="44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7" t="s">
        <v>44</v>
      </c>
      <c r="T25" s="38"/>
      <c r="U25" s="35"/>
      <c r="V25" s="32" t="s">
        <v>20</v>
      </c>
      <c r="W25" s="36" t="str">
        <f>L41</f>
        <v>44080B2</v>
      </c>
      <c r="X25" t="str">
        <f t="shared" si="0"/>
        <v>0x044080B2,</v>
      </c>
      <c r="Y25" s="44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30" t="s">
        <v>46</v>
      </c>
      <c r="N26" s="30" t="s">
        <v>46</v>
      </c>
      <c r="O26" s="30" t="s">
        <v>46</v>
      </c>
      <c r="P26" s="30" t="s">
        <v>46</v>
      </c>
      <c r="Q26" s="31" t="s">
        <v>46</v>
      </c>
      <c r="R26" s="30" t="s">
        <v>46</v>
      </c>
      <c r="S26" s="42" t="s">
        <v>46</v>
      </c>
      <c r="T26" s="41"/>
      <c r="U26" s="35">
        <v>8</v>
      </c>
      <c r="V26" s="32" t="s">
        <v>13</v>
      </c>
      <c r="W26" s="36" t="str">
        <f>K43</f>
        <v>103B700F</v>
      </c>
      <c r="X26" t="str">
        <f t="shared" si="0"/>
        <v>0x103B700F,</v>
      </c>
      <c r="Y26" s="44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29" t="s">
        <v>45</v>
      </c>
      <c r="R27" s="4" t="s">
        <v>45</v>
      </c>
      <c r="S27" s="37" t="s">
        <v>45</v>
      </c>
      <c r="T27" s="38"/>
      <c r="U27" s="35"/>
      <c r="V27" s="32" t="s">
        <v>16</v>
      </c>
      <c r="W27" s="36" t="str">
        <f>K42</f>
        <v>48BF4F4C</v>
      </c>
      <c r="X27" t="str">
        <f t="shared" si="0"/>
        <v>0x48BF4F4C,</v>
      </c>
      <c r="Y27" s="44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29" t="s">
        <v>12</v>
      </c>
      <c r="R28" s="4" t="s">
        <v>12</v>
      </c>
      <c r="S28" s="37" t="s">
        <v>12</v>
      </c>
      <c r="T28" s="38"/>
      <c r="U28" s="35"/>
      <c r="V28" s="32" t="s">
        <v>20</v>
      </c>
      <c r="W28" s="36" t="str">
        <f>K41</f>
        <v>4408146</v>
      </c>
      <c r="X28" t="str">
        <f t="shared" si="0"/>
        <v>0x04408146,</v>
      </c>
      <c r="Y28" s="44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9" t="s">
        <v>12</v>
      </c>
      <c r="T29" s="38"/>
      <c r="U29" s="35">
        <v>9</v>
      </c>
      <c r="V29" s="32" t="s">
        <v>13</v>
      </c>
      <c r="W29" s="36" t="str">
        <f>J43</f>
        <v>103B700F</v>
      </c>
      <c r="X29" t="str">
        <f t="shared" si="0"/>
        <v>0x103B700F,</v>
      </c>
      <c r="Y29" s="44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9" t="s">
        <v>12</v>
      </c>
      <c r="T30" s="38"/>
      <c r="U30" s="35"/>
      <c r="V30" s="32" t="s">
        <v>16</v>
      </c>
      <c r="W30" s="36" t="str">
        <f>J42</f>
        <v>48BF4F4C</v>
      </c>
      <c r="X30" t="str">
        <f t="shared" si="0"/>
        <v>0x48BF4F4C,</v>
      </c>
      <c r="Y30" s="44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29" t="s">
        <v>93</v>
      </c>
      <c r="R31" s="4" t="s">
        <v>93</v>
      </c>
      <c r="S31" s="37" t="s">
        <v>93</v>
      </c>
      <c r="T31" s="38"/>
      <c r="U31" s="35"/>
      <c r="V31" s="32" t="s">
        <v>20</v>
      </c>
      <c r="W31" s="36" t="str">
        <f>J41</f>
        <v>4408132</v>
      </c>
      <c r="X31" t="str">
        <f t="shared" si="0"/>
        <v>0x04408132,</v>
      </c>
      <c r="Y31" s="44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29" t="s">
        <v>49</v>
      </c>
      <c r="R32" s="4" t="s">
        <v>49</v>
      </c>
      <c r="S32" s="37" t="s">
        <v>49</v>
      </c>
      <c r="T32" s="38"/>
      <c r="U32" s="35" t="s">
        <v>96</v>
      </c>
      <c r="V32" s="32" t="s">
        <v>13</v>
      </c>
      <c r="W32" s="36" t="str">
        <f>I43</f>
        <v>103B700F</v>
      </c>
      <c r="X32" t="str">
        <f t="shared" si="0"/>
        <v>0x103B700F,</v>
      </c>
      <c r="Y32" s="44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29" t="s">
        <v>45</v>
      </c>
      <c r="R33" s="4" t="s">
        <v>45</v>
      </c>
      <c r="S33" s="37" t="s">
        <v>45</v>
      </c>
      <c r="T33" s="38"/>
      <c r="U33" s="35"/>
      <c r="V33" s="32" t="s">
        <v>16</v>
      </c>
      <c r="W33" s="36" t="str">
        <f>I42</f>
        <v>48BF4F4C</v>
      </c>
      <c r="X33" t="str">
        <f t="shared" si="0"/>
        <v>0x48BF4F4C,</v>
      </c>
      <c r="Y33" s="44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29" t="s">
        <v>12</v>
      </c>
      <c r="R34" s="4" t="s">
        <v>12</v>
      </c>
      <c r="S34" s="37" t="s">
        <v>12</v>
      </c>
      <c r="T34" s="38"/>
      <c r="U34" s="35"/>
      <c r="V34" s="32" t="s">
        <v>20</v>
      </c>
      <c r="W34" s="36" t="str">
        <f>I41</f>
        <v>44081AE</v>
      </c>
      <c r="X34" t="str">
        <f t="shared" si="0"/>
        <v>0x044081AE,</v>
      </c>
      <c r="Y34" s="44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29" t="s">
        <v>49</v>
      </c>
      <c r="R35" s="4" t="s">
        <v>49</v>
      </c>
      <c r="S35" s="37" t="s">
        <v>49</v>
      </c>
      <c r="T35" s="38"/>
      <c r="U35" s="35" t="s">
        <v>103</v>
      </c>
      <c r="V35" s="32" t="s">
        <v>13</v>
      </c>
      <c r="W35" s="36" t="str">
        <f>H43</f>
        <v>103B700F</v>
      </c>
      <c r="X35" t="str">
        <f t="shared" si="0"/>
        <v>0x103B700F,</v>
      </c>
      <c r="Y35" s="44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29" t="s">
        <v>12</v>
      </c>
      <c r="R36" s="12" t="s">
        <v>12</v>
      </c>
      <c r="S36" s="43" t="s">
        <v>12</v>
      </c>
      <c r="T36" s="38"/>
      <c r="U36" s="35"/>
      <c r="V36" s="32" t="s">
        <v>16</v>
      </c>
      <c r="W36" s="36" t="str">
        <f>H42</f>
        <v>48BF4F4C</v>
      </c>
      <c r="X36" t="str">
        <f t="shared" si="0"/>
        <v>0x48BF4F4C,</v>
      </c>
      <c r="Y36" s="44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51">
        <v>15</v>
      </c>
      <c r="H37" s="51">
        <v>15</v>
      </c>
      <c r="I37" s="51">
        <v>15</v>
      </c>
      <c r="J37" s="51">
        <v>15</v>
      </c>
      <c r="K37" s="51">
        <v>15</v>
      </c>
      <c r="L37" s="51">
        <v>15</v>
      </c>
      <c r="M37" s="51">
        <v>15</v>
      </c>
      <c r="N37" s="51">
        <v>12</v>
      </c>
      <c r="O37" s="51">
        <v>12</v>
      </c>
      <c r="P37" s="51">
        <v>9</v>
      </c>
      <c r="Q37" s="51">
        <v>7</v>
      </c>
      <c r="R37" s="51">
        <v>6</v>
      </c>
      <c r="S37" s="52">
        <v>4</v>
      </c>
      <c r="T37" s="53"/>
      <c r="U37" s="35"/>
      <c r="V37" s="32" t="s">
        <v>20</v>
      </c>
      <c r="W37" s="36" t="str">
        <f>H41</f>
        <v>44081D6</v>
      </c>
      <c r="X37" t="str">
        <f t="shared" si="0"/>
        <v>0x044081D6,</v>
      </c>
      <c r="Y37" s="44"/>
    </row>
    <row r="38" spans="4:25">
      <c r="D38" s="13"/>
      <c r="E38" s="13"/>
      <c r="F38" s="13"/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5" t="s">
        <v>109</v>
      </c>
      <c r="V38" s="32" t="s">
        <v>13</v>
      </c>
      <c r="W38" s="36" t="str">
        <f>G43</f>
        <v>103B700F</v>
      </c>
      <c r="X38" t="str">
        <f t="shared" si="0"/>
        <v>0x103B700F,</v>
      </c>
      <c r="Y38" s="44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5"/>
      <c r="V39" s="32" t="s">
        <v>16</v>
      </c>
      <c r="W39" s="36" t="str">
        <f>G42</f>
        <v>48BF4F4C</v>
      </c>
      <c r="X39" t="str">
        <f t="shared" si="0"/>
        <v>0x48BF4F4C,</v>
      </c>
      <c r="Y39" s="44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5"/>
      <c r="V40" s="32" t="s">
        <v>20</v>
      </c>
      <c r="W40" s="36" t="str">
        <f>G41</f>
        <v>44081FE</v>
      </c>
      <c r="X40" t="str">
        <f t="shared" si="0"/>
        <v>0x044081FE,</v>
      </c>
      <c r="Y40" s="44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44081FE</v>
      </c>
      <c r="H41" s="19" t="str">
        <f t="shared" si="1"/>
        <v>44081D6</v>
      </c>
      <c r="I41" s="19" t="str">
        <f t="shared" si="1"/>
        <v>44081AE</v>
      </c>
      <c r="J41" s="19" t="str">
        <f t="shared" si="1"/>
        <v>4408132</v>
      </c>
      <c r="K41" s="19" t="str">
        <f t="shared" si="1"/>
        <v>4408146</v>
      </c>
      <c r="L41" s="19" t="str">
        <f t="shared" si="1"/>
        <v>44080B2</v>
      </c>
      <c r="M41" s="19" t="str">
        <f t="shared" si="1"/>
        <v>440808A</v>
      </c>
      <c r="N41" s="19" t="str">
        <f t="shared" si="1"/>
        <v>440808E</v>
      </c>
      <c r="O41" s="19" t="str">
        <f t="shared" si="1"/>
        <v>440806E</v>
      </c>
      <c r="P41" s="19" t="str">
        <f t="shared" si="1"/>
        <v>440806E</v>
      </c>
      <c r="Q41" s="19" t="str">
        <f t="shared" si="1"/>
        <v>440806A</v>
      </c>
      <c r="R41" s="19" t="str">
        <f t="shared" si="1"/>
        <v>4408056</v>
      </c>
      <c r="S41" s="19" t="str">
        <f t="shared" si="1"/>
        <v>440808A</v>
      </c>
      <c r="U41" s="35" t="s">
        <v>114</v>
      </c>
      <c r="V41" s="32" t="s">
        <v>13</v>
      </c>
      <c r="W41" s="36" t="str">
        <f>F43</f>
        <v>0</v>
      </c>
      <c r="X41" t="str">
        <f t="shared" si="0"/>
        <v>0x00000000,</v>
      </c>
      <c r="Y41" s="44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48BF4F4C</v>
      </c>
      <c r="H42" s="19" t="str">
        <f t="shared" si="2"/>
        <v>48BF4F4C</v>
      </c>
      <c r="I42" s="19" t="str">
        <f t="shared" si="2"/>
        <v>48BF4F4C</v>
      </c>
      <c r="J42" s="19" t="str">
        <f t="shared" si="2"/>
        <v>48BF4F4C</v>
      </c>
      <c r="K42" s="19" t="str">
        <f t="shared" si="2"/>
        <v>48BF4F4C</v>
      </c>
      <c r="L42" s="19" t="str">
        <f t="shared" si="2"/>
        <v>48BF4F4C</v>
      </c>
      <c r="M42" s="19" t="str">
        <f t="shared" si="2"/>
        <v>48BF4F5C</v>
      </c>
      <c r="N42" s="19" t="str">
        <f t="shared" si="2"/>
        <v>48BF4F5C</v>
      </c>
      <c r="O42" s="19" t="str">
        <f t="shared" si="2"/>
        <v>48BF4F5C</v>
      </c>
      <c r="P42" s="19" t="str">
        <f t="shared" si="2"/>
        <v>48BF4F5C</v>
      </c>
      <c r="Q42" s="19" t="str">
        <f t="shared" si="2"/>
        <v>48BF4F5C</v>
      </c>
      <c r="R42" s="19" t="str">
        <f t="shared" si="2"/>
        <v>48BF4F5C</v>
      </c>
      <c r="S42" s="19" t="str">
        <f t="shared" si="2"/>
        <v>48BF4F5C</v>
      </c>
      <c r="U42" s="35"/>
      <c r="V42" s="32" t="s">
        <v>16</v>
      </c>
      <c r="W42" s="36" t="str">
        <f>F42</f>
        <v>0</v>
      </c>
      <c r="X42" t="str">
        <f t="shared" si="0"/>
        <v>0x00000000,</v>
      </c>
      <c r="Y42" s="44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103B700F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5"/>
      <c r="V43" s="32" t="s">
        <v>20</v>
      </c>
      <c r="W43" s="36" t="str">
        <f>F41</f>
        <v>0</v>
      </c>
      <c r="X43" t="str">
        <f t="shared" si="0"/>
        <v>0x00000000,</v>
      </c>
      <c r="Y43" s="44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5" t="s">
        <v>118</v>
      </c>
      <c r="V44" s="32" t="s">
        <v>13</v>
      </c>
      <c r="W44" s="36" t="str">
        <f>E43</f>
        <v>0</v>
      </c>
      <c r="X44" t="str">
        <f t="shared" si="0"/>
        <v>0x00000000,</v>
      </c>
      <c r="Y44" s="44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5"/>
      <c r="V45" s="32" t="s">
        <v>16</v>
      </c>
      <c r="W45" s="36" t="str">
        <f>E42</f>
        <v>0</v>
      </c>
      <c r="X45" t="str">
        <f t="shared" si="0"/>
        <v>0x00000000,</v>
      </c>
      <c r="Y45" s="44"/>
    </row>
    <row r="46" spans="1:25">
      <c r="A46" s="21" t="s">
        <v>125</v>
      </c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5"/>
      <c r="V46" s="32" t="s">
        <v>20</v>
      </c>
      <c r="W46" s="36" t="str">
        <f>E41</f>
        <v>0</v>
      </c>
      <c r="X46" t="str">
        <f t="shared" si="0"/>
        <v>0x00000000,</v>
      </c>
      <c r="Y46" s="44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5" t="s">
        <v>120</v>
      </c>
      <c r="V47" s="32" t="s">
        <v>13</v>
      </c>
      <c r="W47" s="36" t="str">
        <f>D43</f>
        <v>0</v>
      </c>
      <c r="X47" t="str">
        <f t="shared" si="0"/>
        <v>0x00000000,</v>
      </c>
      <c r="Y47" s="44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2"/>
      <c r="V48" s="32" t="s">
        <v>16</v>
      </c>
      <c r="W48" s="36" t="str">
        <f>D42</f>
        <v>0</v>
      </c>
      <c r="X48" t="str">
        <f t="shared" si="0"/>
        <v>0x00000000,</v>
      </c>
      <c r="Y48" s="44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2"/>
      <c r="V49" s="32" t="s">
        <v>20</v>
      </c>
      <c r="W49" s="36" t="str">
        <f>D41</f>
        <v>0</v>
      </c>
      <c r="X49" t="str">
        <f t="shared" si="0"/>
        <v>0x00000000,</v>
      </c>
      <c r="Y49" s="44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5">
      <c r="A67" s="45"/>
      <c r="B67" s="46"/>
      <c r="C67" s="46"/>
      <c r="D67" s="46"/>
      <c r="E67" s="20"/>
    </row>
    <row r="68" spans="1:5">
      <c r="A68" s="45"/>
      <c r="B68" s="46"/>
      <c r="C68" s="46"/>
      <c r="D68" s="46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7"/>
      <c r="C73" s="47"/>
      <c r="D73" s="4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topLeftCell="B1" workbookViewId="0">
      <selection activeCell="D41" sqref="D41:S43"/>
    </sheetView>
  </sheetViews>
  <sheetFormatPr defaultColWidth="9" defaultRowHeight="14.25"/>
  <cols>
    <col min="1" max="1" width="26.75" customWidth="1"/>
    <col min="24" max="24" width="16.1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2" t="s">
        <v>9</v>
      </c>
      <c r="V1" s="32"/>
      <c r="W1" s="32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8" t="s">
        <v>12</v>
      </c>
      <c r="R2" s="2" t="s">
        <v>12</v>
      </c>
      <c r="S2" s="33" t="s">
        <v>12</v>
      </c>
      <c r="T2" s="34"/>
      <c r="U2" s="35">
        <v>0</v>
      </c>
      <c r="V2" s="32" t="s">
        <v>13</v>
      </c>
      <c r="W2" s="36" t="str">
        <f>S43</f>
        <v>103B7004</v>
      </c>
      <c r="X2" t="str">
        <f>"0x"&amp;RIGHT("00000000"&amp;W2,8)&amp;","</f>
        <v>0x103B7004,</v>
      </c>
      <c r="Y2" s="44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8" t="s">
        <v>12</v>
      </c>
      <c r="R3" s="2" t="s">
        <v>12</v>
      </c>
      <c r="S3" s="33" t="s">
        <v>12</v>
      </c>
      <c r="T3" s="34"/>
      <c r="U3" s="35"/>
      <c r="V3" s="32" t="s">
        <v>16</v>
      </c>
      <c r="W3" s="36" t="str">
        <f>S42</f>
        <v>48BF4F5C</v>
      </c>
      <c r="X3" t="str">
        <f t="shared" ref="X3:X49" si="0">"0x"&amp;RIGHT("00000000"&amp;W3,8)&amp;","</f>
        <v>0x48BF4F5C,</v>
      </c>
      <c r="Y3" s="44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8" t="s">
        <v>12</v>
      </c>
      <c r="R4" s="2" t="s">
        <v>12</v>
      </c>
      <c r="S4" s="33" t="s">
        <v>12</v>
      </c>
      <c r="T4" s="34"/>
      <c r="U4" s="35"/>
      <c r="V4" s="32" t="s">
        <v>20</v>
      </c>
      <c r="W4" s="36" t="str">
        <f>S41</f>
        <v>440408A</v>
      </c>
      <c r="X4" t="str">
        <f t="shared" si="0"/>
        <v>0x0440408A,</v>
      </c>
      <c r="Y4" s="44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8" t="s">
        <v>12</v>
      </c>
      <c r="R5" s="2" t="s">
        <v>12</v>
      </c>
      <c r="S5" s="33" t="s">
        <v>12</v>
      </c>
      <c r="T5" s="34"/>
      <c r="U5" s="35">
        <v>1</v>
      </c>
      <c r="V5" s="32" t="s">
        <v>13</v>
      </c>
      <c r="W5" s="36" t="str">
        <f>R43</f>
        <v>103B7006</v>
      </c>
      <c r="X5" t="str">
        <f t="shared" si="0"/>
        <v>0x103B7006,</v>
      </c>
      <c r="Y5" s="44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8" t="s">
        <v>26</v>
      </c>
      <c r="R6" s="2" t="s">
        <v>26</v>
      </c>
      <c r="S6" s="33" t="s">
        <v>26</v>
      </c>
      <c r="T6" s="34"/>
      <c r="U6" s="35"/>
      <c r="V6" s="32" t="s">
        <v>16</v>
      </c>
      <c r="W6" s="36" t="str">
        <f>R42</f>
        <v>48BF4F5C</v>
      </c>
      <c r="X6" t="str">
        <f t="shared" si="0"/>
        <v>0x48BF4F5C,</v>
      </c>
      <c r="Y6" s="44"/>
    </row>
    <row r="7" spans="1:25">
      <c r="A7" s="2" t="s">
        <v>27</v>
      </c>
      <c r="B7" s="2" t="s">
        <v>28</v>
      </c>
      <c r="C7" s="3" t="s">
        <v>25</v>
      </c>
      <c r="D7" s="4"/>
      <c r="E7" s="4"/>
      <c r="F7" s="4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29" t="s">
        <v>26</v>
      </c>
      <c r="R7" s="4" t="s">
        <v>26</v>
      </c>
      <c r="S7" s="37" t="s">
        <v>26</v>
      </c>
      <c r="T7" s="38"/>
      <c r="U7" s="35"/>
      <c r="V7" s="32" t="s">
        <v>20</v>
      </c>
      <c r="W7" s="36" t="str">
        <f>R41</f>
        <v>4404056</v>
      </c>
      <c r="X7" t="str">
        <f t="shared" si="0"/>
        <v>0x04404056,</v>
      </c>
      <c r="Y7" s="44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29" t="s">
        <v>12</v>
      </c>
      <c r="R8" s="4" t="s">
        <v>12</v>
      </c>
      <c r="S8" s="37" t="s">
        <v>12</v>
      </c>
      <c r="T8" s="38"/>
      <c r="U8" s="35">
        <v>2</v>
      </c>
      <c r="V8" s="32" t="s">
        <v>13</v>
      </c>
      <c r="W8" s="36" t="str">
        <f>Q43</f>
        <v>103B7007</v>
      </c>
      <c r="X8" t="str">
        <f t="shared" si="0"/>
        <v>0x103B7007,</v>
      </c>
      <c r="Y8" s="44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29" t="s">
        <v>12</v>
      </c>
      <c r="R9" s="4" t="s">
        <v>12</v>
      </c>
      <c r="S9" s="37" t="s">
        <v>12</v>
      </c>
      <c r="T9" s="38"/>
      <c r="U9" s="35"/>
      <c r="V9" s="32" t="s">
        <v>16</v>
      </c>
      <c r="W9" s="36" t="str">
        <f>Q42</f>
        <v>48BF4F5C</v>
      </c>
      <c r="X9" t="str">
        <f t="shared" si="0"/>
        <v>0x48BF4F5C,</v>
      </c>
      <c r="Y9" s="44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19</v>
      </c>
      <c r="H10" s="7" t="s">
        <v>19</v>
      </c>
      <c r="I10" s="7" t="s">
        <v>19</v>
      </c>
      <c r="J10" s="7" t="s">
        <v>19</v>
      </c>
      <c r="K10" s="7" t="s">
        <v>19</v>
      </c>
      <c r="L10" s="7" t="s">
        <v>19</v>
      </c>
      <c r="M10" s="7" t="s">
        <v>19</v>
      </c>
      <c r="N10" s="7" t="s">
        <v>19</v>
      </c>
      <c r="O10" s="7" t="s">
        <v>19</v>
      </c>
      <c r="P10" s="7" t="s">
        <v>19</v>
      </c>
      <c r="Q10" s="7" t="s">
        <v>19</v>
      </c>
      <c r="R10" s="7" t="s">
        <v>19</v>
      </c>
      <c r="S10" s="39" t="s">
        <v>19</v>
      </c>
      <c r="T10" s="38"/>
      <c r="U10" s="35"/>
      <c r="V10" s="32" t="s">
        <v>20</v>
      </c>
      <c r="W10" s="36" t="str">
        <f>Q41</f>
        <v>440406A</v>
      </c>
      <c r="X10" t="str">
        <f t="shared" si="0"/>
        <v>0x0440406A,</v>
      </c>
      <c r="Y10" s="44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29" t="s">
        <v>12</v>
      </c>
      <c r="R11" s="4" t="s">
        <v>12</v>
      </c>
      <c r="S11" s="37" t="s">
        <v>12</v>
      </c>
      <c r="T11" s="38"/>
      <c r="U11" s="35">
        <v>3</v>
      </c>
      <c r="V11" s="32" t="s">
        <v>13</v>
      </c>
      <c r="W11" s="36" t="str">
        <f>P43</f>
        <v>103B7009</v>
      </c>
      <c r="X11" t="str">
        <f t="shared" si="0"/>
        <v>0x103B7009,</v>
      </c>
      <c r="Y11" s="44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7" t="s">
        <v>41</v>
      </c>
      <c r="H12" s="7" t="s">
        <v>122</v>
      </c>
      <c r="I12" s="7" t="s">
        <v>42</v>
      </c>
      <c r="J12" s="7" t="s">
        <v>55</v>
      </c>
      <c r="K12" s="7" t="s">
        <v>124</v>
      </c>
      <c r="L12" s="7" t="s">
        <v>46</v>
      </c>
      <c r="M12" s="8" t="s">
        <v>25</v>
      </c>
      <c r="N12" s="8" t="s">
        <v>25</v>
      </c>
      <c r="O12" s="8" t="s">
        <v>45</v>
      </c>
      <c r="P12" s="8" t="s">
        <v>45</v>
      </c>
      <c r="Q12" s="8" t="s">
        <v>45</v>
      </c>
      <c r="R12" s="8" t="s">
        <v>19</v>
      </c>
      <c r="S12" s="40" t="s">
        <v>25</v>
      </c>
      <c r="T12" s="41"/>
      <c r="U12" s="35"/>
      <c r="V12" s="32" t="s">
        <v>16</v>
      </c>
      <c r="W12" s="36" t="str">
        <f>P42</f>
        <v>48BF4F5C</v>
      </c>
      <c r="X12" t="str">
        <f t="shared" si="0"/>
        <v>0x48BF4F5C,</v>
      </c>
      <c r="Y12" s="44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7" t="s">
        <v>49</v>
      </c>
      <c r="H13" s="7" t="s">
        <v>46</v>
      </c>
      <c r="I13" s="7" t="s">
        <v>45</v>
      </c>
      <c r="J13" s="7" t="s">
        <v>25</v>
      </c>
      <c r="K13" s="7" t="s">
        <v>11</v>
      </c>
      <c r="L13" s="7" t="s">
        <v>25</v>
      </c>
      <c r="M13" s="8" t="s">
        <v>19</v>
      </c>
      <c r="N13" s="8" t="s">
        <v>45</v>
      </c>
      <c r="O13" s="8" t="s">
        <v>45</v>
      </c>
      <c r="P13" s="8" t="s">
        <v>45</v>
      </c>
      <c r="Q13" s="8" t="s">
        <v>19</v>
      </c>
      <c r="R13" s="8" t="s">
        <v>46</v>
      </c>
      <c r="S13" s="40" t="s">
        <v>19</v>
      </c>
      <c r="T13" s="41"/>
      <c r="U13" s="35"/>
      <c r="V13" s="32" t="s">
        <v>20</v>
      </c>
      <c r="W13" s="36" t="str">
        <f>P41</f>
        <v>440406E</v>
      </c>
      <c r="X13" t="str">
        <f t="shared" si="0"/>
        <v>0x0440406E,</v>
      </c>
      <c r="Y13" s="44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29" t="s">
        <v>25</v>
      </c>
      <c r="R14" s="4" t="s">
        <v>25</v>
      </c>
      <c r="S14" s="37" t="s">
        <v>25</v>
      </c>
      <c r="T14" s="38"/>
      <c r="U14" s="35">
        <v>4</v>
      </c>
      <c r="V14" s="32" t="s">
        <v>13</v>
      </c>
      <c r="W14" s="36" t="str">
        <f>O43</f>
        <v>103B700C</v>
      </c>
      <c r="X14" t="str">
        <f t="shared" si="0"/>
        <v>0x103B700C,</v>
      </c>
      <c r="Y14" s="44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29" t="s">
        <v>55</v>
      </c>
      <c r="R15" s="4" t="s">
        <v>55</v>
      </c>
      <c r="S15" s="37" t="s">
        <v>55</v>
      </c>
      <c r="T15" s="38"/>
      <c r="U15" s="35"/>
      <c r="V15" s="32" t="s">
        <v>16</v>
      </c>
      <c r="W15" s="36" t="str">
        <f>O42</f>
        <v>48BF4F5C</v>
      </c>
      <c r="X15" t="str">
        <f t="shared" si="0"/>
        <v>0x48BF4F5C,</v>
      </c>
      <c r="Y15" s="44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29" t="s">
        <v>12</v>
      </c>
      <c r="R16" s="4" t="s">
        <v>12</v>
      </c>
      <c r="S16" s="37" t="s">
        <v>12</v>
      </c>
      <c r="T16" s="38"/>
      <c r="U16" s="35"/>
      <c r="V16" s="32" t="s">
        <v>20</v>
      </c>
      <c r="W16" s="36" t="str">
        <f>O41</f>
        <v>440406E</v>
      </c>
      <c r="X16" t="str">
        <f t="shared" si="0"/>
        <v>0x0440406E,</v>
      </c>
      <c r="Y16" s="44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29" t="s">
        <v>11</v>
      </c>
      <c r="R17" s="4" t="s">
        <v>11</v>
      </c>
      <c r="S17" s="37" t="s">
        <v>11</v>
      </c>
      <c r="T17" s="38"/>
      <c r="U17" s="35">
        <v>5</v>
      </c>
      <c r="V17" s="32" t="s">
        <v>13</v>
      </c>
      <c r="W17" s="36" t="str">
        <f>N43</f>
        <v>103B700C</v>
      </c>
      <c r="X17" t="str">
        <f t="shared" si="0"/>
        <v>0x103B700C,</v>
      </c>
      <c r="Y17" s="44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29" t="s">
        <v>12</v>
      </c>
      <c r="R18" s="4" t="s">
        <v>12</v>
      </c>
      <c r="S18" s="37" t="s">
        <v>12</v>
      </c>
      <c r="T18" s="38"/>
      <c r="U18" s="35"/>
      <c r="V18" s="32" t="s">
        <v>16</v>
      </c>
      <c r="W18" s="36" t="str">
        <f>N42</f>
        <v>48BF4F5C</v>
      </c>
      <c r="X18" t="str">
        <f t="shared" si="0"/>
        <v>0x48BF4F5C,</v>
      </c>
      <c r="Y18" s="44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29" t="s">
        <v>45</v>
      </c>
      <c r="R19" s="4" t="s">
        <v>45</v>
      </c>
      <c r="S19" s="37" t="s">
        <v>45</v>
      </c>
      <c r="T19" s="38"/>
      <c r="U19" s="35"/>
      <c r="V19" s="32" t="s">
        <v>20</v>
      </c>
      <c r="W19" s="36" t="str">
        <f>N41</f>
        <v>440408E</v>
      </c>
      <c r="X19" t="str">
        <f t="shared" si="0"/>
        <v>0x0440408E,</v>
      </c>
      <c r="Y19" s="44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29" t="s">
        <v>45</v>
      </c>
      <c r="R20" s="4" t="s">
        <v>45</v>
      </c>
      <c r="S20" s="37" t="s">
        <v>45</v>
      </c>
      <c r="T20" s="38"/>
      <c r="U20" s="35">
        <v>6</v>
      </c>
      <c r="V20" s="32" t="s">
        <v>13</v>
      </c>
      <c r="W20" s="36" t="str">
        <f>M43</f>
        <v>103B700F</v>
      </c>
      <c r="X20" t="str">
        <f t="shared" si="0"/>
        <v>0x103B700F,</v>
      </c>
      <c r="Y20" s="44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7" t="s">
        <v>44</v>
      </c>
      <c r="T21" s="38"/>
      <c r="U21" s="35"/>
      <c r="V21" s="32" t="s">
        <v>16</v>
      </c>
      <c r="W21" s="36" t="str">
        <f>M42</f>
        <v>48BF4F5C</v>
      </c>
      <c r="X21" t="str">
        <f t="shared" si="0"/>
        <v>0x48BF4F5C,</v>
      </c>
      <c r="Y21" s="44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25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29" t="s">
        <v>25</v>
      </c>
      <c r="R22" s="4" t="s">
        <v>25</v>
      </c>
      <c r="S22" s="37" t="s">
        <v>25</v>
      </c>
      <c r="T22" s="38"/>
      <c r="U22" s="35"/>
      <c r="V22" s="32" t="s">
        <v>20</v>
      </c>
      <c r="W22" s="36" t="str">
        <f>M41</f>
        <v>440408A</v>
      </c>
      <c r="X22" t="str">
        <f t="shared" si="0"/>
        <v>0x0440408A,</v>
      </c>
      <c r="Y22" s="44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29" t="s">
        <v>11</v>
      </c>
      <c r="R23" s="4" t="s">
        <v>11</v>
      </c>
      <c r="S23" s="37" t="s">
        <v>11</v>
      </c>
      <c r="T23" s="38"/>
      <c r="U23" s="35">
        <v>7</v>
      </c>
      <c r="V23" s="32" t="s">
        <v>13</v>
      </c>
      <c r="W23" s="36" t="str">
        <f>L43</f>
        <v>103B700F</v>
      </c>
      <c r="X23" t="str">
        <f t="shared" si="0"/>
        <v>0x103B700F,</v>
      </c>
      <c r="Y23" s="44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29" t="s">
        <v>11</v>
      </c>
      <c r="R24" s="4" t="s">
        <v>11</v>
      </c>
      <c r="S24" s="37" t="s">
        <v>11</v>
      </c>
      <c r="T24" s="38"/>
      <c r="U24" s="35"/>
      <c r="V24" s="32" t="s">
        <v>16</v>
      </c>
      <c r="W24" s="36" t="str">
        <f>L42</f>
        <v>48BF4F4C</v>
      </c>
      <c r="X24" t="str">
        <f t="shared" si="0"/>
        <v>0x48BF4F4C,</v>
      </c>
      <c r="Y24" s="44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7" t="s">
        <v>44</v>
      </c>
      <c r="T25" s="38"/>
      <c r="U25" s="35"/>
      <c r="V25" s="32" t="s">
        <v>20</v>
      </c>
      <c r="W25" s="36" t="str">
        <f>L41</f>
        <v>44040B2</v>
      </c>
      <c r="X25" t="str">
        <f t="shared" si="0"/>
        <v>0x044040B2,</v>
      </c>
      <c r="Y25" s="44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30" t="s">
        <v>46</v>
      </c>
      <c r="N26" s="30" t="s">
        <v>46</v>
      </c>
      <c r="O26" s="30" t="s">
        <v>46</v>
      </c>
      <c r="P26" s="30" t="s">
        <v>46</v>
      </c>
      <c r="Q26" s="31" t="s">
        <v>46</v>
      </c>
      <c r="R26" s="30" t="s">
        <v>46</v>
      </c>
      <c r="S26" s="42" t="s">
        <v>46</v>
      </c>
      <c r="T26" s="41"/>
      <c r="U26" s="35">
        <v>8</v>
      </c>
      <c r="V26" s="32" t="s">
        <v>13</v>
      </c>
      <c r="W26" s="36" t="str">
        <f>K43</f>
        <v>103B700F</v>
      </c>
      <c r="X26" t="str">
        <f t="shared" si="0"/>
        <v>0x103B700F,</v>
      </c>
      <c r="Y26" s="44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29" t="s">
        <v>45</v>
      </c>
      <c r="R27" s="4" t="s">
        <v>45</v>
      </c>
      <c r="S27" s="37" t="s">
        <v>45</v>
      </c>
      <c r="T27" s="38"/>
      <c r="U27" s="35"/>
      <c r="V27" s="32" t="s">
        <v>16</v>
      </c>
      <c r="W27" s="36" t="str">
        <f>K42</f>
        <v>48BF4F4C</v>
      </c>
      <c r="X27" t="str">
        <f t="shared" si="0"/>
        <v>0x48BF4F4C,</v>
      </c>
      <c r="Y27" s="44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29" t="s">
        <v>12</v>
      </c>
      <c r="R28" s="4" t="s">
        <v>12</v>
      </c>
      <c r="S28" s="37" t="s">
        <v>12</v>
      </c>
      <c r="T28" s="38"/>
      <c r="U28" s="35"/>
      <c r="V28" s="32" t="s">
        <v>20</v>
      </c>
      <c r="W28" s="36" t="str">
        <f>K41</f>
        <v>4404146</v>
      </c>
      <c r="X28" t="str">
        <f t="shared" si="0"/>
        <v>0x04404146,</v>
      </c>
      <c r="Y28" s="44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9" t="s">
        <v>12</v>
      </c>
      <c r="T29" s="38"/>
      <c r="U29" s="35">
        <v>9</v>
      </c>
      <c r="V29" s="32" t="s">
        <v>13</v>
      </c>
      <c r="W29" s="36" t="str">
        <f>J43</f>
        <v>103B700F</v>
      </c>
      <c r="X29" t="str">
        <f t="shared" si="0"/>
        <v>0x103B700F,</v>
      </c>
      <c r="Y29" s="44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9" t="s">
        <v>12</v>
      </c>
      <c r="T30" s="38"/>
      <c r="U30" s="35"/>
      <c r="V30" s="32" t="s">
        <v>16</v>
      </c>
      <c r="W30" s="36" t="str">
        <f>J42</f>
        <v>48BF4F4C</v>
      </c>
      <c r="X30" t="str">
        <f t="shared" si="0"/>
        <v>0x48BF4F4C,</v>
      </c>
      <c r="Y30" s="44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29" t="s">
        <v>93</v>
      </c>
      <c r="R31" s="4" t="s">
        <v>93</v>
      </c>
      <c r="S31" s="37" t="s">
        <v>93</v>
      </c>
      <c r="T31" s="38"/>
      <c r="U31" s="35"/>
      <c r="V31" s="32" t="s">
        <v>20</v>
      </c>
      <c r="W31" s="36" t="str">
        <f>J41</f>
        <v>4404132</v>
      </c>
      <c r="X31" t="str">
        <f t="shared" si="0"/>
        <v>0x04404132,</v>
      </c>
      <c r="Y31" s="44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29" t="s">
        <v>49</v>
      </c>
      <c r="R32" s="4" t="s">
        <v>49</v>
      </c>
      <c r="S32" s="37" t="s">
        <v>49</v>
      </c>
      <c r="T32" s="38"/>
      <c r="U32" s="35" t="s">
        <v>96</v>
      </c>
      <c r="V32" s="32" t="s">
        <v>13</v>
      </c>
      <c r="W32" s="36" t="str">
        <f>I43</f>
        <v>103B700F</v>
      </c>
      <c r="X32" t="str">
        <f t="shared" si="0"/>
        <v>0x103B700F,</v>
      </c>
      <c r="Y32" s="44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29" t="s">
        <v>45</v>
      </c>
      <c r="R33" s="4" t="s">
        <v>45</v>
      </c>
      <c r="S33" s="37" t="s">
        <v>45</v>
      </c>
      <c r="T33" s="38"/>
      <c r="U33" s="35"/>
      <c r="V33" s="32" t="s">
        <v>16</v>
      </c>
      <c r="W33" s="36" t="str">
        <f>I42</f>
        <v>48BF4F4C</v>
      </c>
      <c r="X33" t="str">
        <f t="shared" si="0"/>
        <v>0x48BF4F4C,</v>
      </c>
      <c r="Y33" s="44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29" t="s">
        <v>12</v>
      </c>
      <c r="R34" s="4" t="s">
        <v>12</v>
      </c>
      <c r="S34" s="37" t="s">
        <v>12</v>
      </c>
      <c r="T34" s="38"/>
      <c r="U34" s="35"/>
      <c r="V34" s="32" t="s">
        <v>20</v>
      </c>
      <c r="W34" s="36" t="str">
        <f>I41</f>
        <v>44041AE</v>
      </c>
      <c r="X34" t="str">
        <f t="shared" si="0"/>
        <v>0x044041AE,</v>
      </c>
      <c r="Y34" s="44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29" t="s">
        <v>49</v>
      </c>
      <c r="R35" s="4" t="s">
        <v>49</v>
      </c>
      <c r="S35" s="37" t="s">
        <v>49</v>
      </c>
      <c r="T35" s="38"/>
      <c r="U35" s="35" t="s">
        <v>103</v>
      </c>
      <c r="V35" s="32" t="s">
        <v>13</v>
      </c>
      <c r="W35" s="36" t="str">
        <f>H43</f>
        <v>103B700F</v>
      </c>
      <c r="X35" t="str">
        <f t="shared" si="0"/>
        <v>0x103B700F,</v>
      </c>
      <c r="Y35" s="44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29" t="s">
        <v>12</v>
      </c>
      <c r="R36" s="12" t="s">
        <v>12</v>
      </c>
      <c r="S36" s="43" t="s">
        <v>12</v>
      </c>
      <c r="T36" s="38"/>
      <c r="U36" s="35"/>
      <c r="V36" s="32" t="s">
        <v>16</v>
      </c>
      <c r="W36" s="36" t="str">
        <f>H42</f>
        <v>48BF4F4C</v>
      </c>
      <c r="X36" t="str">
        <f t="shared" si="0"/>
        <v>0x48BF4F4C,</v>
      </c>
      <c r="Y36" s="44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43</v>
      </c>
      <c r="O37" s="4" t="s">
        <v>43</v>
      </c>
      <c r="P37" s="4" t="s">
        <v>55</v>
      </c>
      <c r="Q37" s="29" t="s">
        <v>49</v>
      </c>
      <c r="R37" s="4" t="s">
        <v>44</v>
      </c>
      <c r="S37" s="37" t="s">
        <v>25</v>
      </c>
      <c r="T37" s="38"/>
      <c r="U37" s="35"/>
      <c r="V37" s="32" t="s">
        <v>20</v>
      </c>
      <c r="W37" s="36" t="str">
        <f>H41</f>
        <v>44041D6</v>
      </c>
      <c r="X37" t="str">
        <f t="shared" si="0"/>
        <v>0x044041D6,</v>
      </c>
      <c r="Y37" s="44"/>
    </row>
    <row r="38" spans="4:25">
      <c r="D38" s="13"/>
      <c r="E38" s="13"/>
      <c r="F38" s="13"/>
      <c r="G38" s="14"/>
      <c r="H38" s="14"/>
      <c r="I38" s="14"/>
      <c r="J38" s="14"/>
      <c r="K38" s="14"/>
      <c r="L38" s="14"/>
      <c r="M38" s="14"/>
      <c r="N38" s="14"/>
      <c r="O38" s="14"/>
      <c r="P38" s="50"/>
      <c r="Q38" s="14"/>
      <c r="R38" s="14"/>
      <c r="S38" s="14"/>
      <c r="U38" s="35" t="s">
        <v>109</v>
      </c>
      <c r="V38" s="32" t="s">
        <v>13</v>
      </c>
      <c r="W38" s="36" t="str">
        <f>G43</f>
        <v>103B700F</v>
      </c>
      <c r="X38" t="str">
        <f t="shared" si="0"/>
        <v>0x103B700F,</v>
      </c>
      <c r="Y38" s="44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5"/>
      <c r="V39" s="32" t="s">
        <v>16</v>
      </c>
      <c r="W39" s="36" t="str">
        <f>G42</f>
        <v>48BF4F4C</v>
      </c>
      <c r="X39" t="str">
        <f t="shared" si="0"/>
        <v>0x48BF4F4C,</v>
      </c>
      <c r="Y39" s="44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5"/>
      <c r="V40" s="32" t="s">
        <v>20</v>
      </c>
      <c r="W40" s="36" t="str">
        <f>G41</f>
        <v>44041FE</v>
      </c>
      <c r="X40" t="str">
        <f t="shared" si="0"/>
        <v>0x044041FE,</v>
      </c>
      <c r="Y40" s="44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44041FE</v>
      </c>
      <c r="H41" s="19" t="str">
        <f t="shared" si="1"/>
        <v>44041D6</v>
      </c>
      <c r="I41" s="19" t="str">
        <f t="shared" si="1"/>
        <v>44041AE</v>
      </c>
      <c r="J41" s="19" t="str">
        <f t="shared" si="1"/>
        <v>4404132</v>
      </c>
      <c r="K41" s="19" t="str">
        <f t="shared" si="1"/>
        <v>4404146</v>
      </c>
      <c r="L41" s="19" t="str">
        <f t="shared" si="1"/>
        <v>44040B2</v>
      </c>
      <c r="M41" s="19" t="str">
        <f t="shared" si="1"/>
        <v>440408A</v>
      </c>
      <c r="N41" s="19" t="str">
        <f t="shared" si="1"/>
        <v>440408E</v>
      </c>
      <c r="O41" s="19" t="str">
        <f t="shared" si="1"/>
        <v>440406E</v>
      </c>
      <c r="P41" s="19" t="str">
        <f t="shared" si="1"/>
        <v>440406E</v>
      </c>
      <c r="Q41" s="19" t="str">
        <f t="shared" si="1"/>
        <v>440406A</v>
      </c>
      <c r="R41" s="19" t="str">
        <f t="shared" si="1"/>
        <v>4404056</v>
      </c>
      <c r="S41" s="19" t="str">
        <f t="shared" si="1"/>
        <v>440408A</v>
      </c>
      <c r="U41" s="35" t="s">
        <v>114</v>
      </c>
      <c r="V41" s="32" t="s">
        <v>13</v>
      </c>
      <c r="W41" s="36" t="str">
        <f>F43</f>
        <v>0</v>
      </c>
      <c r="X41" t="str">
        <f t="shared" si="0"/>
        <v>0x00000000,</v>
      </c>
      <c r="Y41" s="44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48BF4F4C</v>
      </c>
      <c r="H42" s="19" t="str">
        <f t="shared" si="2"/>
        <v>48BF4F4C</v>
      </c>
      <c r="I42" s="19" t="str">
        <f t="shared" si="2"/>
        <v>48BF4F4C</v>
      </c>
      <c r="J42" s="19" t="str">
        <f t="shared" si="2"/>
        <v>48BF4F4C</v>
      </c>
      <c r="K42" s="19" t="str">
        <f t="shared" si="2"/>
        <v>48BF4F4C</v>
      </c>
      <c r="L42" s="19" t="str">
        <f t="shared" si="2"/>
        <v>48BF4F4C</v>
      </c>
      <c r="M42" s="19" t="str">
        <f t="shared" si="2"/>
        <v>48BF4F5C</v>
      </c>
      <c r="N42" s="19" t="str">
        <f t="shared" si="2"/>
        <v>48BF4F5C</v>
      </c>
      <c r="O42" s="19" t="str">
        <f t="shared" si="2"/>
        <v>48BF4F5C</v>
      </c>
      <c r="P42" s="19" t="str">
        <f t="shared" si="2"/>
        <v>48BF4F5C</v>
      </c>
      <c r="Q42" s="19" t="str">
        <f t="shared" si="2"/>
        <v>48BF4F5C</v>
      </c>
      <c r="R42" s="19" t="str">
        <f t="shared" si="2"/>
        <v>48BF4F5C</v>
      </c>
      <c r="S42" s="19" t="str">
        <f t="shared" si="2"/>
        <v>48BF4F5C</v>
      </c>
      <c r="U42" s="35"/>
      <c r="V42" s="32" t="s">
        <v>16</v>
      </c>
      <c r="W42" s="36" t="str">
        <f>F42</f>
        <v>0</v>
      </c>
      <c r="X42" t="str">
        <f t="shared" si="0"/>
        <v>0x00000000,</v>
      </c>
      <c r="Y42" s="44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103B700F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5"/>
      <c r="V43" s="32" t="s">
        <v>20</v>
      </c>
      <c r="W43" s="36" t="str">
        <f>F41</f>
        <v>0</v>
      </c>
      <c r="X43" t="str">
        <f t="shared" si="0"/>
        <v>0x00000000,</v>
      </c>
      <c r="Y43" s="44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5" t="s">
        <v>118</v>
      </c>
      <c r="V44" s="32" t="s">
        <v>13</v>
      </c>
      <c r="W44" s="36" t="str">
        <f>E43</f>
        <v>0</v>
      </c>
      <c r="X44" t="str">
        <f t="shared" si="0"/>
        <v>0x00000000,</v>
      </c>
      <c r="Y44" s="44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5"/>
      <c r="V45" s="32" t="s">
        <v>16</v>
      </c>
      <c r="W45" s="36" t="str">
        <f>E42</f>
        <v>0</v>
      </c>
      <c r="X45" t="str">
        <f t="shared" si="0"/>
        <v>0x00000000,</v>
      </c>
      <c r="Y45" s="44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5"/>
      <c r="V46" s="32" t="s">
        <v>20</v>
      </c>
      <c r="W46" s="36" t="str">
        <f>E41</f>
        <v>0</v>
      </c>
      <c r="X46" t="str">
        <f t="shared" si="0"/>
        <v>0x00000000,</v>
      </c>
      <c r="Y46" s="44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5" t="s">
        <v>120</v>
      </c>
      <c r="V47" s="32" t="s">
        <v>13</v>
      </c>
      <c r="W47" s="36" t="str">
        <f>D43</f>
        <v>0</v>
      </c>
      <c r="X47" t="str">
        <f t="shared" si="0"/>
        <v>0x00000000,</v>
      </c>
      <c r="Y47" s="44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2"/>
      <c r="V48" s="32" t="s">
        <v>16</v>
      </c>
      <c r="W48" s="36" t="str">
        <f>D42</f>
        <v>0</v>
      </c>
      <c r="X48" t="str">
        <f t="shared" si="0"/>
        <v>0x00000000,</v>
      </c>
      <c r="Y48" s="44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2"/>
      <c r="V49" s="32" t="s">
        <v>20</v>
      </c>
      <c r="W49" s="36" t="str">
        <f>D41</f>
        <v>0</v>
      </c>
      <c r="X49" t="str">
        <f t="shared" si="0"/>
        <v>0x00000000,</v>
      </c>
      <c r="Y49" s="44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13"/>
    </row>
    <row r="67" spans="1:5">
      <c r="A67" s="45"/>
      <c r="B67" s="46"/>
      <c r="C67" s="46"/>
      <c r="D67" s="46"/>
      <c r="E67" s="20"/>
    </row>
    <row r="68" spans="1:5">
      <c r="A68" s="45"/>
      <c r="B68" s="46"/>
      <c r="C68" s="46"/>
      <c r="D68" s="46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7"/>
      <c r="C73" s="47"/>
      <c r="D73" s="4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E15" sqref="E15"/>
    </sheetView>
  </sheetViews>
  <sheetFormatPr defaultColWidth="9" defaultRowHeight="14.25"/>
  <cols>
    <col min="1" max="1" width="26.25" customWidth="1"/>
    <col min="24" max="24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2" t="s">
        <v>9</v>
      </c>
      <c r="V1" s="32"/>
      <c r="W1" s="32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8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33" t="s">
        <v>12</v>
      </c>
      <c r="T2" s="34"/>
      <c r="U2" s="35">
        <v>0</v>
      </c>
      <c r="V2" s="32" t="s">
        <v>13</v>
      </c>
      <c r="W2" s="36" t="str">
        <f>S43</f>
        <v>103B7004</v>
      </c>
      <c r="X2" t="str">
        <f>"0x"&amp;RIGHT("00000000"&amp;W2,8)&amp;","</f>
        <v>0x103B7004,</v>
      </c>
      <c r="Y2" s="44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8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33" t="s">
        <v>12</v>
      </c>
      <c r="T3" s="34"/>
      <c r="U3" s="35"/>
      <c r="V3" s="32" t="s">
        <v>16</v>
      </c>
      <c r="W3" s="36" t="str">
        <f>S42</f>
        <v>48BF4F5C</v>
      </c>
      <c r="X3" t="str">
        <f t="shared" ref="X3:X49" si="0">"0x"&amp;RIGHT("00000000"&amp;W3,8)&amp;","</f>
        <v>0x48BF4F5C,</v>
      </c>
      <c r="Y3" s="44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8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33" t="s">
        <v>12</v>
      </c>
      <c r="T4" s="34"/>
      <c r="U4" s="35"/>
      <c r="V4" s="32" t="s">
        <v>20</v>
      </c>
      <c r="W4" s="36" t="str">
        <f>S41</f>
        <v>44000A6</v>
      </c>
      <c r="X4" t="str">
        <f t="shared" si="0"/>
        <v>0x044000A6,</v>
      </c>
      <c r="Y4" s="44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8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33" t="s">
        <v>12</v>
      </c>
      <c r="T5" s="34"/>
      <c r="U5" s="35">
        <v>1</v>
      </c>
      <c r="V5" s="32" t="s">
        <v>13</v>
      </c>
      <c r="W5" s="36" t="str">
        <f>R43</f>
        <v>103B7006</v>
      </c>
      <c r="X5" t="str">
        <f t="shared" si="0"/>
        <v>0x103B7006,</v>
      </c>
      <c r="Y5" s="44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8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33" t="s">
        <v>26</v>
      </c>
      <c r="T6" s="34"/>
      <c r="U6" s="35"/>
      <c r="V6" s="32" t="s">
        <v>16</v>
      </c>
      <c r="W6" s="36" t="str">
        <f>R42</f>
        <v>48BF4F5C</v>
      </c>
      <c r="X6" t="str">
        <f t="shared" si="0"/>
        <v>0x48BF4F5C,</v>
      </c>
      <c r="Y6" s="44"/>
    </row>
    <row r="7" spans="1:25">
      <c r="A7" s="2" t="s">
        <v>27</v>
      </c>
      <c r="B7" s="2" t="s">
        <v>28</v>
      </c>
      <c r="C7" s="3" t="s">
        <v>25</v>
      </c>
      <c r="D7" s="4"/>
      <c r="E7" s="4"/>
      <c r="F7" s="4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29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7" t="s">
        <v>26</v>
      </c>
      <c r="T7" s="38"/>
      <c r="U7" s="35"/>
      <c r="V7" s="32" t="s">
        <v>20</v>
      </c>
      <c r="W7" s="36" t="str">
        <f>R41</f>
        <v>4400086</v>
      </c>
      <c r="X7" t="str">
        <f t="shared" si="0"/>
        <v>0x04400086,</v>
      </c>
      <c r="Y7" s="44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29" t="s">
        <v>12</v>
      </c>
      <c r="O8" s="4" t="s">
        <v>12</v>
      </c>
      <c r="P8" s="4" t="s">
        <v>12</v>
      </c>
      <c r="Q8" s="4" t="s">
        <v>12</v>
      </c>
      <c r="R8" s="4" t="s">
        <v>12</v>
      </c>
      <c r="S8" s="37" t="s">
        <v>12</v>
      </c>
      <c r="T8" s="38"/>
      <c r="U8" s="35">
        <v>2</v>
      </c>
      <c r="V8" s="32" t="s">
        <v>13</v>
      </c>
      <c r="W8" s="36" t="str">
        <f>Q43</f>
        <v>103B7007</v>
      </c>
      <c r="X8" t="str">
        <f t="shared" si="0"/>
        <v>0x103B7007,</v>
      </c>
      <c r="Y8" s="44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29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37" t="s">
        <v>12</v>
      </c>
      <c r="T9" s="38"/>
      <c r="U9" s="35"/>
      <c r="V9" s="32" t="s">
        <v>16</v>
      </c>
      <c r="W9" s="36" t="str">
        <f>Q42</f>
        <v>48BF4F5C</v>
      </c>
      <c r="X9" t="str">
        <f t="shared" si="0"/>
        <v>0x48BF4F5C,</v>
      </c>
      <c r="Y9" s="44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12</v>
      </c>
      <c r="H10" s="7" t="s">
        <v>12</v>
      </c>
      <c r="I10" s="7" t="s">
        <v>12</v>
      </c>
      <c r="J10" s="7" t="s">
        <v>12</v>
      </c>
      <c r="K10" s="7" t="s">
        <v>12</v>
      </c>
      <c r="L10" s="7" t="s">
        <v>12</v>
      </c>
      <c r="M10" s="7" t="s">
        <v>12</v>
      </c>
      <c r="N10" s="7" t="s">
        <v>12</v>
      </c>
      <c r="O10" s="7" t="s">
        <v>12</v>
      </c>
      <c r="P10" s="7" t="s">
        <v>12</v>
      </c>
      <c r="Q10" s="7" t="s">
        <v>12</v>
      </c>
      <c r="R10" s="7" t="s">
        <v>12</v>
      </c>
      <c r="S10" s="39" t="s">
        <v>12</v>
      </c>
      <c r="T10" s="38"/>
      <c r="U10" s="35"/>
      <c r="V10" s="32" t="s">
        <v>20</v>
      </c>
      <c r="W10" s="36" t="str">
        <f>Q41</f>
        <v>440006A</v>
      </c>
      <c r="X10" t="str">
        <f t="shared" si="0"/>
        <v>0x0440006A,</v>
      </c>
      <c r="Y10" s="44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29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37" t="s">
        <v>12</v>
      </c>
      <c r="T11" s="38"/>
      <c r="U11" s="35">
        <v>3</v>
      </c>
      <c r="V11" s="32" t="s">
        <v>13</v>
      </c>
      <c r="W11" s="36" t="str">
        <f>P43</f>
        <v>103B7009</v>
      </c>
      <c r="X11" t="str">
        <f t="shared" si="0"/>
        <v>0x103B7009,</v>
      </c>
      <c r="Y11" s="44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48" t="s">
        <v>41</v>
      </c>
      <c r="H12" s="8" t="s">
        <v>42</v>
      </c>
      <c r="I12" s="7" t="s">
        <v>55</v>
      </c>
      <c r="J12" s="7" t="s">
        <v>43</v>
      </c>
      <c r="K12" s="7" t="s">
        <v>55</v>
      </c>
      <c r="L12" s="7" t="s">
        <v>26</v>
      </c>
      <c r="M12" s="8" t="s">
        <v>45</v>
      </c>
      <c r="N12" s="8" t="s">
        <v>46</v>
      </c>
      <c r="O12" s="8" t="s">
        <v>45</v>
      </c>
      <c r="P12" s="8" t="s">
        <v>19</v>
      </c>
      <c r="Q12" s="8" t="s">
        <v>45</v>
      </c>
      <c r="R12" s="8" t="s">
        <v>25</v>
      </c>
      <c r="S12" s="40" t="s">
        <v>46</v>
      </c>
      <c r="T12" s="41"/>
      <c r="U12" s="35"/>
      <c r="V12" s="32" t="s">
        <v>16</v>
      </c>
      <c r="W12" s="36" t="str">
        <f>P42</f>
        <v>48BF4F5C</v>
      </c>
      <c r="X12" t="str">
        <f t="shared" si="0"/>
        <v>0x48BF4F5C,</v>
      </c>
      <c r="Y12" s="44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48" t="s">
        <v>49</v>
      </c>
      <c r="H13" s="8" t="s">
        <v>44</v>
      </c>
      <c r="I13" s="7" t="s">
        <v>49</v>
      </c>
      <c r="J13" s="7" t="s">
        <v>19</v>
      </c>
      <c r="K13" s="7" t="s">
        <v>19</v>
      </c>
      <c r="L13" s="7" t="s">
        <v>11</v>
      </c>
      <c r="M13" s="8" t="s">
        <v>46</v>
      </c>
      <c r="N13" s="8" t="s">
        <v>19</v>
      </c>
      <c r="O13" s="8" t="s">
        <v>45</v>
      </c>
      <c r="P13" s="8" t="s">
        <v>49</v>
      </c>
      <c r="Q13" s="8" t="s">
        <v>19</v>
      </c>
      <c r="R13" s="8" t="s">
        <v>11</v>
      </c>
      <c r="S13" s="40" t="s">
        <v>11</v>
      </c>
      <c r="T13" s="41"/>
      <c r="U13" s="35"/>
      <c r="V13" s="32" t="s">
        <v>20</v>
      </c>
      <c r="W13" s="36" t="str">
        <f>P41</f>
        <v>440005E</v>
      </c>
      <c r="X13" t="str">
        <f t="shared" si="0"/>
        <v>0x0440005E,</v>
      </c>
      <c r="Y13" s="44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29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37" t="s">
        <v>25</v>
      </c>
      <c r="T14" s="38"/>
      <c r="U14" s="35">
        <v>4</v>
      </c>
      <c r="V14" s="32" t="s">
        <v>13</v>
      </c>
      <c r="W14" s="36" t="str">
        <f>O43</f>
        <v>103B700C</v>
      </c>
      <c r="X14" t="str">
        <f t="shared" si="0"/>
        <v>0x103B700C,</v>
      </c>
      <c r="Y14" s="44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29" t="s">
        <v>55</v>
      </c>
      <c r="O15" s="4" t="s">
        <v>55</v>
      </c>
      <c r="P15" s="4" t="s">
        <v>55</v>
      </c>
      <c r="Q15" s="4" t="s">
        <v>55</v>
      </c>
      <c r="R15" s="4" t="s">
        <v>55</v>
      </c>
      <c r="S15" s="37" t="s">
        <v>55</v>
      </c>
      <c r="T15" s="38"/>
      <c r="U15" s="35"/>
      <c r="V15" s="32" t="s">
        <v>16</v>
      </c>
      <c r="W15" s="36" t="str">
        <f>O42</f>
        <v>48BF4F5C</v>
      </c>
      <c r="X15" t="str">
        <f t="shared" si="0"/>
        <v>0x48BF4F5C,</v>
      </c>
      <c r="Y15" s="44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29" t="s">
        <v>12</v>
      </c>
      <c r="O16" s="4" t="s">
        <v>12</v>
      </c>
      <c r="P16" s="4" t="s">
        <v>12</v>
      </c>
      <c r="Q16" s="4" t="s">
        <v>12</v>
      </c>
      <c r="R16" s="4" t="s">
        <v>12</v>
      </c>
      <c r="S16" s="37" t="s">
        <v>12</v>
      </c>
      <c r="T16" s="38"/>
      <c r="U16" s="35"/>
      <c r="V16" s="32" t="s">
        <v>20</v>
      </c>
      <c r="W16" s="36" t="str">
        <f>O41</f>
        <v>440006E</v>
      </c>
      <c r="X16" t="str">
        <f t="shared" si="0"/>
        <v>0x0440006E,</v>
      </c>
      <c r="Y16" s="44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29" t="s">
        <v>11</v>
      </c>
      <c r="O17" s="4" t="s">
        <v>11</v>
      </c>
      <c r="P17" s="4" t="s">
        <v>11</v>
      </c>
      <c r="Q17" s="4" t="s">
        <v>11</v>
      </c>
      <c r="R17" s="4" t="s">
        <v>11</v>
      </c>
      <c r="S17" s="37" t="s">
        <v>11</v>
      </c>
      <c r="T17" s="38"/>
      <c r="U17" s="35">
        <v>5</v>
      </c>
      <c r="V17" s="32" t="s">
        <v>13</v>
      </c>
      <c r="W17" s="36" t="str">
        <f>N43</f>
        <v>103B700C</v>
      </c>
      <c r="X17" t="str">
        <f t="shared" si="0"/>
        <v>0x103B700C,</v>
      </c>
      <c r="Y17" s="44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29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37" t="s">
        <v>12</v>
      </c>
      <c r="T18" s="38"/>
      <c r="U18" s="35"/>
      <c r="V18" s="32" t="s">
        <v>16</v>
      </c>
      <c r="W18" s="36" t="str">
        <f>N42</f>
        <v>48BF4F5C</v>
      </c>
      <c r="X18" t="str">
        <f t="shared" si="0"/>
        <v>0x48BF4F5C,</v>
      </c>
      <c r="Y18" s="44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29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37" t="s">
        <v>45</v>
      </c>
      <c r="T19" s="38"/>
      <c r="U19" s="35"/>
      <c r="V19" s="32" t="s">
        <v>20</v>
      </c>
      <c r="W19" s="36" t="str">
        <f>N41</f>
        <v>44000AA</v>
      </c>
      <c r="X19" t="str">
        <f t="shared" si="0"/>
        <v>0x044000AA,</v>
      </c>
      <c r="Y19" s="44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29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37" t="s">
        <v>45</v>
      </c>
      <c r="T20" s="38"/>
      <c r="U20" s="35">
        <v>6</v>
      </c>
      <c r="V20" s="32" t="s">
        <v>13</v>
      </c>
      <c r="W20" s="36" t="str">
        <f>M43</f>
        <v>103B700F</v>
      </c>
      <c r="X20" t="str">
        <f t="shared" si="0"/>
        <v>0x103B700F,</v>
      </c>
      <c r="Y20" s="44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7" t="s">
        <v>44</v>
      </c>
      <c r="T21" s="38"/>
      <c r="U21" s="35"/>
      <c r="V21" s="32" t="s">
        <v>16</v>
      </c>
      <c r="W21" s="36" t="str">
        <f>M42</f>
        <v>48BF4F5C</v>
      </c>
      <c r="X21" t="str">
        <f t="shared" si="0"/>
        <v>0x48BF4F5C,</v>
      </c>
      <c r="Y21" s="44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25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29" t="s">
        <v>25</v>
      </c>
      <c r="O22" s="4" t="s">
        <v>25</v>
      </c>
      <c r="P22" s="4" t="s">
        <v>25</v>
      </c>
      <c r="Q22" s="4" t="s">
        <v>25</v>
      </c>
      <c r="R22" s="4" t="s">
        <v>25</v>
      </c>
      <c r="S22" s="37" t="s">
        <v>25</v>
      </c>
      <c r="T22" s="38"/>
      <c r="U22" s="35"/>
      <c r="V22" s="32" t="s">
        <v>20</v>
      </c>
      <c r="W22" s="36" t="str">
        <f>M41</f>
        <v>4400076</v>
      </c>
      <c r="X22" t="str">
        <f t="shared" si="0"/>
        <v>0x04400076,</v>
      </c>
      <c r="Y22" s="44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29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37" t="s">
        <v>11</v>
      </c>
      <c r="T23" s="38"/>
      <c r="U23" s="35">
        <v>7</v>
      </c>
      <c r="V23" s="32" t="s">
        <v>13</v>
      </c>
      <c r="W23" s="36" t="str">
        <f>L43</f>
        <v>103B700F</v>
      </c>
      <c r="X23" t="str">
        <f t="shared" si="0"/>
        <v>0x103B700F,</v>
      </c>
      <c r="Y23" s="44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29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37" t="s">
        <v>11</v>
      </c>
      <c r="T24" s="38"/>
      <c r="U24" s="35"/>
      <c r="V24" s="32" t="s">
        <v>16</v>
      </c>
      <c r="W24" s="36" t="str">
        <f>L42</f>
        <v>48BF4F4C</v>
      </c>
      <c r="X24" t="str">
        <f t="shared" si="0"/>
        <v>0x48BF4F4C,</v>
      </c>
      <c r="Y24" s="44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7" t="s">
        <v>44</v>
      </c>
      <c r="T25" s="38"/>
      <c r="U25" s="35"/>
      <c r="V25" s="32" t="s">
        <v>20</v>
      </c>
      <c r="W25" s="36" t="str">
        <f>L41</f>
        <v>4400106</v>
      </c>
      <c r="X25" t="str">
        <f t="shared" si="0"/>
        <v>0x04400106,</v>
      </c>
      <c r="Y25" s="44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30" t="s">
        <v>46</v>
      </c>
      <c r="N26" s="31" t="s">
        <v>46</v>
      </c>
      <c r="O26" s="30" t="s">
        <v>46</v>
      </c>
      <c r="P26" s="31" t="s">
        <v>46</v>
      </c>
      <c r="Q26" s="30" t="s">
        <v>46</v>
      </c>
      <c r="R26" s="31" t="s">
        <v>46</v>
      </c>
      <c r="S26" s="49" t="s">
        <v>46</v>
      </c>
      <c r="T26" s="41"/>
      <c r="U26" s="35">
        <v>8</v>
      </c>
      <c r="V26" s="32" t="s">
        <v>13</v>
      </c>
      <c r="W26" s="36" t="str">
        <f>K43</f>
        <v>103B700F</v>
      </c>
      <c r="X26" t="str">
        <f t="shared" si="0"/>
        <v>0x103B700F,</v>
      </c>
      <c r="Y26" s="44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29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37" t="s">
        <v>45</v>
      </c>
      <c r="T27" s="38"/>
      <c r="U27" s="35"/>
      <c r="V27" s="32" t="s">
        <v>16</v>
      </c>
      <c r="W27" s="36" t="str">
        <f>K42</f>
        <v>48BF4F4C</v>
      </c>
      <c r="X27" t="str">
        <f t="shared" si="0"/>
        <v>0x48BF4F4C,</v>
      </c>
      <c r="Y27" s="44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29" t="s">
        <v>12</v>
      </c>
      <c r="O28" s="4" t="s">
        <v>12</v>
      </c>
      <c r="P28" s="4" t="s">
        <v>12</v>
      </c>
      <c r="Q28" s="4" t="s">
        <v>12</v>
      </c>
      <c r="R28" s="4" t="s">
        <v>12</v>
      </c>
      <c r="S28" s="37" t="s">
        <v>12</v>
      </c>
      <c r="T28" s="38"/>
      <c r="U28" s="35"/>
      <c r="V28" s="32" t="s">
        <v>20</v>
      </c>
      <c r="W28" s="36" t="str">
        <f>K41</f>
        <v>440012A</v>
      </c>
      <c r="X28" t="str">
        <f t="shared" si="0"/>
        <v>0x0440012A,</v>
      </c>
      <c r="Y28" s="44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9" t="s">
        <v>12</v>
      </c>
      <c r="T29" s="38"/>
      <c r="U29" s="35">
        <v>9</v>
      </c>
      <c r="V29" s="32" t="s">
        <v>13</v>
      </c>
      <c r="W29" s="36" t="str">
        <f>J43</f>
        <v>103B700F</v>
      </c>
      <c r="X29" t="str">
        <f t="shared" si="0"/>
        <v>0x103B700F,</v>
      </c>
      <c r="Y29" s="44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9" t="s">
        <v>12</v>
      </c>
      <c r="T30" s="38"/>
      <c r="U30" s="35"/>
      <c r="V30" s="32" t="s">
        <v>16</v>
      </c>
      <c r="W30" s="36" t="str">
        <f>J42</f>
        <v>48BF4F4C</v>
      </c>
      <c r="X30" t="str">
        <f t="shared" si="0"/>
        <v>0x48BF4F4C,</v>
      </c>
      <c r="Y30" s="44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29" t="s">
        <v>93</v>
      </c>
      <c r="O31" s="4" t="s">
        <v>93</v>
      </c>
      <c r="P31" s="4" t="s">
        <v>93</v>
      </c>
      <c r="Q31" s="4" t="s">
        <v>93</v>
      </c>
      <c r="R31" s="4" t="s">
        <v>93</v>
      </c>
      <c r="S31" s="37" t="s">
        <v>93</v>
      </c>
      <c r="T31" s="38"/>
      <c r="U31" s="35"/>
      <c r="V31" s="32" t="s">
        <v>20</v>
      </c>
      <c r="W31" s="36" t="str">
        <f>J41</f>
        <v>440018A</v>
      </c>
      <c r="X31" t="str">
        <f t="shared" si="0"/>
        <v>0x0440018A,</v>
      </c>
      <c r="Y31" s="44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29" t="s">
        <v>49</v>
      </c>
      <c r="O32" s="4" t="s">
        <v>49</v>
      </c>
      <c r="P32" s="4" t="s">
        <v>49</v>
      </c>
      <c r="Q32" s="4" t="s">
        <v>49</v>
      </c>
      <c r="R32" s="4" t="s">
        <v>49</v>
      </c>
      <c r="S32" s="37" t="s">
        <v>49</v>
      </c>
      <c r="T32" s="38"/>
      <c r="U32" s="35" t="s">
        <v>96</v>
      </c>
      <c r="V32" s="32" t="s">
        <v>13</v>
      </c>
      <c r="W32" s="36" t="str">
        <f>I43</f>
        <v>103B700F</v>
      </c>
      <c r="X32" t="str">
        <f t="shared" si="0"/>
        <v>0x103B700F,</v>
      </c>
      <c r="Y32" s="44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9" t="s">
        <v>25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29" t="s">
        <v>45</v>
      </c>
      <c r="O33" s="4" t="s">
        <v>45</v>
      </c>
      <c r="P33" s="4" t="s">
        <v>45</v>
      </c>
      <c r="Q33" s="4" t="s">
        <v>45</v>
      </c>
      <c r="R33" s="4" t="s">
        <v>45</v>
      </c>
      <c r="S33" s="37" t="s">
        <v>45</v>
      </c>
      <c r="T33" s="38"/>
      <c r="U33" s="35"/>
      <c r="V33" s="32" t="s">
        <v>16</v>
      </c>
      <c r="W33" s="36" t="str">
        <f>I42</f>
        <v>48BF4F4C</v>
      </c>
      <c r="X33" t="str">
        <f t="shared" si="0"/>
        <v>0x48BF4F4C,</v>
      </c>
      <c r="Y33" s="44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29" t="s">
        <v>12</v>
      </c>
      <c r="O34" s="4" t="s">
        <v>12</v>
      </c>
      <c r="P34" s="4" t="s">
        <v>12</v>
      </c>
      <c r="Q34" s="4" t="s">
        <v>12</v>
      </c>
      <c r="R34" s="4" t="s">
        <v>12</v>
      </c>
      <c r="S34" s="37" t="s">
        <v>12</v>
      </c>
      <c r="T34" s="38"/>
      <c r="U34" s="35"/>
      <c r="V34" s="32" t="s">
        <v>20</v>
      </c>
      <c r="W34" s="36" t="str">
        <f>I41</f>
        <v>440013E</v>
      </c>
      <c r="X34" t="str">
        <f t="shared" si="0"/>
        <v>0x0440013E,</v>
      </c>
      <c r="Y34" s="44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29" t="s">
        <v>49</v>
      </c>
      <c r="O35" s="4" t="s">
        <v>49</v>
      </c>
      <c r="P35" s="4" t="s">
        <v>49</v>
      </c>
      <c r="Q35" s="4" t="s">
        <v>49</v>
      </c>
      <c r="R35" s="4" t="s">
        <v>49</v>
      </c>
      <c r="S35" s="37" t="s">
        <v>49</v>
      </c>
      <c r="T35" s="38"/>
      <c r="U35" s="35" t="s">
        <v>103</v>
      </c>
      <c r="V35" s="32" t="s">
        <v>13</v>
      </c>
      <c r="W35" s="36" t="str">
        <f>H43</f>
        <v>103B700F</v>
      </c>
      <c r="X35" t="str">
        <f t="shared" si="0"/>
        <v>0x103B700F,</v>
      </c>
      <c r="Y35" s="44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29" t="s">
        <v>12</v>
      </c>
      <c r="O36" s="12" t="s">
        <v>12</v>
      </c>
      <c r="P36" s="12" t="s">
        <v>12</v>
      </c>
      <c r="Q36" s="12" t="s">
        <v>12</v>
      </c>
      <c r="R36" s="12" t="s">
        <v>12</v>
      </c>
      <c r="S36" s="43" t="s">
        <v>12</v>
      </c>
      <c r="T36" s="38"/>
      <c r="U36" s="35"/>
      <c r="V36" s="32" t="s">
        <v>16</v>
      </c>
      <c r="W36" s="36" t="str">
        <f>H42</f>
        <v>48BF4F4C</v>
      </c>
      <c r="X36" t="str">
        <f t="shared" si="0"/>
        <v>0x48BF4F4C,</v>
      </c>
      <c r="Y36" s="44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29" t="s">
        <v>43</v>
      </c>
      <c r="O37" s="4" t="s">
        <v>43</v>
      </c>
      <c r="P37" s="4" t="s">
        <v>55</v>
      </c>
      <c r="Q37" s="29" t="s">
        <v>49</v>
      </c>
      <c r="R37" s="4" t="s">
        <v>44</v>
      </c>
      <c r="S37" s="37" t="s">
        <v>25</v>
      </c>
      <c r="T37" s="38"/>
      <c r="U37" s="35"/>
      <c r="V37" s="32" t="s">
        <v>20</v>
      </c>
      <c r="W37" s="36" t="str">
        <f>H41</f>
        <v>44001BA</v>
      </c>
      <c r="X37" t="str">
        <f t="shared" si="0"/>
        <v>0x044001BA,</v>
      </c>
      <c r="Y37" s="44"/>
    </row>
    <row r="38" spans="4:25">
      <c r="D38" s="13"/>
      <c r="E38" s="13"/>
      <c r="F38" s="13"/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5" t="s">
        <v>109</v>
      </c>
      <c r="V38" s="32" t="s">
        <v>13</v>
      </c>
      <c r="W38" s="36" t="str">
        <f>G43</f>
        <v>103C700F</v>
      </c>
      <c r="X38" t="str">
        <f t="shared" si="0"/>
        <v>0x103C700F,</v>
      </c>
      <c r="Y38" s="44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5"/>
      <c r="V39" s="32" t="s">
        <v>16</v>
      </c>
      <c r="W39" s="36" t="str">
        <f>G42</f>
        <v>48BF4F4C</v>
      </c>
      <c r="X39" t="str">
        <f t="shared" si="0"/>
        <v>0x48BF4F4C,</v>
      </c>
      <c r="Y39" s="44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5"/>
      <c r="V40" s="32" t="s">
        <v>20</v>
      </c>
      <c r="W40" s="36" t="str">
        <f>G41</f>
        <v>44001FE</v>
      </c>
      <c r="X40" t="str">
        <f t="shared" si="0"/>
        <v>0x044001FE,</v>
      </c>
      <c r="Y40" s="44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44001FE</v>
      </c>
      <c r="H41" s="19" t="str">
        <f t="shared" si="1"/>
        <v>44001BA</v>
      </c>
      <c r="I41" s="19" t="str">
        <f t="shared" si="1"/>
        <v>440013E</v>
      </c>
      <c r="J41" s="19" t="str">
        <f t="shared" si="1"/>
        <v>440018A</v>
      </c>
      <c r="K41" s="19" t="str">
        <f t="shared" si="1"/>
        <v>440012A</v>
      </c>
      <c r="L41" s="19" t="str">
        <f t="shared" si="1"/>
        <v>4400106</v>
      </c>
      <c r="M41" s="19" t="str">
        <f t="shared" si="1"/>
        <v>4400076</v>
      </c>
      <c r="N41" s="19" t="str">
        <f t="shared" si="1"/>
        <v>44000AA</v>
      </c>
      <c r="O41" s="19" t="str">
        <f t="shared" si="1"/>
        <v>440006E</v>
      </c>
      <c r="P41" s="19" t="str">
        <f t="shared" si="1"/>
        <v>440005E</v>
      </c>
      <c r="Q41" s="19" t="str">
        <f t="shared" si="1"/>
        <v>440006A</v>
      </c>
      <c r="R41" s="19" t="str">
        <f t="shared" si="1"/>
        <v>4400086</v>
      </c>
      <c r="S41" s="19" t="str">
        <f t="shared" si="1"/>
        <v>44000A6</v>
      </c>
      <c r="U41" s="35" t="s">
        <v>114</v>
      </c>
      <c r="V41" s="32" t="s">
        <v>13</v>
      </c>
      <c r="W41" s="36" t="str">
        <f>F43</f>
        <v>0</v>
      </c>
      <c r="X41" t="str">
        <f t="shared" si="0"/>
        <v>0x00000000,</v>
      </c>
      <c r="Y41" s="44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48BF4F4C</v>
      </c>
      <c r="H42" s="19" t="str">
        <f t="shared" si="2"/>
        <v>48BF4F4C</v>
      </c>
      <c r="I42" s="19" t="str">
        <f t="shared" si="2"/>
        <v>48BF4F4C</v>
      </c>
      <c r="J42" s="19" t="str">
        <f t="shared" si="2"/>
        <v>48BF4F4C</v>
      </c>
      <c r="K42" s="19" t="str">
        <f t="shared" si="2"/>
        <v>48BF4F4C</v>
      </c>
      <c r="L42" s="19" t="str">
        <f t="shared" si="2"/>
        <v>48BF4F4C</v>
      </c>
      <c r="M42" s="19" t="str">
        <f t="shared" si="2"/>
        <v>48BF4F5C</v>
      </c>
      <c r="N42" s="19" t="str">
        <f t="shared" si="2"/>
        <v>48BF4F5C</v>
      </c>
      <c r="O42" s="19" t="str">
        <f t="shared" si="2"/>
        <v>48BF4F5C</v>
      </c>
      <c r="P42" s="19" t="str">
        <f t="shared" si="2"/>
        <v>48BF4F5C</v>
      </c>
      <c r="Q42" s="19" t="str">
        <f t="shared" si="2"/>
        <v>48BF4F5C</v>
      </c>
      <c r="R42" s="19" t="str">
        <f t="shared" si="2"/>
        <v>48BF4F5C</v>
      </c>
      <c r="S42" s="19" t="str">
        <f t="shared" si="2"/>
        <v>48BF4F5C</v>
      </c>
      <c r="U42" s="35"/>
      <c r="V42" s="32" t="s">
        <v>16</v>
      </c>
      <c r="W42" s="36" t="str">
        <f>F42</f>
        <v>0</v>
      </c>
      <c r="X42" t="str">
        <f t="shared" si="0"/>
        <v>0x00000000,</v>
      </c>
      <c r="Y42" s="44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103C700F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5"/>
      <c r="V43" s="32" t="s">
        <v>20</v>
      </c>
      <c r="W43" s="36" t="str">
        <f>F41</f>
        <v>0</v>
      </c>
      <c r="X43" t="str">
        <f t="shared" si="0"/>
        <v>0x00000000,</v>
      </c>
      <c r="Y43" s="44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5" t="s">
        <v>118</v>
      </c>
      <c r="V44" s="32" t="s">
        <v>13</v>
      </c>
      <c r="W44" s="36" t="str">
        <f>E43</f>
        <v>0</v>
      </c>
      <c r="X44" t="str">
        <f t="shared" si="0"/>
        <v>0x00000000,</v>
      </c>
      <c r="Y44" s="44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5"/>
      <c r="V45" s="32" t="s">
        <v>16</v>
      </c>
      <c r="W45" s="36" t="str">
        <f>E42</f>
        <v>0</v>
      </c>
      <c r="X45" t="str">
        <f t="shared" si="0"/>
        <v>0x00000000,</v>
      </c>
      <c r="Y45" s="44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5"/>
      <c r="V46" s="32" t="s">
        <v>20</v>
      </c>
      <c r="W46" s="36" t="str">
        <f>E41</f>
        <v>0</v>
      </c>
      <c r="X46" t="str">
        <f t="shared" si="0"/>
        <v>0x00000000,</v>
      </c>
      <c r="Y46" s="44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5" t="s">
        <v>120</v>
      </c>
      <c r="V47" s="32" t="s">
        <v>13</v>
      </c>
      <c r="W47" s="36" t="str">
        <f>D43</f>
        <v>0</v>
      </c>
      <c r="X47" t="str">
        <f t="shared" si="0"/>
        <v>0x00000000,</v>
      </c>
      <c r="Y47" s="44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2"/>
      <c r="V48" s="32" t="s">
        <v>16</v>
      </c>
      <c r="W48" s="36" t="str">
        <f>D42</f>
        <v>0</v>
      </c>
      <c r="X48" t="str">
        <f t="shared" si="0"/>
        <v>0x00000000,</v>
      </c>
      <c r="Y48" s="44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2"/>
      <c r="V49" s="32" t="s">
        <v>20</v>
      </c>
      <c r="W49" s="36" t="str">
        <f>D41</f>
        <v>0</v>
      </c>
      <c r="X49" t="str">
        <f t="shared" si="0"/>
        <v>0x00000000,</v>
      </c>
      <c r="Y49" s="44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5">
      <c r="A67" s="45"/>
      <c r="B67" s="46"/>
      <c r="C67" s="46"/>
      <c r="D67" s="46"/>
      <c r="E67" s="20"/>
    </row>
    <row r="68" spans="1:5">
      <c r="A68" s="45"/>
      <c r="B68" s="46"/>
      <c r="C68" s="46"/>
      <c r="D68" s="46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7"/>
      <c r="C73" s="47"/>
      <c r="D73" s="4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tabSelected="1" topLeftCell="B1" workbookViewId="0">
      <selection activeCell="G33" sqref="G33"/>
    </sheetView>
  </sheetViews>
  <sheetFormatPr defaultColWidth="9" defaultRowHeight="14.25"/>
  <cols>
    <col min="1" max="1" width="28.25" customWidth="1"/>
    <col min="24" max="24" width="15.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2" t="s">
        <v>9</v>
      </c>
      <c r="V1" s="32"/>
      <c r="W1" s="32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8" t="s">
        <v>12</v>
      </c>
      <c r="O2" s="28" t="s">
        <v>12</v>
      </c>
      <c r="P2" s="28" t="s">
        <v>12</v>
      </c>
      <c r="Q2" s="28" t="s">
        <v>12</v>
      </c>
      <c r="R2" s="2" t="s">
        <v>12</v>
      </c>
      <c r="S2" s="33" t="s">
        <v>12</v>
      </c>
      <c r="T2" s="34"/>
      <c r="U2" s="35">
        <v>0</v>
      </c>
      <c r="V2" s="32" t="s">
        <v>13</v>
      </c>
      <c r="W2" s="36" t="str">
        <f>S43</f>
        <v>103B7004</v>
      </c>
      <c r="X2" t="str">
        <f>"0x"&amp;RIGHT("00000000"&amp;W2,8)&amp;","</f>
        <v>0x103B7004,</v>
      </c>
      <c r="Y2" s="44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8" t="s">
        <v>12</v>
      </c>
      <c r="O3" s="28" t="s">
        <v>12</v>
      </c>
      <c r="P3" s="28" t="s">
        <v>12</v>
      </c>
      <c r="Q3" s="28" t="s">
        <v>12</v>
      </c>
      <c r="R3" s="2" t="s">
        <v>12</v>
      </c>
      <c r="S3" s="33" t="s">
        <v>12</v>
      </c>
      <c r="T3" s="34"/>
      <c r="U3" s="35"/>
      <c r="V3" s="32" t="s">
        <v>16</v>
      </c>
      <c r="W3" s="36" t="str">
        <f>S42</f>
        <v>48BF4F5C</v>
      </c>
      <c r="X3" t="str">
        <f t="shared" ref="X3:X49" si="0">"0x"&amp;RIGHT("00000000"&amp;W3,8)&amp;","</f>
        <v>0x48BF4F5C,</v>
      </c>
      <c r="Y3" s="44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8" t="s">
        <v>12</v>
      </c>
      <c r="O4" s="28" t="s">
        <v>12</v>
      </c>
      <c r="P4" s="28" t="s">
        <v>12</v>
      </c>
      <c r="Q4" s="28" t="s">
        <v>12</v>
      </c>
      <c r="R4" s="2" t="s">
        <v>12</v>
      </c>
      <c r="S4" s="33" t="s">
        <v>12</v>
      </c>
      <c r="T4" s="34"/>
      <c r="U4" s="35"/>
      <c r="V4" s="32" t="s">
        <v>20</v>
      </c>
      <c r="W4" s="36" t="str">
        <f>S41</f>
        <v>44000A6</v>
      </c>
      <c r="X4" t="str">
        <f t="shared" si="0"/>
        <v>0x044000A6,</v>
      </c>
      <c r="Y4" s="44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8" t="s">
        <v>12</v>
      </c>
      <c r="O5" s="28" t="s">
        <v>12</v>
      </c>
      <c r="P5" s="28" t="s">
        <v>12</v>
      </c>
      <c r="Q5" s="28" t="s">
        <v>12</v>
      </c>
      <c r="R5" s="2" t="s">
        <v>12</v>
      </c>
      <c r="S5" s="33" t="s">
        <v>12</v>
      </c>
      <c r="T5" s="34"/>
      <c r="U5" s="35">
        <v>1</v>
      </c>
      <c r="V5" s="32" t="s">
        <v>13</v>
      </c>
      <c r="W5" s="36" t="str">
        <f>R43</f>
        <v>103B7006</v>
      </c>
      <c r="X5" t="str">
        <f t="shared" si="0"/>
        <v>0x103B7006,</v>
      </c>
      <c r="Y5" s="44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8" t="s">
        <v>26</v>
      </c>
      <c r="O6" s="28" t="s">
        <v>26</v>
      </c>
      <c r="P6" s="28" t="s">
        <v>26</v>
      </c>
      <c r="Q6" s="28" t="s">
        <v>26</v>
      </c>
      <c r="R6" s="2" t="s">
        <v>26</v>
      </c>
      <c r="S6" s="33" t="s">
        <v>26</v>
      </c>
      <c r="T6" s="34"/>
      <c r="U6" s="35"/>
      <c r="V6" s="32" t="s">
        <v>16</v>
      </c>
      <c r="W6" s="36" t="str">
        <f>R42</f>
        <v>48BF4F5C</v>
      </c>
      <c r="X6" t="str">
        <f t="shared" si="0"/>
        <v>0x48BF4F5C,</v>
      </c>
      <c r="Y6" s="44"/>
    </row>
    <row r="7" spans="1:25">
      <c r="A7" s="2" t="s">
        <v>27</v>
      </c>
      <c r="B7" s="2" t="s">
        <v>28</v>
      </c>
      <c r="C7" s="3" t="s">
        <v>25</v>
      </c>
      <c r="D7" s="2"/>
      <c r="E7" s="2"/>
      <c r="F7" s="2"/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8" t="s">
        <v>26</v>
      </c>
      <c r="O7" s="28" t="s">
        <v>26</v>
      </c>
      <c r="P7" s="28" t="s">
        <v>26</v>
      </c>
      <c r="Q7" s="28" t="s">
        <v>26</v>
      </c>
      <c r="R7" s="2" t="s">
        <v>26</v>
      </c>
      <c r="S7" s="33" t="s">
        <v>26</v>
      </c>
      <c r="T7" s="34"/>
      <c r="U7" s="35"/>
      <c r="V7" s="32" t="s">
        <v>20</v>
      </c>
      <c r="W7" s="36" t="str">
        <f>R41</f>
        <v>4400086</v>
      </c>
      <c r="X7" t="str">
        <f t="shared" si="0"/>
        <v>0x04400086,</v>
      </c>
      <c r="Y7" s="44"/>
    </row>
    <row r="8" spans="1:25">
      <c r="A8" s="2" t="s">
        <v>29</v>
      </c>
      <c r="B8" s="2" t="s">
        <v>30</v>
      </c>
      <c r="C8" s="3" t="s">
        <v>11</v>
      </c>
      <c r="D8" s="2"/>
      <c r="E8" s="2"/>
      <c r="F8" s="2"/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8" t="s">
        <v>12</v>
      </c>
      <c r="O8" s="28" t="s">
        <v>12</v>
      </c>
      <c r="P8" s="28" t="s">
        <v>12</v>
      </c>
      <c r="Q8" s="28" t="s">
        <v>12</v>
      </c>
      <c r="R8" s="2" t="s">
        <v>12</v>
      </c>
      <c r="S8" s="33" t="s">
        <v>12</v>
      </c>
      <c r="T8" s="34"/>
      <c r="U8" s="35">
        <v>2</v>
      </c>
      <c r="V8" s="32" t="s">
        <v>13</v>
      </c>
      <c r="W8" s="36" t="str">
        <f>Q43</f>
        <v>103B7007</v>
      </c>
      <c r="X8" t="str">
        <f t="shared" si="0"/>
        <v>0x103B7007,</v>
      </c>
      <c r="Y8" s="44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29" t="s">
        <v>12</v>
      </c>
      <c r="O9" s="29" t="s">
        <v>12</v>
      </c>
      <c r="P9" s="29" t="s">
        <v>12</v>
      </c>
      <c r="Q9" s="29" t="s">
        <v>12</v>
      </c>
      <c r="R9" s="4" t="s">
        <v>12</v>
      </c>
      <c r="S9" s="37" t="s">
        <v>12</v>
      </c>
      <c r="T9" s="38"/>
      <c r="U9" s="35"/>
      <c r="V9" s="32" t="s">
        <v>16</v>
      </c>
      <c r="W9" s="36" t="str">
        <f>Q42</f>
        <v>48BF4F5C</v>
      </c>
      <c r="X9" t="str">
        <f t="shared" si="0"/>
        <v>0x48BF4F5C,</v>
      </c>
      <c r="Y9" s="44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12</v>
      </c>
      <c r="H10" s="7" t="s">
        <v>12</v>
      </c>
      <c r="I10" s="7" t="s">
        <v>12</v>
      </c>
      <c r="J10" s="7" t="s">
        <v>12</v>
      </c>
      <c r="K10" s="7" t="s">
        <v>12</v>
      </c>
      <c r="L10" s="7" t="s">
        <v>12</v>
      </c>
      <c r="M10" s="7" t="s">
        <v>12</v>
      </c>
      <c r="N10" s="7" t="s">
        <v>12</v>
      </c>
      <c r="O10" s="7" t="s">
        <v>12</v>
      </c>
      <c r="P10" s="7" t="s">
        <v>12</v>
      </c>
      <c r="Q10" s="7" t="s">
        <v>12</v>
      </c>
      <c r="R10" s="7" t="s">
        <v>12</v>
      </c>
      <c r="S10" s="39" t="s">
        <v>12</v>
      </c>
      <c r="T10" s="38"/>
      <c r="U10" s="35"/>
      <c r="V10" s="32" t="s">
        <v>20</v>
      </c>
      <c r="W10" s="36" t="str">
        <f>Q41</f>
        <v>440006A</v>
      </c>
      <c r="X10" t="str">
        <f t="shared" si="0"/>
        <v>0x0440006A,</v>
      </c>
      <c r="Y10" s="44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29" t="s">
        <v>12</v>
      </c>
      <c r="O11" s="29" t="s">
        <v>12</v>
      </c>
      <c r="P11" s="29" t="s">
        <v>12</v>
      </c>
      <c r="Q11" s="29" t="s">
        <v>12</v>
      </c>
      <c r="R11" s="4" t="s">
        <v>12</v>
      </c>
      <c r="S11" s="37" t="s">
        <v>12</v>
      </c>
      <c r="T11" s="38"/>
      <c r="U11" s="35">
        <v>3</v>
      </c>
      <c r="V11" s="32" t="s">
        <v>13</v>
      </c>
      <c r="W11" s="36" t="str">
        <f>P43</f>
        <v>103B7009</v>
      </c>
      <c r="X11" t="str">
        <f t="shared" si="0"/>
        <v>0x103B7009,</v>
      </c>
      <c r="Y11" s="44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8" t="s">
        <v>41</v>
      </c>
      <c r="H12" s="8" t="s">
        <v>42</v>
      </c>
      <c r="I12" s="7" t="s">
        <v>55</v>
      </c>
      <c r="J12" s="7" t="s">
        <v>43</v>
      </c>
      <c r="K12" s="7" t="s">
        <v>55</v>
      </c>
      <c r="L12" s="8" t="s">
        <v>46</v>
      </c>
      <c r="M12" s="8" t="s">
        <v>45</v>
      </c>
      <c r="N12" s="8" t="s">
        <v>46</v>
      </c>
      <c r="O12" s="8" t="s">
        <v>45</v>
      </c>
      <c r="P12" s="8" t="s">
        <v>19</v>
      </c>
      <c r="Q12" s="8" t="s">
        <v>45</v>
      </c>
      <c r="R12" s="8" t="s">
        <v>25</v>
      </c>
      <c r="S12" s="40" t="s">
        <v>46</v>
      </c>
      <c r="T12" s="41"/>
      <c r="U12" s="35"/>
      <c r="V12" s="32" t="s">
        <v>16</v>
      </c>
      <c r="W12" s="36" t="str">
        <f>P42</f>
        <v>48BF4F5C</v>
      </c>
      <c r="X12" t="str">
        <f t="shared" si="0"/>
        <v>0x48BF4F5C,</v>
      </c>
      <c r="Y12" s="44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8" t="s">
        <v>49</v>
      </c>
      <c r="H13" s="8" t="s">
        <v>44</v>
      </c>
      <c r="I13" s="7" t="s">
        <v>49</v>
      </c>
      <c r="J13" s="7" t="s">
        <v>19</v>
      </c>
      <c r="K13" s="7" t="s">
        <v>19</v>
      </c>
      <c r="L13" s="8" t="s">
        <v>45</v>
      </c>
      <c r="M13" s="8" t="s">
        <v>46</v>
      </c>
      <c r="N13" s="8" t="s">
        <v>19</v>
      </c>
      <c r="O13" s="8" t="s">
        <v>45</v>
      </c>
      <c r="P13" s="8" t="s">
        <v>49</v>
      </c>
      <c r="Q13" s="8" t="s">
        <v>19</v>
      </c>
      <c r="R13" s="8" t="s">
        <v>11</v>
      </c>
      <c r="S13" s="40" t="s">
        <v>11</v>
      </c>
      <c r="T13" s="41"/>
      <c r="U13" s="35"/>
      <c r="V13" s="32" t="s">
        <v>20</v>
      </c>
      <c r="W13" s="36" t="str">
        <f>P41</f>
        <v>440005E</v>
      </c>
      <c r="X13" t="str">
        <f t="shared" si="0"/>
        <v>0x0440005E,</v>
      </c>
      <c r="Y13" s="44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29" t="s">
        <v>25</v>
      </c>
      <c r="O14" s="29" t="s">
        <v>25</v>
      </c>
      <c r="P14" s="29" t="s">
        <v>25</v>
      </c>
      <c r="Q14" s="29" t="s">
        <v>25</v>
      </c>
      <c r="R14" s="4" t="s">
        <v>25</v>
      </c>
      <c r="S14" s="37" t="s">
        <v>25</v>
      </c>
      <c r="T14" s="38"/>
      <c r="U14" s="35">
        <v>4</v>
      </c>
      <c r="V14" s="32" t="s">
        <v>13</v>
      </c>
      <c r="W14" s="36" t="str">
        <f>O43</f>
        <v>103B700C</v>
      </c>
      <c r="X14" t="str">
        <f t="shared" si="0"/>
        <v>0x103B700C,</v>
      </c>
      <c r="Y14" s="44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29" t="s">
        <v>55</v>
      </c>
      <c r="O15" s="29" t="s">
        <v>55</v>
      </c>
      <c r="P15" s="29" t="s">
        <v>55</v>
      </c>
      <c r="Q15" s="29" t="s">
        <v>55</v>
      </c>
      <c r="R15" s="4" t="s">
        <v>55</v>
      </c>
      <c r="S15" s="37" t="s">
        <v>55</v>
      </c>
      <c r="T15" s="38"/>
      <c r="U15" s="35"/>
      <c r="V15" s="32" t="s">
        <v>16</v>
      </c>
      <c r="W15" s="36" t="str">
        <f>O42</f>
        <v>48BF4F5C</v>
      </c>
      <c r="X15" t="str">
        <f t="shared" si="0"/>
        <v>0x48BF4F5C,</v>
      </c>
      <c r="Y15" s="44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29" t="s">
        <v>12</v>
      </c>
      <c r="O16" s="29" t="s">
        <v>12</v>
      </c>
      <c r="P16" s="29" t="s">
        <v>12</v>
      </c>
      <c r="Q16" s="29" t="s">
        <v>12</v>
      </c>
      <c r="R16" s="4" t="s">
        <v>12</v>
      </c>
      <c r="S16" s="37" t="s">
        <v>12</v>
      </c>
      <c r="T16" s="38"/>
      <c r="U16" s="35"/>
      <c r="V16" s="32" t="s">
        <v>20</v>
      </c>
      <c r="W16" s="36" t="str">
        <f>O41</f>
        <v>440006E</v>
      </c>
      <c r="X16" t="str">
        <f t="shared" si="0"/>
        <v>0x0440006E,</v>
      </c>
      <c r="Y16" s="44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29" t="s">
        <v>11</v>
      </c>
      <c r="O17" s="29" t="s">
        <v>11</v>
      </c>
      <c r="P17" s="29" t="s">
        <v>11</v>
      </c>
      <c r="Q17" s="29" t="s">
        <v>11</v>
      </c>
      <c r="R17" s="4" t="s">
        <v>11</v>
      </c>
      <c r="S17" s="37" t="s">
        <v>11</v>
      </c>
      <c r="T17" s="38"/>
      <c r="U17" s="35">
        <v>5</v>
      </c>
      <c r="V17" s="32" t="s">
        <v>13</v>
      </c>
      <c r="W17" s="36" t="str">
        <f>N43</f>
        <v>103B700C</v>
      </c>
      <c r="X17" t="str">
        <f t="shared" si="0"/>
        <v>0x103B700C,</v>
      </c>
      <c r="Y17" s="44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29" t="s">
        <v>12</v>
      </c>
      <c r="O18" s="29" t="s">
        <v>12</v>
      </c>
      <c r="P18" s="29" t="s">
        <v>12</v>
      </c>
      <c r="Q18" s="29" t="s">
        <v>12</v>
      </c>
      <c r="R18" s="4" t="s">
        <v>12</v>
      </c>
      <c r="S18" s="37" t="s">
        <v>12</v>
      </c>
      <c r="T18" s="38"/>
      <c r="U18" s="35"/>
      <c r="V18" s="32" t="s">
        <v>16</v>
      </c>
      <c r="W18" s="36" t="str">
        <f>N42</f>
        <v>48BF4F5C</v>
      </c>
      <c r="X18" t="str">
        <f t="shared" si="0"/>
        <v>0x48BF4F5C,</v>
      </c>
      <c r="Y18" s="44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29" t="s">
        <v>45</v>
      </c>
      <c r="O19" s="29" t="s">
        <v>45</v>
      </c>
      <c r="P19" s="29" t="s">
        <v>45</v>
      </c>
      <c r="Q19" s="29" t="s">
        <v>45</v>
      </c>
      <c r="R19" s="4" t="s">
        <v>45</v>
      </c>
      <c r="S19" s="37" t="s">
        <v>45</v>
      </c>
      <c r="T19" s="38"/>
      <c r="U19" s="35"/>
      <c r="V19" s="32" t="s">
        <v>20</v>
      </c>
      <c r="W19" s="36" t="str">
        <f>N41</f>
        <v>44000AA</v>
      </c>
      <c r="X19" t="str">
        <f t="shared" si="0"/>
        <v>0x044000AA,</v>
      </c>
      <c r="Y19" s="44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29" t="s">
        <v>45</v>
      </c>
      <c r="O20" s="29" t="s">
        <v>45</v>
      </c>
      <c r="P20" s="29" t="s">
        <v>45</v>
      </c>
      <c r="Q20" s="29" t="s">
        <v>45</v>
      </c>
      <c r="R20" s="4" t="s">
        <v>45</v>
      </c>
      <c r="S20" s="37" t="s">
        <v>45</v>
      </c>
      <c r="T20" s="38"/>
      <c r="U20" s="35">
        <v>6</v>
      </c>
      <c r="V20" s="32" t="s">
        <v>13</v>
      </c>
      <c r="W20" s="36" t="str">
        <f>M43</f>
        <v>103B700F</v>
      </c>
      <c r="X20" t="str">
        <f t="shared" si="0"/>
        <v>0x103B700F,</v>
      </c>
      <c r="Y20" s="44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7" t="s">
        <v>44</v>
      </c>
      <c r="T21" s="38"/>
      <c r="U21" s="35"/>
      <c r="V21" s="32" t="s">
        <v>16</v>
      </c>
      <c r="W21" s="36" t="str">
        <f>M42</f>
        <v>48BF4F5C</v>
      </c>
      <c r="X21" t="str">
        <f t="shared" si="0"/>
        <v>0x48BF4F5C,</v>
      </c>
      <c r="Y21" s="44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25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29" t="s">
        <v>25</v>
      </c>
      <c r="O22" s="29" t="s">
        <v>25</v>
      </c>
      <c r="P22" s="29" t="s">
        <v>25</v>
      </c>
      <c r="Q22" s="29" t="s">
        <v>25</v>
      </c>
      <c r="R22" s="4" t="s">
        <v>25</v>
      </c>
      <c r="S22" s="37" t="s">
        <v>25</v>
      </c>
      <c r="T22" s="38"/>
      <c r="U22" s="35"/>
      <c r="V22" s="32" t="s">
        <v>20</v>
      </c>
      <c r="W22" s="36" t="str">
        <f>M41</f>
        <v>4400076</v>
      </c>
      <c r="X22" t="str">
        <f t="shared" si="0"/>
        <v>0x04400076,</v>
      </c>
      <c r="Y22" s="44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29" t="s">
        <v>11</v>
      </c>
      <c r="O23" s="29" t="s">
        <v>11</v>
      </c>
      <c r="P23" s="29" t="s">
        <v>11</v>
      </c>
      <c r="Q23" s="29" t="s">
        <v>11</v>
      </c>
      <c r="R23" s="4" t="s">
        <v>11</v>
      </c>
      <c r="S23" s="37" t="s">
        <v>11</v>
      </c>
      <c r="T23" s="38"/>
      <c r="U23" s="35">
        <v>7</v>
      </c>
      <c r="V23" s="32" t="s">
        <v>13</v>
      </c>
      <c r="W23" s="36" t="str">
        <f>L43</f>
        <v>103B700F</v>
      </c>
      <c r="X23" t="str">
        <f t="shared" si="0"/>
        <v>0x103B700F,</v>
      </c>
      <c r="Y23" s="44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29" t="s">
        <v>11</v>
      </c>
      <c r="O24" s="29" t="s">
        <v>11</v>
      </c>
      <c r="P24" s="29" t="s">
        <v>11</v>
      </c>
      <c r="Q24" s="29" t="s">
        <v>11</v>
      </c>
      <c r="R24" s="4" t="s">
        <v>11</v>
      </c>
      <c r="S24" s="37" t="s">
        <v>11</v>
      </c>
      <c r="T24" s="38"/>
      <c r="U24" s="35"/>
      <c r="V24" s="32" t="s">
        <v>16</v>
      </c>
      <c r="W24" s="36" t="str">
        <f>L42</f>
        <v>48BF4F5C</v>
      </c>
      <c r="X24" t="str">
        <f t="shared" si="0"/>
        <v>0x48BF4F5C,</v>
      </c>
      <c r="Y24" s="44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7" t="s">
        <v>44</v>
      </c>
      <c r="T25" s="38"/>
      <c r="U25" s="35"/>
      <c r="V25" s="32" t="s">
        <v>20</v>
      </c>
      <c r="W25" s="36" t="str">
        <f>L41</f>
        <v>44000AE</v>
      </c>
      <c r="X25" t="str">
        <f t="shared" si="0"/>
        <v>0x044000AE,</v>
      </c>
      <c r="Y25" s="44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30" t="s">
        <v>46</v>
      </c>
      <c r="M26" s="30" t="s">
        <v>46</v>
      </c>
      <c r="N26" s="31" t="s">
        <v>46</v>
      </c>
      <c r="O26" s="31" t="s">
        <v>46</v>
      </c>
      <c r="P26" s="31" t="s">
        <v>46</v>
      </c>
      <c r="Q26" s="31" t="s">
        <v>46</v>
      </c>
      <c r="R26" s="30" t="s">
        <v>46</v>
      </c>
      <c r="S26" s="42" t="s">
        <v>46</v>
      </c>
      <c r="T26" s="41"/>
      <c r="U26" s="35">
        <v>8</v>
      </c>
      <c r="V26" s="32" t="s">
        <v>13</v>
      </c>
      <c r="W26" s="36" t="str">
        <f>K43</f>
        <v>103B700F</v>
      </c>
      <c r="X26" t="str">
        <f t="shared" si="0"/>
        <v>0x103B700F,</v>
      </c>
      <c r="Y26" s="44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29" t="s">
        <v>45</v>
      </c>
      <c r="O27" s="29" t="s">
        <v>45</v>
      </c>
      <c r="P27" s="29" t="s">
        <v>45</v>
      </c>
      <c r="Q27" s="29" t="s">
        <v>45</v>
      </c>
      <c r="R27" s="4" t="s">
        <v>45</v>
      </c>
      <c r="S27" s="37" t="s">
        <v>45</v>
      </c>
      <c r="T27" s="38"/>
      <c r="U27" s="35"/>
      <c r="V27" s="32" t="s">
        <v>16</v>
      </c>
      <c r="W27" s="36" t="str">
        <f>K42</f>
        <v>48BF4F4C</v>
      </c>
      <c r="X27" t="str">
        <f t="shared" si="0"/>
        <v>0x48BF4F4C,</v>
      </c>
      <c r="Y27" s="44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29" t="s">
        <v>12</v>
      </c>
      <c r="O28" s="29" t="s">
        <v>12</v>
      </c>
      <c r="P28" s="29" t="s">
        <v>12</v>
      </c>
      <c r="Q28" s="29" t="s">
        <v>12</v>
      </c>
      <c r="R28" s="4" t="s">
        <v>12</v>
      </c>
      <c r="S28" s="37" t="s">
        <v>12</v>
      </c>
      <c r="T28" s="38"/>
      <c r="U28" s="35"/>
      <c r="V28" s="32" t="s">
        <v>20</v>
      </c>
      <c r="W28" s="36" t="str">
        <f>K41</f>
        <v>440012A</v>
      </c>
      <c r="X28" t="str">
        <f t="shared" si="0"/>
        <v>0x0440012A,</v>
      </c>
      <c r="Y28" s="44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9" t="s">
        <v>12</v>
      </c>
      <c r="T29" s="38"/>
      <c r="U29" s="35">
        <v>9</v>
      </c>
      <c r="V29" s="32" t="s">
        <v>13</v>
      </c>
      <c r="W29" s="36" t="str">
        <f>J43</f>
        <v>103B700F</v>
      </c>
      <c r="X29" t="str">
        <f t="shared" si="0"/>
        <v>0x103B700F,</v>
      </c>
      <c r="Y29" s="44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9" t="s">
        <v>12</v>
      </c>
      <c r="T30" s="38"/>
      <c r="U30" s="35"/>
      <c r="V30" s="32" t="s">
        <v>16</v>
      </c>
      <c r="W30" s="36" t="str">
        <f>J42</f>
        <v>48BF4F4C</v>
      </c>
      <c r="X30" t="str">
        <f t="shared" si="0"/>
        <v>0x48BF4F4C,</v>
      </c>
      <c r="Y30" s="44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29" t="s">
        <v>93</v>
      </c>
      <c r="O31" s="29" t="s">
        <v>93</v>
      </c>
      <c r="P31" s="29" t="s">
        <v>93</v>
      </c>
      <c r="Q31" s="29" t="s">
        <v>93</v>
      </c>
      <c r="R31" s="4" t="s">
        <v>93</v>
      </c>
      <c r="S31" s="37" t="s">
        <v>93</v>
      </c>
      <c r="T31" s="38"/>
      <c r="U31" s="35"/>
      <c r="V31" s="32" t="s">
        <v>20</v>
      </c>
      <c r="W31" s="36" t="str">
        <f>J41</f>
        <v>440018A</v>
      </c>
      <c r="X31" t="str">
        <f t="shared" si="0"/>
        <v>0x0440018A,</v>
      </c>
      <c r="Y31" s="44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29" t="s">
        <v>49</v>
      </c>
      <c r="O32" s="29" t="s">
        <v>49</v>
      </c>
      <c r="P32" s="29" t="s">
        <v>49</v>
      </c>
      <c r="Q32" s="29" t="s">
        <v>49</v>
      </c>
      <c r="R32" s="4" t="s">
        <v>49</v>
      </c>
      <c r="S32" s="37" t="s">
        <v>49</v>
      </c>
      <c r="T32" s="38"/>
      <c r="U32" s="35" t="s">
        <v>96</v>
      </c>
      <c r="V32" s="32" t="s">
        <v>13</v>
      </c>
      <c r="W32" s="36" t="str">
        <f>I43</f>
        <v>103B700F</v>
      </c>
      <c r="X32" t="str">
        <f t="shared" si="0"/>
        <v>0x103B700F,</v>
      </c>
      <c r="Y32" s="44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9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29" t="s">
        <v>45</v>
      </c>
      <c r="O33" s="29" t="s">
        <v>45</v>
      </c>
      <c r="P33" s="29" t="s">
        <v>45</v>
      </c>
      <c r="Q33" s="29" t="s">
        <v>45</v>
      </c>
      <c r="R33" s="4" t="s">
        <v>45</v>
      </c>
      <c r="S33" s="37" t="s">
        <v>45</v>
      </c>
      <c r="T33" s="38"/>
      <c r="U33" s="35"/>
      <c r="V33" s="32" t="s">
        <v>16</v>
      </c>
      <c r="W33" s="36" t="str">
        <f>I42</f>
        <v>48BF4F4C</v>
      </c>
      <c r="X33" t="str">
        <f t="shared" si="0"/>
        <v>0x48BF4F4C,</v>
      </c>
      <c r="Y33" s="44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29" t="s">
        <v>12</v>
      </c>
      <c r="O34" s="29" t="s">
        <v>12</v>
      </c>
      <c r="P34" s="29" t="s">
        <v>12</v>
      </c>
      <c r="Q34" s="29" t="s">
        <v>12</v>
      </c>
      <c r="R34" s="4" t="s">
        <v>12</v>
      </c>
      <c r="S34" s="37" t="s">
        <v>12</v>
      </c>
      <c r="T34" s="38"/>
      <c r="U34" s="35"/>
      <c r="V34" s="32" t="s">
        <v>20</v>
      </c>
      <c r="W34" s="36" t="str">
        <f>I41</f>
        <v>440013E</v>
      </c>
      <c r="X34" t="str">
        <f t="shared" si="0"/>
        <v>0x0440013E,</v>
      </c>
      <c r="Y34" s="44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29" t="s">
        <v>49</v>
      </c>
      <c r="O35" s="29" t="s">
        <v>49</v>
      </c>
      <c r="P35" s="29" t="s">
        <v>49</v>
      </c>
      <c r="Q35" s="29" t="s">
        <v>49</v>
      </c>
      <c r="R35" s="4" t="s">
        <v>49</v>
      </c>
      <c r="S35" s="37" t="s">
        <v>49</v>
      </c>
      <c r="T35" s="38"/>
      <c r="U35" s="35" t="s">
        <v>103</v>
      </c>
      <c r="V35" s="32" t="s">
        <v>13</v>
      </c>
      <c r="W35" s="36" t="str">
        <f>H43</f>
        <v>103B700F</v>
      </c>
      <c r="X35" t="str">
        <f t="shared" si="0"/>
        <v>0x103B700F,</v>
      </c>
      <c r="Y35" s="44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29" t="s">
        <v>12</v>
      </c>
      <c r="O36" s="29" t="s">
        <v>12</v>
      </c>
      <c r="P36" s="29" t="s">
        <v>12</v>
      </c>
      <c r="Q36" s="29" t="s">
        <v>12</v>
      </c>
      <c r="R36" s="12" t="s">
        <v>12</v>
      </c>
      <c r="S36" s="43" t="s">
        <v>12</v>
      </c>
      <c r="T36" s="38"/>
      <c r="U36" s="35"/>
      <c r="V36" s="32" t="s">
        <v>16</v>
      </c>
      <c r="W36" s="36" t="str">
        <f>H42</f>
        <v>48BF4F4C</v>
      </c>
      <c r="X36" t="str">
        <f t="shared" si="0"/>
        <v>0x48BF4F4C,</v>
      </c>
      <c r="Y36" s="44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29" t="s">
        <v>43</v>
      </c>
      <c r="O37" s="29" t="s">
        <v>43</v>
      </c>
      <c r="P37" s="29" t="s">
        <v>55</v>
      </c>
      <c r="Q37" s="29" t="s">
        <v>49</v>
      </c>
      <c r="R37" s="4" t="s">
        <v>44</v>
      </c>
      <c r="S37" s="37" t="s">
        <v>25</v>
      </c>
      <c r="T37" s="38"/>
      <c r="U37" s="35"/>
      <c r="V37" s="32" t="s">
        <v>20</v>
      </c>
      <c r="W37" s="36" t="str">
        <f>H41</f>
        <v>44001BA</v>
      </c>
      <c r="X37" t="str">
        <f t="shared" si="0"/>
        <v>0x044001BA,</v>
      </c>
      <c r="Y37" s="44"/>
    </row>
    <row r="38" spans="4:25">
      <c r="D38" s="13"/>
      <c r="E38" s="13"/>
      <c r="F38" s="13"/>
      <c r="G38" s="14"/>
      <c r="H38" s="14"/>
      <c r="I38" s="14"/>
      <c r="J38" s="14"/>
      <c r="K38" s="14">
        <v>20</v>
      </c>
      <c r="L38" s="14">
        <v>18</v>
      </c>
      <c r="M38" s="14">
        <v>16</v>
      </c>
      <c r="N38" s="14">
        <v>14</v>
      </c>
      <c r="O38" s="14">
        <v>12</v>
      </c>
      <c r="P38" s="14">
        <v>10</v>
      </c>
      <c r="Q38" s="14">
        <v>8</v>
      </c>
      <c r="R38" s="14">
        <v>6</v>
      </c>
      <c r="S38" s="14">
        <v>4</v>
      </c>
      <c r="U38" s="35" t="s">
        <v>109</v>
      </c>
      <c r="V38" s="32" t="s">
        <v>13</v>
      </c>
      <c r="W38" s="36" t="str">
        <f>G43</f>
        <v>103B700F</v>
      </c>
      <c r="X38" t="str">
        <f t="shared" si="0"/>
        <v>0x103B700F,</v>
      </c>
      <c r="Y38" s="44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5"/>
      <c r="V39" s="32" t="s">
        <v>16</v>
      </c>
      <c r="W39" s="36" t="str">
        <f>G42</f>
        <v>48BF4F4C</v>
      </c>
      <c r="X39" t="str">
        <f t="shared" si="0"/>
        <v>0x48BF4F4C,</v>
      </c>
      <c r="Y39" s="44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5"/>
      <c r="V40" s="32" t="s">
        <v>20</v>
      </c>
      <c r="W40" s="36" t="str">
        <f>G41</f>
        <v>44001FE</v>
      </c>
      <c r="X40" t="str">
        <f t="shared" si="0"/>
        <v>0x044001FE,</v>
      </c>
      <c r="Y40" s="44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44001FE</v>
      </c>
      <c r="H41" s="19" t="str">
        <f t="shared" si="1"/>
        <v>44001BA</v>
      </c>
      <c r="I41" s="19" t="str">
        <f t="shared" si="1"/>
        <v>440013E</v>
      </c>
      <c r="J41" s="19" t="str">
        <f t="shared" si="1"/>
        <v>440018A</v>
      </c>
      <c r="K41" s="19" t="str">
        <f t="shared" si="1"/>
        <v>440012A</v>
      </c>
      <c r="L41" s="19" t="str">
        <f t="shared" si="1"/>
        <v>44000AE</v>
      </c>
      <c r="M41" s="19" t="str">
        <f t="shared" si="1"/>
        <v>4400076</v>
      </c>
      <c r="N41" s="19" t="str">
        <f t="shared" si="1"/>
        <v>44000AA</v>
      </c>
      <c r="O41" s="19" t="str">
        <f t="shared" si="1"/>
        <v>440006E</v>
      </c>
      <c r="P41" s="19" t="str">
        <f t="shared" si="1"/>
        <v>440005E</v>
      </c>
      <c r="Q41" s="19" t="str">
        <f t="shared" si="1"/>
        <v>440006A</v>
      </c>
      <c r="R41" s="19" t="str">
        <f t="shared" si="1"/>
        <v>4400086</v>
      </c>
      <c r="S41" s="19" t="str">
        <f t="shared" si="1"/>
        <v>44000A6</v>
      </c>
      <c r="U41" s="35" t="s">
        <v>114</v>
      </c>
      <c r="V41" s="32" t="s">
        <v>13</v>
      </c>
      <c r="W41" s="36" t="str">
        <f>F43</f>
        <v>0</v>
      </c>
      <c r="X41" t="str">
        <f t="shared" si="0"/>
        <v>0x00000000,</v>
      </c>
      <c r="Y41" s="44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48BF4F4C</v>
      </c>
      <c r="H42" s="19" t="str">
        <f t="shared" si="2"/>
        <v>48BF4F4C</v>
      </c>
      <c r="I42" s="19" t="str">
        <f t="shared" si="2"/>
        <v>48BF4F4C</v>
      </c>
      <c r="J42" s="19" t="str">
        <f t="shared" si="2"/>
        <v>48BF4F4C</v>
      </c>
      <c r="K42" s="19" t="str">
        <f t="shared" si="2"/>
        <v>48BF4F4C</v>
      </c>
      <c r="L42" s="19" t="str">
        <f t="shared" si="2"/>
        <v>48BF4F5C</v>
      </c>
      <c r="M42" s="19" t="str">
        <f t="shared" si="2"/>
        <v>48BF4F5C</v>
      </c>
      <c r="N42" s="19" t="str">
        <f t="shared" si="2"/>
        <v>48BF4F5C</v>
      </c>
      <c r="O42" s="19" t="str">
        <f t="shared" si="2"/>
        <v>48BF4F5C</v>
      </c>
      <c r="P42" s="19" t="str">
        <f t="shared" si="2"/>
        <v>48BF4F5C</v>
      </c>
      <c r="Q42" s="19" t="str">
        <f t="shared" si="2"/>
        <v>48BF4F5C</v>
      </c>
      <c r="R42" s="19" t="str">
        <f t="shared" si="2"/>
        <v>48BF4F5C</v>
      </c>
      <c r="S42" s="19" t="str">
        <f t="shared" si="2"/>
        <v>48BF4F5C</v>
      </c>
      <c r="U42" s="35"/>
      <c r="V42" s="32" t="s">
        <v>16</v>
      </c>
      <c r="W42" s="36" t="str">
        <f>F42</f>
        <v>0</v>
      </c>
      <c r="X42" t="str">
        <f t="shared" si="0"/>
        <v>0x00000000,</v>
      </c>
      <c r="Y42" s="44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103B700F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5"/>
      <c r="V43" s="32" t="s">
        <v>20</v>
      </c>
      <c r="W43" s="36" t="str">
        <f>F41</f>
        <v>0</v>
      </c>
      <c r="X43" t="str">
        <f t="shared" si="0"/>
        <v>0x00000000,</v>
      </c>
      <c r="Y43" s="44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5" t="s">
        <v>118</v>
      </c>
      <c r="V44" s="32" t="s">
        <v>13</v>
      </c>
      <c r="W44" s="36" t="str">
        <f>E43</f>
        <v>0</v>
      </c>
      <c r="X44" t="str">
        <f t="shared" si="0"/>
        <v>0x00000000,</v>
      </c>
      <c r="Y44" s="44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5"/>
      <c r="V45" s="32" t="s">
        <v>16</v>
      </c>
      <c r="W45" s="36" t="str">
        <f>E42</f>
        <v>0</v>
      </c>
      <c r="X45" t="str">
        <f t="shared" si="0"/>
        <v>0x00000000,</v>
      </c>
      <c r="Y45" s="44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5"/>
      <c r="V46" s="32" t="s">
        <v>20</v>
      </c>
      <c r="W46" s="36" t="str">
        <f>E41</f>
        <v>0</v>
      </c>
      <c r="X46" t="str">
        <f t="shared" si="0"/>
        <v>0x00000000,</v>
      </c>
      <c r="Y46" s="44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5" t="s">
        <v>120</v>
      </c>
      <c r="V47" s="32" t="s">
        <v>13</v>
      </c>
      <c r="W47" s="36" t="str">
        <f>D43</f>
        <v>0</v>
      </c>
      <c r="X47" t="str">
        <f t="shared" si="0"/>
        <v>0x00000000,</v>
      </c>
      <c r="Y47" s="44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2"/>
      <c r="V48" s="32" t="s">
        <v>16</v>
      </c>
      <c r="W48" s="36" t="str">
        <f>D42</f>
        <v>0</v>
      </c>
      <c r="X48" t="str">
        <f t="shared" si="0"/>
        <v>0x00000000,</v>
      </c>
      <c r="Y48" s="44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2"/>
      <c r="V49" s="32" t="s">
        <v>20</v>
      </c>
      <c r="W49" s="36" t="str">
        <f>D41</f>
        <v>0</v>
      </c>
      <c r="X49" t="str">
        <f t="shared" si="0"/>
        <v>0x00000000,</v>
      </c>
      <c r="Y49" s="44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5">
      <c r="A67" s="45"/>
      <c r="B67" s="46"/>
      <c r="C67" s="46"/>
      <c r="D67" s="46"/>
      <c r="E67" s="20"/>
    </row>
    <row r="68" spans="1:5">
      <c r="A68" s="45"/>
      <c r="B68" s="46"/>
      <c r="C68" s="46"/>
      <c r="D68" s="46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7"/>
      <c r="C73" s="47"/>
      <c r="D73" s="4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CH42</vt:lpstr>
      <vt:lpstr>CH58</vt:lpstr>
      <vt:lpstr>CH106</vt:lpstr>
      <vt:lpstr>CH122</vt:lpstr>
      <vt:lpstr>CH138</vt:lpstr>
      <vt:lpstr>CH155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2024-03-11T02:40:42Z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A418505D78604EBC82B3FDBC85D71043</vt:lpwstr>
  </property>
  <property fmtid="{D5CDD505-2E9C-101B-9397-08002B2CF9AE}" pid="3" name="KSOProductBuildVer">
    <vt:lpwstr>2052-11.1.0.14309</vt:lpwstr>
  </property>
</Properties>
</file>