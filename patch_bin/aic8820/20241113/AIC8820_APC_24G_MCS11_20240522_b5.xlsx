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<sst xmlns="http://schemas.openxmlformats.org/spreadsheetml/2006/main" count="355" uniqueCount="181">
  <si>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</si>
  <si>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</si>
  <si>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</si>
  <si>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</si>
  <si>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</si>
  <si>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</si>
  <si>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</si>
  <si>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</si>
  <si>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</si>
  <si>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</si>
  <si>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</si>
  <si>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</si>
  <si>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</si>
  <si>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</si>
  <si>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</si>
  <si>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</si>
  <si>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</si>
  <si>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</si>
  <si>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</si>
  <si>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</si>
  <si>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</si>
  <si>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</si>
  <si>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</si>
  <si>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</si>
  <si>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</si>
  <si>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</si>
  <si>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</si>
  <si>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</si>
  <si>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</si>
  <si>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</si>
  <si>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</si>
  <si>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</si>
  <si>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</si>
  <si>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</si>
  <si>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7</t>
  </si>
  <si>
    <t>9</t>
  </si>
  <si>
    <t>5</t>
  </si>
  <si>
    <t>wf_dtmx_dac_gbit3</t>
  </si>
  <si>
    <t>76:73</t>
  </si>
  <si>
    <t>//index 3</t>
  </si>
  <si>
    <t>wf_dtmx_dac_gbit2</t>
  </si>
  <si>
    <t>72:69</t>
  </si>
  <si>
    <t>14</t>
  </si>
  <si>
    <t>8</t>
  </si>
  <si>
    <t>wf_dtmx_dac_gbit1</t>
  </si>
  <si>
    <t>68:66</t>
  </si>
  <si>
    <t>3</t>
  </si>
  <si>
    <t>wf_pa24g_vl_vbit</t>
  </si>
  <si>
    <t>65:63</t>
  </si>
  <si>
    <t>//index 4</t>
  </si>
  <si>
    <t>wf_pa_24g_vl_cgm_ibit</t>
  </si>
  <si>
    <t>62:59</t>
  </si>
  <si>
    <t>10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</si>
  <si>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</si>
  <si>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</si>
  <si>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</si>
  <si>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</si>
  <si>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</si>
  <si>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</si>
  <si>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</si>
  <si>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</si>
  <si>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</si>
  <si>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</si>
  <si>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</si>
  <si>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</si>
  <si>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</si>
  <si>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</si>
  <si>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</si>
  <si>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</si>
  <si>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</si>
  <si>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</si>
  <si>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</si>
  <si>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</si>
  <si>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</si>
  <si>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</si>
  <si>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</si>
  <si>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</si>
  <si>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</si>
  <si>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</si>
  <si>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</si>
  <si>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</si>
  <si>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</si>
  <si>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</si>
  <si>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0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</si>
  <si>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</si>
  <si>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</si>
  <si>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</si>
  <si>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</si>
  <si>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</si>
  <si>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</si>
  <si>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</si>
  <si>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6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</si>
  <si>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</si>
  <si>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</si>
  <si>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</si>
  <si>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</si>
  <si>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</si>
  <si>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</si>
  <si>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</si>
  <si>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15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</si>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</sst>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34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49" fontId="0" fillId="7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workbookViewId="0">
      <selection activeCell="H9" sqref="H9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28" t="s">
        <v>9</v>
      </c>
      <c r="V1" s="28"/>
      <c r="W1" s="28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>
        <v>0</v>
      </c>
      <c r="G2" s="5">
        <v>0</v>
      </c>
      <c r="H2" s="5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29">
        <v>0</v>
      </c>
      <c r="V2" s="28" t="s">
        <v>12</v>
      </c>
      <c r="W2" s="30" t="str">
        <f>S43</f>
        <v>502D7300</v>
      </c>
      <c r="X2" t="str">
        <f t="shared" ref="X2:X49" si="0">"0x"&amp;RIGHT("00000000"&amp;W2,8)&amp;","</f>
        <v>0x502D7300,</v>
      </c>
      <c r="Y2" s="31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3"/>
      <c r="F3" s="3">
        <v>0</v>
      </c>
      <c r="G3" s="5">
        <v>0</v>
      </c>
      <c r="H3" s="5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29"/>
      <c r="V3" s="28" t="s">
        <v>15</v>
      </c>
      <c r="W3" s="30" t="str">
        <f>S42</f>
        <v>48BB3F3D</v>
      </c>
      <c r="X3" t="str">
        <f t="shared" si="0"/>
        <v>0x48BB3F3D,</v>
      </c>
      <c r="Y3" s="31"/>
    </row>
    <row r="4" spans="1:25">
      <c r="A4" s="3" t="s">
        <v>16</v>
      </c>
      <c r="B4" s="3" t="s">
        <v>17</v>
      </c>
      <c r="C4" s="4" t="s">
        <v>18</v>
      </c>
      <c r="D4" s="3"/>
      <c r="E4" s="3"/>
      <c r="F4" s="3">
        <v>0</v>
      </c>
      <c r="G4" s="5">
        <v>0</v>
      </c>
      <c r="H4" s="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29"/>
      <c r="V4" s="28" t="s">
        <v>19</v>
      </c>
      <c r="W4" s="30" t="str">
        <f>S41</f>
        <v>441A0FA</v>
      </c>
      <c r="X4" t="str">
        <f t="shared" si="0"/>
        <v>0x0441A0FA,</v>
      </c>
      <c r="Y4" s="31"/>
    </row>
    <row r="5" spans="1:25">
      <c r="A5" s="3" t="s">
        <v>20</v>
      </c>
      <c r="B5" s="3">
        <v>91</v>
      </c>
      <c r="C5" s="4" t="s">
        <v>11</v>
      </c>
      <c r="D5" s="3"/>
      <c r="E5" s="3"/>
      <c r="F5" s="3">
        <v>0</v>
      </c>
      <c r="G5" s="5">
        <v>0</v>
      </c>
      <c r="H5" s="5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29">
        <v>1</v>
      </c>
      <c r="V5" s="28" t="s">
        <v>12</v>
      </c>
      <c r="W5" s="30" t="str">
        <f>R43</f>
        <v>502D7400</v>
      </c>
      <c r="X5" t="str">
        <f t="shared" si="0"/>
        <v>0x502D7400,</v>
      </c>
      <c r="Y5" s="31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3"/>
      <c r="F6" s="3">
        <v>8</v>
      </c>
      <c r="G6" s="5">
        <v>8</v>
      </c>
      <c r="H6" s="5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29"/>
      <c r="V6" s="28" t="s">
        <v>15</v>
      </c>
      <c r="W6" s="30" t="str">
        <f>R42</f>
        <v>48BB3F3D</v>
      </c>
      <c r="X6" t="str">
        <f t="shared" si="0"/>
        <v>0x48BB3F3D,</v>
      </c>
      <c r="Y6" s="31"/>
    </row>
    <row r="7" spans="1:25">
      <c r="A7" s="3" t="s">
        <v>25</v>
      </c>
      <c r="B7" s="3" t="s">
        <v>26</v>
      </c>
      <c r="C7" s="4" t="s">
        <v>24</v>
      </c>
      <c r="D7" s="3"/>
      <c r="E7" s="3"/>
      <c r="F7" s="3">
        <v>8</v>
      </c>
      <c r="G7" s="5">
        <v>8</v>
      </c>
      <c r="H7" s="5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29"/>
      <c r="V7" s="28" t="s">
        <v>19</v>
      </c>
      <c r="W7" s="30" t="str">
        <f>R41</f>
        <v>441A0DE</v>
      </c>
      <c r="X7" t="str">
        <f t="shared" si="0"/>
        <v>0x0441A0DE,</v>
      </c>
      <c r="Y7" s="31"/>
    </row>
    <row r="8" spans="1:25">
      <c r="A8" s="3" t="s">
        <v>27</v>
      </c>
      <c r="B8" s="3" t="s">
        <v>28</v>
      </c>
      <c r="C8" s="4" t="s">
        <v>11</v>
      </c>
      <c r="D8" s="3"/>
      <c r="E8" s="3"/>
      <c r="F8" s="3">
        <v>0</v>
      </c>
      <c r="G8" s="5">
        <v>0</v>
      </c>
      <c r="H8" s="5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29">
        <v>2</v>
      </c>
      <c r="V8" s="28" t="s">
        <v>12</v>
      </c>
      <c r="W8" s="30" t="str">
        <f>Q43</f>
        <v>502D7600</v>
      </c>
      <c r="X8" t="str">
        <f t="shared" si="0"/>
        <v>0x502D7600,</v>
      </c>
      <c r="Y8" s="31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3"/>
      <c r="F9" s="3">
        <v>0</v>
      </c>
      <c r="G9" s="5">
        <v>0</v>
      </c>
      <c r="H9" s="5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29"/>
      <c r="V9" s="28" t="s">
        <v>15</v>
      </c>
      <c r="W9" s="30" t="str">
        <f>Q42</f>
        <v>48BB3F3D</v>
      </c>
      <c r="X9" t="str">
        <f t="shared" si="0"/>
        <v>0x48BB3F3D,</v>
      </c>
      <c r="Y9" s="31"/>
    </row>
    <row r="10" spans="1:25">
      <c r="A10" s="3" t="s">
        <v>32</v>
      </c>
      <c r="B10" s="3" t="s">
        <v>33</v>
      </c>
      <c r="C10" s="4" t="s">
        <v>24</v>
      </c>
      <c r="D10" s="3"/>
      <c r="E10" s="3"/>
      <c r="F10" s="6" t="s">
        <v>34</v>
      </c>
      <c r="G10" s="7" t="s">
        <v>35</v>
      </c>
      <c r="H10" s="7" t="s">
        <v>36</v>
      </c>
      <c r="I10" s="8">
        <v>13</v>
      </c>
      <c r="J10" s="3">
        <v>13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29"/>
      <c r="V10" s="28" t="s">
        <v>19</v>
      </c>
      <c r="W10" s="30" t="str">
        <f>Q41</f>
        <v>441A12A</v>
      </c>
      <c r="X10" t="str">
        <f t="shared" si="0"/>
        <v>0x0441A12A,</v>
      </c>
      <c r="Y10" s="31"/>
    </row>
    <row r="11" spans="1:25">
      <c r="A11" s="3" t="s">
        <v>37</v>
      </c>
      <c r="B11" s="3" t="s">
        <v>38</v>
      </c>
      <c r="C11" s="4" t="s">
        <v>24</v>
      </c>
      <c r="D11" s="3"/>
      <c r="E11" s="3"/>
      <c r="F11" s="8">
        <v>0</v>
      </c>
      <c r="G11" s="7">
        <v>0</v>
      </c>
      <c r="H11" s="7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29">
        <v>3</v>
      </c>
      <c r="V11" s="28" t="s">
        <v>12</v>
      </c>
      <c r="W11" s="30" t="str">
        <f>P43</f>
        <v>502D7600</v>
      </c>
      <c r="X11" t="str">
        <f t="shared" si="0"/>
        <v>0x502D7600,</v>
      </c>
      <c r="Y11" s="31" t="s">
        <v>39</v>
      </c>
    </row>
    <row r="12" spans="1:25">
      <c r="A12" s="9" t="s">
        <v>40</v>
      </c>
      <c r="B12" s="9" t="s">
        <v>41</v>
      </c>
      <c r="C12" s="10" t="s">
        <v>24</v>
      </c>
      <c r="D12" s="9"/>
      <c r="E12" s="9"/>
      <c r="F12" s="11">
        <v>15</v>
      </c>
      <c r="G12" s="7">
        <v>15</v>
      </c>
      <c r="H12" s="7" t="s">
        <v>42</v>
      </c>
      <c r="I12" s="11">
        <v>15</v>
      </c>
      <c r="J12" s="9">
        <v>12</v>
      </c>
      <c r="K12" s="9">
        <v>11</v>
      </c>
      <c r="L12" s="9">
        <v>11</v>
      </c>
      <c r="M12" s="9">
        <v>9</v>
      </c>
      <c r="N12" s="9">
        <v>9</v>
      </c>
      <c r="O12" s="27" t="s">
        <v>43</v>
      </c>
      <c r="P12" s="9">
        <v>8</v>
      </c>
      <c r="Q12" s="9">
        <v>9</v>
      </c>
      <c r="R12" s="9">
        <v>6</v>
      </c>
      <c r="S12" s="9">
        <v>7</v>
      </c>
      <c r="U12" s="29"/>
      <c r="V12" s="28" t="s">
        <v>15</v>
      </c>
      <c r="W12" s="30" t="str">
        <f>P42</f>
        <v>48BB3F3D</v>
      </c>
      <c r="X12" t="str">
        <f t="shared" si="0"/>
        <v>0x48BB3F3D,</v>
      </c>
      <c r="Y12" s="31"/>
    </row>
    <row r="13" spans="1:25">
      <c r="A13" s="9" t="s">
        <v>44</v>
      </c>
      <c r="B13" s="9" t="s">
        <v>45</v>
      </c>
      <c r="C13" s="10" t="s">
        <v>46</v>
      </c>
      <c r="D13" s="9"/>
      <c r="E13" s="9"/>
      <c r="F13" s="11">
        <v>7</v>
      </c>
      <c r="G13" s="7" t="s">
        <v>36</v>
      </c>
      <c r="H13" s="7">
        <v>6</v>
      </c>
      <c r="I13" s="11">
        <v>6</v>
      </c>
      <c r="J13" s="9">
        <v>6</v>
      </c>
      <c r="K13" s="9">
        <v>5</v>
      </c>
      <c r="L13" s="9">
        <v>5</v>
      </c>
      <c r="M13" s="9">
        <v>6</v>
      </c>
      <c r="N13" s="9">
        <v>4</v>
      </c>
      <c r="O13" s="27" t="s">
        <v>46</v>
      </c>
      <c r="P13" s="9">
        <v>5</v>
      </c>
      <c r="Q13" s="9">
        <v>2</v>
      </c>
      <c r="R13" s="9">
        <v>7</v>
      </c>
      <c r="S13" s="9">
        <v>6</v>
      </c>
      <c r="U13" s="29"/>
      <c r="V13" s="28" t="s">
        <v>19</v>
      </c>
      <c r="W13" s="30" t="str">
        <f>P41</f>
        <v>441A116</v>
      </c>
      <c r="X13" t="str">
        <f t="shared" si="0"/>
        <v>0x0441A116,</v>
      </c>
      <c r="Y13" s="31"/>
    </row>
    <row r="14" spans="1:25">
      <c r="A14" s="3" t="s">
        <v>47</v>
      </c>
      <c r="B14" s="3" t="s">
        <v>48</v>
      </c>
      <c r="C14" s="4" t="s">
        <v>46</v>
      </c>
      <c r="D14" s="3"/>
      <c r="E14" s="3"/>
      <c r="F14" s="6" t="s">
        <v>36</v>
      </c>
      <c r="G14" s="7" t="s">
        <v>36</v>
      </c>
      <c r="H14" s="7" t="s">
        <v>36</v>
      </c>
      <c r="I14" s="8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29">
        <v>4</v>
      </c>
      <c r="V14" s="28" t="s">
        <v>12</v>
      </c>
      <c r="W14" s="30" t="str">
        <f>O43</f>
        <v>502D7A00</v>
      </c>
      <c r="X14" t="str">
        <f t="shared" si="0"/>
        <v>0x502D7A00,</v>
      </c>
      <c r="Y14" s="31" t="s">
        <v>49</v>
      </c>
    </row>
    <row r="15" spans="1:25">
      <c r="A15" s="3" t="s">
        <v>50</v>
      </c>
      <c r="B15" s="3" t="s">
        <v>51</v>
      </c>
      <c r="C15" s="4" t="s">
        <v>24</v>
      </c>
      <c r="D15" s="3"/>
      <c r="E15" s="3"/>
      <c r="F15" s="6" t="s">
        <v>52</v>
      </c>
      <c r="G15" s="7">
        <v>9</v>
      </c>
      <c r="H15" s="7">
        <v>9</v>
      </c>
      <c r="I15" s="8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29"/>
      <c r="V15" s="28" t="s">
        <v>15</v>
      </c>
      <c r="W15" s="30" t="str">
        <f>O42</f>
        <v>48BB3F3D</v>
      </c>
      <c r="X15" t="str">
        <f t="shared" si="0"/>
        <v>0x48BB3F3D,</v>
      </c>
      <c r="Y15" s="31"/>
    </row>
    <row r="16" spans="1:25">
      <c r="A16" s="3" t="s">
        <v>53</v>
      </c>
      <c r="B16" s="3" t="s">
        <v>54</v>
      </c>
      <c r="C16" s="4" t="s">
        <v>46</v>
      </c>
      <c r="D16" s="3"/>
      <c r="E16" s="3"/>
      <c r="F16" s="8">
        <v>0</v>
      </c>
      <c r="G16" s="7">
        <v>0</v>
      </c>
      <c r="H16" s="7">
        <v>0</v>
      </c>
      <c r="I16" s="8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29"/>
      <c r="V16" s="28" t="s">
        <v>19</v>
      </c>
      <c r="W16" s="30" t="str">
        <f>O41</f>
        <v>441A10E</v>
      </c>
      <c r="X16" t="str">
        <f t="shared" si="0"/>
        <v>0x0441A10E,</v>
      </c>
      <c r="Y16" s="31"/>
    </row>
    <row r="17" spans="1:25">
      <c r="A17" s="3" t="s">
        <v>55</v>
      </c>
      <c r="B17" s="3" t="s">
        <v>56</v>
      </c>
      <c r="C17" s="4" t="s">
        <v>11</v>
      </c>
      <c r="D17" s="3"/>
      <c r="E17" s="3"/>
      <c r="F17" s="8">
        <v>1</v>
      </c>
      <c r="G17" s="7">
        <v>1</v>
      </c>
      <c r="H17" s="7">
        <v>1</v>
      </c>
      <c r="I17" s="8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29">
        <v>5</v>
      </c>
      <c r="V17" s="28" t="s">
        <v>12</v>
      </c>
      <c r="W17" s="30" t="str">
        <f>N43</f>
        <v>502D7A00</v>
      </c>
      <c r="X17" t="str">
        <f t="shared" si="0"/>
        <v>0x502D7A00,</v>
      </c>
      <c r="Y17" s="31" t="s">
        <v>57</v>
      </c>
    </row>
    <row r="18" spans="1:25">
      <c r="A18" s="3" t="s">
        <v>58</v>
      </c>
      <c r="B18" s="3" t="s">
        <v>59</v>
      </c>
      <c r="C18" s="4" t="s">
        <v>11</v>
      </c>
      <c r="D18" s="3"/>
      <c r="E18" s="3"/>
      <c r="F18" s="3">
        <v>0</v>
      </c>
      <c r="G18" s="5">
        <v>0</v>
      </c>
      <c r="H18" s="5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29"/>
      <c r="V18" s="28" t="s">
        <v>15</v>
      </c>
      <c r="W18" s="30" t="str">
        <f>N42</f>
        <v>48BB3F3D</v>
      </c>
      <c r="X18" t="str">
        <f t="shared" si="0"/>
        <v>0x48BB3F3D,</v>
      </c>
      <c r="Y18" s="31"/>
    </row>
    <row r="19" spans="1:25">
      <c r="A19" s="3" t="s">
        <v>60</v>
      </c>
      <c r="B19" s="3" t="s">
        <v>61</v>
      </c>
      <c r="C19" s="4" t="s">
        <v>18</v>
      </c>
      <c r="D19" s="3"/>
      <c r="E19" s="3"/>
      <c r="F19" s="3">
        <v>3</v>
      </c>
      <c r="G19" s="5">
        <v>3</v>
      </c>
      <c r="H19" s="5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29"/>
      <c r="V19" s="28" t="s">
        <v>19</v>
      </c>
      <c r="W19" s="30" t="str">
        <f>N41</f>
        <v>441A132</v>
      </c>
      <c r="X19" t="str">
        <f t="shared" si="0"/>
        <v>0x0441A132,</v>
      </c>
      <c r="Y19" s="31"/>
    </row>
    <row r="20" spans="1:25">
      <c r="A20" s="3" t="s">
        <v>62</v>
      </c>
      <c r="B20" s="3" t="s">
        <v>63</v>
      </c>
      <c r="C20" s="4" t="s">
        <v>18</v>
      </c>
      <c r="D20" s="3"/>
      <c r="E20" s="3"/>
      <c r="F20" s="3" t="s">
        <v>18</v>
      </c>
      <c r="G20" s="5" t="s">
        <v>18</v>
      </c>
      <c r="H20" s="5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29">
        <v>6</v>
      </c>
      <c r="V20" s="28" t="s">
        <v>12</v>
      </c>
      <c r="W20" s="30" t="str">
        <f>M43</f>
        <v>502D7A00</v>
      </c>
      <c r="X20" t="str">
        <f t="shared" si="0"/>
        <v>0x502D7A00,</v>
      </c>
      <c r="Y20" s="31" t="s">
        <v>64</v>
      </c>
    </row>
    <row r="21" spans="1:25">
      <c r="A21" s="3" t="s">
        <v>65</v>
      </c>
      <c r="B21" s="3" t="s">
        <v>66</v>
      </c>
      <c r="C21" s="4" t="s">
        <v>46</v>
      </c>
      <c r="D21" s="3"/>
      <c r="E21" s="3"/>
      <c r="F21" s="3">
        <v>6</v>
      </c>
      <c r="G21" s="5">
        <v>6</v>
      </c>
      <c r="H21" s="5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29"/>
      <c r="V21" s="28" t="s">
        <v>15</v>
      </c>
      <c r="W21" s="30" t="str">
        <f>M42</f>
        <v>48BB3F3D</v>
      </c>
      <c r="X21" t="str">
        <f t="shared" si="0"/>
        <v>0x48BB3F3D,</v>
      </c>
      <c r="Y21" s="31"/>
    </row>
    <row r="22" spans="1:25">
      <c r="A22" s="3" t="s">
        <v>67</v>
      </c>
      <c r="B22" s="3" t="s">
        <v>68</v>
      </c>
      <c r="C22" s="4" t="s">
        <v>46</v>
      </c>
      <c r="D22" s="3"/>
      <c r="E22" s="3"/>
      <c r="F22" s="3">
        <v>3</v>
      </c>
      <c r="G22" s="5">
        <v>3</v>
      </c>
      <c r="H22" s="5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29"/>
      <c r="V22" s="28" t="s">
        <v>19</v>
      </c>
      <c r="W22" s="30" t="str">
        <f>M41</f>
        <v>441A13A</v>
      </c>
      <c r="X22" t="str">
        <f t="shared" si="0"/>
        <v>0x0441A13A,</v>
      </c>
      <c r="Y22" s="31"/>
    </row>
    <row r="23" spans="1:25">
      <c r="A23" s="3" t="s">
        <v>69</v>
      </c>
      <c r="B23" s="3" t="s">
        <v>70</v>
      </c>
      <c r="C23" s="4" t="s">
        <v>11</v>
      </c>
      <c r="D23" s="3"/>
      <c r="E23" s="3"/>
      <c r="F23" s="3">
        <v>1</v>
      </c>
      <c r="G23" s="5">
        <v>1</v>
      </c>
      <c r="H23" s="5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29">
        <v>7</v>
      </c>
      <c r="V23" s="28" t="s">
        <v>12</v>
      </c>
      <c r="W23" s="30" t="str">
        <f>L43</f>
        <v>502D7C00</v>
      </c>
      <c r="X23" t="str">
        <f t="shared" si="0"/>
        <v>0x502D7C00,</v>
      </c>
      <c r="Y23" s="31" t="s">
        <v>71</v>
      </c>
    </row>
    <row r="24" spans="1:25">
      <c r="A24" s="3" t="s">
        <v>72</v>
      </c>
      <c r="B24" s="3" t="s">
        <v>73</v>
      </c>
      <c r="C24" s="4" t="s">
        <v>11</v>
      </c>
      <c r="D24" s="3"/>
      <c r="E24" s="3"/>
      <c r="F24" s="3">
        <v>1</v>
      </c>
      <c r="G24" s="5">
        <v>1</v>
      </c>
      <c r="H24" s="5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29"/>
      <c r="V24" s="28" t="s">
        <v>15</v>
      </c>
      <c r="W24" s="30" t="str">
        <f>L42</f>
        <v>48BB3F3D</v>
      </c>
      <c r="X24" t="str">
        <f t="shared" si="0"/>
        <v>0x48BB3F3D,</v>
      </c>
      <c r="Y24" s="31"/>
    </row>
    <row r="25" spans="1:25">
      <c r="A25" s="3" t="s">
        <v>74</v>
      </c>
      <c r="B25" s="3" t="s">
        <v>75</v>
      </c>
      <c r="C25" s="4" t="s">
        <v>46</v>
      </c>
      <c r="D25" s="3"/>
      <c r="E25" s="3"/>
      <c r="F25" s="3">
        <v>6</v>
      </c>
      <c r="G25" s="5">
        <v>6</v>
      </c>
      <c r="H25" s="5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29"/>
      <c r="V25" s="28" t="s">
        <v>19</v>
      </c>
      <c r="W25" s="30" t="str">
        <f>L41</f>
        <v>441A176</v>
      </c>
      <c r="X25" t="str">
        <f t="shared" si="0"/>
        <v>0x0441A176,</v>
      </c>
      <c r="Y25" s="31"/>
    </row>
    <row r="26" spans="1:25">
      <c r="A26" s="3" t="s">
        <v>76</v>
      </c>
      <c r="B26" s="3" t="s">
        <v>77</v>
      </c>
      <c r="C26" s="4" t="s">
        <v>46</v>
      </c>
      <c r="D26" s="3"/>
      <c r="E26" s="3"/>
      <c r="F26" s="3">
        <v>3</v>
      </c>
      <c r="G26" s="5">
        <v>3</v>
      </c>
      <c r="H26" s="5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29">
        <v>8</v>
      </c>
      <c r="V26" s="28" t="s">
        <v>12</v>
      </c>
      <c r="W26" s="30" t="str">
        <f>K43</f>
        <v>502D7F00</v>
      </c>
      <c r="X26" t="str">
        <f t="shared" si="0"/>
        <v>0x502D7F00,</v>
      </c>
      <c r="Y26" s="31" t="s">
        <v>78</v>
      </c>
    </row>
    <row r="27" spans="1:25">
      <c r="A27" s="3" t="s">
        <v>79</v>
      </c>
      <c r="B27" s="3" t="s">
        <v>80</v>
      </c>
      <c r="C27" s="4" t="s">
        <v>18</v>
      </c>
      <c r="D27" s="3"/>
      <c r="E27" s="3"/>
      <c r="F27" s="3">
        <v>3</v>
      </c>
      <c r="G27" s="5">
        <v>3</v>
      </c>
      <c r="H27" s="5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29"/>
      <c r="V27" s="28" t="s">
        <v>15</v>
      </c>
      <c r="W27" s="30" t="str">
        <f>K42</f>
        <v>48BB3F3D</v>
      </c>
      <c r="X27" t="str">
        <f t="shared" si="0"/>
        <v>0x48BB3F3D,</v>
      </c>
      <c r="Y27" s="31"/>
    </row>
    <row r="28" spans="1:25">
      <c r="A28" s="3" t="s">
        <v>81</v>
      </c>
      <c r="B28" s="3" t="s">
        <v>82</v>
      </c>
      <c r="C28" s="4" t="s">
        <v>11</v>
      </c>
      <c r="D28" s="3"/>
      <c r="E28" s="3"/>
      <c r="F28" s="3" t="s">
        <v>83</v>
      </c>
      <c r="G28" s="5">
        <v>0</v>
      </c>
      <c r="H28" s="5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29"/>
      <c r="V28" s="28" t="s">
        <v>19</v>
      </c>
      <c r="W28" s="30" t="str">
        <f>K41</f>
        <v>441A176</v>
      </c>
      <c r="X28" t="str">
        <f t="shared" si="0"/>
        <v>0x0441A176,</v>
      </c>
      <c r="Y28" s="31"/>
    </row>
    <row r="29" spans="1:25">
      <c r="A29" s="3" t="s">
        <v>84</v>
      </c>
      <c r="B29" s="3" t="s">
        <v>85</v>
      </c>
      <c r="C29" s="4" t="s">
        <v>18</v>
      </c>
      <c r="D29" s="3"/>
      <c r="E29" s="3"/>
      <c r="F29" s="3" t="s">
        <v>18</v>
      </c>
      <c r="G29" s="5" t="s">
        <v>18</v>
      </c>
      <c r="H29" s="5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29">
        <v>9</v>
      </c>
      <c r="V29" s="28" t="s">
        <v>12</v>
      </c>
      <c r="W29" s="30" t="str">
        <f>J43</f>
        <v>502D7FC0</v>
      </c>
      <c r="X29" t="str">
        <f t="shared" si="0"/>
        <v>0x502D7FC0,</v>
      </c>
      <c r="Y29" s="31" t="s">
        <v>86</v>
      </c>
    </row>
    <row r="30" spans="1:25">
      <c r="A30" s="3" t="s">
        <v>87</v>
      </c>
      <c r="B30" s="3" t="s">
        <v>88</v>
      </c>
      <c r="C30" s="4" t="s">
        <v>18</v>
      </c>
      <c r="D30" s="3"/>
      <c r="E30" s="3"/>
      <c r="F30" s="3" t="s">
        <v>18</v>
      </c>
      <c r="G30" s="5" t="s">
        <v>18</v>
      </c>
      <c r="H30" s="5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29"/>
      <c r="V30" s="28" t="s">
        <v>15</v>
      </c>
      <c r="W30" s="30" t="str">
        <f>J42</f>
        <v>48BB3F3D</v>
      </c>
      <c r="X30" t="str">
        <f t="shared" si="0"/>
        <v>0x48BB3F3D,</v>
      </c>
      <c r="Y30" s="31"/>
    </row>
    <row r="31" spans="1:25">
      <c r="A31" s="3" t="s">
        <v>89</v>
      </c>
      <c r="B31" s="3" t="s">
        <v>90</v>
      </c>
      <c r="C31" s="4" t="s">
        <v>91</v>
      </c>
      <c r="D31" s="3"/>
      <c r="E31" s="3"/>
      <c r="F31" s="3">
        <v>32</v>
      </c>
      <c r="G31" s="5">
        <v>32</v>
      </c>
      <c r="H31" s="5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29"/>
      <c r="V31" s="28" t="s">
        <v>19</v>
      </c>
      <c r="W31" s="30" t="str">
        <f>J41</f>
        <v>441A19A</v>
      </c>
      <c r="X31" t="str">
        <f t="shared" si="0"/>
        <v>0x0441A19A,</v>
      </c>
      <c r="Y31" s="31"/>
    </row>
    <row r="32" spans="1:25">
      <c r="A32" s="3" t="s">
        <v>92</v>
      </c>
      <c r="B32" s="3" t="s">
        <v>93</v>
      </c>
      <c r="C32" s="4" t="s">
        <v>24</v>
      </c>
      <c r="D32" s="3"/>
      <c r="E32" s="3"/>
      <c r="F32" s="3">
        <v>5</v>
      </c>
      <c r="G32" s="5" t="s">
        <v>24</v>
      </c>
      <c r="H32" s="5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29" t="s">
        <v>94</v>
      </c>
      <c r="V32" s="28" t="s">
        <v>12</v>
      </c>
      <c r="W32" s="30" t="str">
        <f>I43</f>
        <v>502D7FC0</v>
      </c>
      <c r="X32" t="str">
        <f t="shared" si="0"/>
        <v>0x502D7FC0,</v>
      </c>
      <c r="Y32" s="31" t="s">
        <v>95</v>
      </c>
    </row>
    <row r="33" spans="1:25">
      <c r="A33" s="3" t="s">
        <v>96</v>
      </c>
      <c r="B33" s="3" t="s">
        <v>97</v>
      </c>
      <c r="C33" s="4" t="s">
        <v>46</v>
      </c>
      <c r="D33" s="3"/>
      <c r="E33" s="3"/>
      <c r="F33" s="12" t="s">
        <v>36</v>
      </c>
      <c r="G33" s="12" t="s">
        <v>36</v>
      </c>
      <c r="H33" s="12" t="s">
        <v>36</v>
      </c>
      <c r="I33" s="12" t="s">
        <v>36</v>
      </c>
      <c r="J33" s="12" t="s">
        <v>36</v>
      </c>
      <c r="K33" s="12" t="s">
        <v>36</v>
      </c>
      <c r="L33" s="12" t="s">
        <v>36</v>
      </c>
      <c r="M33" s="12" t="s">
        <v>36</v>
      </c>
      <c r="N33" s="12" t="s">
        <v>36</v>
      </c>
      <c r="O33" s="12" t="s">
        <v>36</v>
      </c>
      <c r="P33" s="12" t="s">
        <v>36</v>
      </c>
      <c r="Q33" s="12" t="s">
        <v>36</v>
      </c>
      <c r="R33" s="12" t="s">
        <v>36</v>
      </c>
      <c r="S33" s="12" t="s">
        <v>36</v>
      </c>
      <c r="U33" s="29"/>
      <c r="V33" s="28" t="s">
        <v>15</v>
      </c>
      <c r="W33" s="30" t="str">
        <f>I42</f>
        <v>48BB3F3D</v>
      </c>
      <c r="X33" t="str">
        <f t="shared" si="0"/>
        <v>0x48BB3F3D,</v>
      </c>
      <c r="Y33" s="31"/>
    </row>
    <row r="34" spans="1:25">
      <c r="A34" s="3" t="s">
        <v>98</v>
      </c>
      <c r="B34" s="3" t="s">
        <v>99</v>
      </c>
      <c r="C34" s="4" t="s">
        <v>11</v>
      </c>
      <c r="D34" s="3"/>
      <c r="E34" s="3"/>
      <c r="F34" s="3">
        <v>0</v>
      </c>
      <c r="G34" s="5">
        <v>0</v>
      </c>
      <c r="H34" s="5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29"/>
      <c r="V34" s="28" t="s">
        <v>19</v>
      </c>
      <c r="W34" s="30" t="str">
        <f>I41</f>
        <v>441A1FA</v>
      </c>
      <c r="X34" t="str">
        <f t="shared" si="0"/>
        <v>0x0441A1FA,</v>
      </c>
      <c r="Y34" s="31"/>
    </row>
    <row r="35" spans="1:25">
      <c r="A35" s="3" t="s">
        <v>100</v>
      </c>
      <c r="B35" s="3" t="s">
        <v>101</v>
      </c>
      <c r="C35" s="4" t="s">
        <v>46</v>
      </c>
      <c r="D35" s="3"/>
      <c r="E35" s="3"/>
      <c r="F35" s="3" t="s">
        <v>34</v>
      </c>
      <c r="G35" s="5" t="s">
        <v>83</v>
      </c>
      <c r="H35" s="5">
        <v>7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29" t="s">
        <v>102</v>
      </c>
      <c r="V35" s="28" t="s">
        <v>12</v>
      </c>
      <c r="W35" s="30" t="str">
        <f>H43</f>
        <v>502D7FC0</v>
      </c>
      <c r="X35" t="str">
        <f t="shared" si="0"/>
        <v>0x502D7FC0,</v>
      </c>
      <c r="Y35" s="31" t="s">
        <v>103</v>
      </c>
    </row>
    <row r="36" spans="1:25">
      <c r="A36" s="9" t="s">
        <v>104</v>
      </c>
      <c r="B36" s="9" t="s">
        <v>105</v>
      </c>
      <c r="C36" s="10" t="s">
        <v>91</v>
      </c>
      <c r="D36" s="9"/>
      <c r="E36" s="9"/>
      <c r="F36" s="9">
        <v>63</v>
      </c>
      <c r="G36" s="5">
        <v>63</v>
      </c>
      <c r="H36" s="5">
        <v>63</v>
      </c>
      <c r="I36" s="9">
        <v>63</v>
      </c>
      <c r="J36" s="9">
        <v>63</v>
      </c>
      <c r="K36" s="9">
        <v>60</v>
      </c>
      <c r="L36" s="9">
        <v>48</v>
      </c>
      <c r="M36" s="9">
        <v>40</v>
      </c>
      <c r="N36" s="9">
        <v>40</v>
      </c>
      <c r="O36" s="9">
        <v>40</v>
      </c>
      <c r="P36" s="9">
        <v>24</v>
      </c>
      <c r="Q36" s="9">
        <v>24</v>
      </c>
      <c r="R36" s="9">
        <v>16</v>
      </c>
      <c r="S36" s="9">
        <v>12</v>
      </c>
      <c r="U36" s="29"/>
      <c r="V36" s="28" t="s">
        <v>15</v>
      </c>
      <c r="W36" s="30" t="str">
        <f>H42</f>
        <v>C8BB3F3D</v>
      </c>
      <c r="X36" t="str">
        <f t="shared" si="0"/>
        <v>0xC8BB3F3D,</v>
      </c>
      <c r="Y36" s="31"/>
    </row>
    <row r="37" spans="1:25">
      <c r="A37" s="3" t="s">
        <v>106</v>
      </c>
      <c r="B37" s="3" t="s">
        <v>107</v>
      </c>
      <c r="C37" s="4" t="s">
        <v>91</v>
      </c>
      <c r="D37" s="3"/>
      <c r="E37" s="3"/>
      <c r="F37" s="3">
        <v>0</v>
      </c>
      <c r="G37" s="5">
        <v>0</v>
      </c>
      <c r="H37" s="5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29"/>
      <c r="V37" s="28" t="s">
        <v>19</v>
      </c>
      <c r="W37" s="30" t="str">
        <f>H41</f>
        <v>440A1DA</v>
      </c>
      <c r="X37" t="str">
        <f t="shared" si="0"/>
        <v>0x0440A1DA,</v>
      </c>
      <c r="Y37" s="31"/>
    </row>
    <row r="38" spans="21:25">
      <c r="U38" s="29" t="s">
        <v>108</v>
      </c>
      <c r="V38" s="28" t="s">
        <v>12</v>
      </c>
      <c r="W38" s="30" t="str">
        <f>G43</f>
        <v>50250FC0</v>
      </c>
      <c r="X38" t="str">
        <f t="shared" si="0"/>
        <v>0x50250FC0,</v>
      </c>
      <c r="Y38" s="31" t="s">
        <v>109</v>
      </c>
    </row>
    <row r="39" spans="1:25">
      <c r="A39" t="s">
        <v>110</v>
      </c>
      <c r="U39" s="29"/>
      <c r="V39" s="28" t="s">
        <v>15</v>
      </c>
      <c r="W39" s="30" t="str">
        <f>G42</f>
        <v>C8BB3F3D</v>
      </c>
      <c r="X39" t="str">
        <f t="shared" si="0"/>
        <v>0xC8BB3F3D,</v>
      </c>
      <c r="Y39" s="31"/>
    </row>
    <row r="40" spans="1:25">
      <c r="A40" s="13" t="s">
        <v>111</v>
      </c>
      <c r="B40" s="13"/>
      <c r="C40" s="13"/>
      <c r="D40" s="13"/>
      <c r="E40" s="13"/>
      <c r="F40" s="14">
        <v>22</v>
      </c>
      <c r="G40" s="14">
        <v>20</v>
      </c>
      <c r="H40" s="14">
        <v>18</v>
      </c>
      <c r="I40" s="14">
        <v>16</v>
      </c>
      <c r="J40" s="14">
        <v>14</v>
      </c>
      <c r="K40" s="14">
        <v>12</v>
      </c>
      <c r="L40" s="14">
        <v>10</v>
      </c>
      <c r="M40" s="14">
        <v>8</v>
      </c>
      <c r="N40" s="14">
        <v>6</v>
      </c>
      <c r="O40" s="14">
        <v>4</v>
      </c>
      <c r="P40" s="14">
        <v>2</v>
      </c>
      <c r="Q40" s="14">
        <v>0</v>
      </c>
      <c r="R40" s="14">
        <v>-2</v>
      </c>
      <c r="S40" s="14">
        <v>-4</v>
      </c>
      <c r="U40" s="29"/>
      <c r="V40" s="28" t="s">
        <v>19</v>
      </c>
      <c r="W40" s="30" t="str">
        <f>G41</f>
        <v>44121F6</v>
      </c>
      <c r="X40" t="str">
        <f t="shared" si="0"/>
        <v>0x044121F6,</v>
      </c>
      <c r="Y40" s="31"/>
    </row>
    <row r="41" spans="1:25">
      <c r="A41" s="15" t="s">
        <v>19</v>
      </c>
      <c r="B41" s="16"/>
      <c r="C41" s="16"/>
      <c r="D41" s="16" t="str">
        <f>DEC2HEX(INT(D14/2)+POWER(2,2)*D13+POWER(2,5)*D12+POWER(2,9)*D11+POWER(2,13)*D10+POWER(2,17)*D9+POWER(2,18)*D8+POWER(2,19)*D7+POWER(2,23)*D6+POWER(2,27)*D5+POWER(2,28)*D4+POWER(2,30)*D3+POWER(2,31)*D2)</f>
        <v>0</v>
      </c>
      <c r="E41" s="16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6" t="str">
        <f t="shared" si="1"/>
        <v>440E1FE</v>
      </c>
      <c r="G41" s="16" t="str">
        <f t="shared" si="1"/>
        <v>44121F6</v>
      </c>
      <c r="H41" s="16" t="str">
        <f t="shared" si="1"/>
        <v>440A1DA</v>
      </c>
      <c r="I41" s="16" t="str">
        <f t="shared" si="1"/>
        <v>441A1FA</v>
      </c>
      <c r="J41" s="16" t="str">
        <f t="shared" si="1"/>
        <v>441A19A</v>
      </c>
      <c r="K41" s="16" t="str">
        <f t="shared" si="1"/>
        <v>441A176</v>
      </c>
      <c r="L41" s="16" t="str">
        <f t="shared" si="1"/>
        <v>441A176</v>
      </c>
      <c r="M41" s="16" t="str">
        <f t="shared" si="1"/>
        <v>441A13A</v>
      </c>
      <c r="N41" s="16" t="str">
        <f t="shared" si="1"/>
        <v>441A132</v>
      </c>
      <c r="O41" s="16" t="str">
        <f t="shared" si="1"/>
        <v>441A10E</v>
      </c>
      <c r="P41" s="16" t="str">
        <f t="shared" si="1"/>
        <v>441A116</v>
      </c>
      <c r="Q41" s="16" t="str">
        <f t="shared" si="1"/>
        <v>441A12A</v>
      </c>
      <c r="R41" s="16" t="str">
        <f t="shared" si="1"/>
        <v>441A0DE</v>
      </c>
      <c r="S41" s="16" t="str">
        <f t="shared" si="1"/>
        <v>441A0FA</v>
      </c>
      <c r="U41" s="29" t="s">
        <v>112</v>
      </c>
      <c r="V41" s="28" t="s">
        <v>12</v>
      </c>
      <c r="W41" s="30" t="str">
        <f>F43</f>
        <v>502D7FC0</v>
      </c>
      <c r="X41" t="str">
        <f t="shared" si="0"/>
        <v>0x502D7FC0,</v>
      </c>
      <c r="Y41" s="31" t="s">
        <v>113</v>
      </c>
    </row>
    <row r="42" spans="1:25">
      <c r="A42" s="15" t="s">
        <v>15</v>
      </c>
      <c r="B42" s="16"/>
      <c r="C42" s="16"/>
      <c r="D42" s="16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6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6" t="str">
        <f t="shared" si="2"/>
        <v>D0BB3F3D</v>
      </c>
      <c r="G42" s="16" t="str">
        <f t="shared" si="2"/>
        <v>C8BB3F3D</v>
      </c>
      <c r="H42" s="16" t="str">
        <f t="shared" si="2"/>
        <v>C8BB3F3D</v>
      </c>
      <c r="I42" s="16" t="str">
        <f t="shared" si="2"/>
        <v>48BB3F3D</v>
      </c>
      <c r="J42" s="16" t="str">
        <f t="shared" si="2"/>
        <v>48BB3F3D</v>
      </c>
      <c r="K42" s="16" t="str">
        <f t="shared" si="2"/>
        <v>48BB3F3D</v>
      </c>
      <c r="L42" s="16" t="str">
        <f t="shared" si="2"/>
        <v>48BB3F3D</v>
      </c>
      <c r="M42" s="16" t="str">
        <f t="shared" si="2"/>
        <v>48BB3F3D</v>
      </c>
      <c r="N42" s="16" t="str">
        <f t="shared" si="2"/>
        <v>48BB3F3D</v>
      </c>
      <c r="O42" s="16" t="str">
        <f t="shared" si="2"/>
        <v>48BB3F3D</v>
      </c>
      <c r="P42" s="16" t="str">
        <f t="shared" si="2"/>
        <v>48BB3F3D</v>
      </c>
      <c r="Q42" s="16" t="str">
        <f t="shared" si="2"/>
        <v>48BB3F3D</v>
      </c>
      <c r="R42" s="16" t="str">
        <f t="shared" si="2"/>
        <v>48BB3F3D</v>
      </c>
      <c r="S42" s="16" t="str">
        <f t="shared" si="2"/>
        <v>48BB3F3D</v>
      </c>
      <c r="U42" s="29"/>
      <c r="V42" s="28" t="s">
        <v>15</v>
      </c>
      <c r="W42" s="30" t="str">
        <f>F42</f>
        <v>D0BB3F3D</v>
      </c>
      <c r="X42" t="str">
        <f t="shared" si="0"/>
        <v>0xD0BB3F3D,</v>
      </c>
      <c r="Y42" s="31"/>
    </row>
    <row r="43" spans="1:25">
      <c r="A43" s="15" t="s">
        <v>12</v>
      </c>
      <c r="B43" s="16"/>
      <c r="C43" s="16"/>
      <c r="D43" s="16" t="str">
        <f>DEC2HEX(D37+64*D36+POWER(2,12)*D35+POWER(2,15)*D34+POWER(2,16)*D33+POWER(2,19)*D32+POWER(2,23)*D31+POWER(2,29)*D30+POWER(2,31)*MOD(D29,$C29))</f>
        <v>0</v>
      </c>
      <c r="E43" s="16" t="str">
        <f t="shared" ref="E43:S43" si="3">DEC2HEX(E37+64*E36+POWER(2,12)*E35+POWER(2,15)*E34+POWER(2,16)*E33+POWER(2,19)*E32+POWER(2,23)*E31+POWER(2,29)*E30+POWER(2,31)*MOD(E29,$C29))</f>
        <v>0</v>
      </c>
      <c r="F43" s="16" t="str">
        <f t="shared" si="3"/>
        <v>502D7FC0</v>
      </c>
      <c r="G43" s="16" t="str">
        <f t="shared" si="3"/>
        <v>50250FC0</v>
      </c>
      <c r="H43" s="16" t="str">
        <f t="shared" si="3"/>
        <v>502D7FC0</v>
      </c>
      <c r="I43" s="16" t="str">
        <f t="shared" si="3"/>
        <v>502D7FC0</v>
      </c>
      <c r="J43" s="16" t="str">
        <f t="shared" si="3"/>
        <v>502D7FC0</v>
      </c>
      <c r="K43" s="16" t="str">
        <f t="shared" si="3"/>
        <v>502D7F00</v>
      </c>
      <c r="L43" s="16" t="str">
        <f t="shared" si="3"/>
        <v>502D7C00</v>
      </c>
      <c r="M43" s="16" t="str">
        <f t="shared" si="3"/>
        <v>502D7A00</v>
      </c>
      <c r="N43" s="16" t="str">
        <f t="shared" si="3"/>
        <v>502D7A00</v>
      </c>
      <c r="O43" s="16" t="str">
        <f t="shared" si="3"/>
        <v>502D7A00</v>
      </c>
      <c r="P43" s="16" t="str">
        <f t="shared" si="3"/>
        <v>502D7600</v>
      </c>
      <c r="Q43" s="16" t="str">
        <f t="shared" si="3"/>
        <v>502D7600</v>
      </c>
      <c r="R43" s="16" t="str">
        <f t="shared" si="3"/>
        <v>502D7400</v>
      </c>
      <c r="S43" s="16" t="str">
        <f t="shared" si="3"/>
        <v>502D7300</v>
      </c>
      <c r="U43" s="29"/>
      <c r="V43" s="28" t="s">
        <v>19</v>
      </c>
      <c r="W43" s="30" t="str">
        <f>F41</f>
        <v>440E1FE</v>
      </c>
      <c r="X43" t="str">
        <f t="shared" si="0"/>
        <v>0x0440E1FE,</v>
      </c>
      <c r="Y43" s="31"/>
    </row>
    <row r="44" spans="21:25">
      <c r="U44" s="29" t="s">
        <v>114</v>
      </c>
      <c r="V44" s="28" t="s">
        <v>115</v>
      </c>
      <c r="W44" s="30" t="str">
        <f>E43</f>
        <v>0</v>
      </c>
      <c r="X44" t="str">
        <f t="shared" si="0"/>
        <v>0x00000000,</v>
      </c>
      <c r="Y44" s="31" t="s">
        <v>116</v>
      </c>
    </row>
    <row r="45" spans="21:25">
      <c r="U45" s="29"/>
      <c r="V45" s="28" t="s">
        <v>117</v>
      </c>
      <c r="W45" s="30" t="str">
        <f>E42</f>
        <v>0</v>
      </c>
      <c r="X45" t="str">
        <f t="shared" si="0"/>
        <v>0x00000000,</v>
      </c>
      <c r="Y45" s="31"/>
    </row>
    <row r="46" spans="21:25">
      <c r="U46" s="29"/>
      <c r="V46" s="28" t="s">
        <v>118</v>
      </c>
      <c r="W46" s="30" t="str">
        <f>E41</f>
        <v>0</v>
      </c>
      <c r="X46" t="str">
        <f t="shared" si="0"/>
        <v>0x00000000,</v>
      </c>
      <c r="Y46" s="31"/>
    </row>
    <row r="47" spans="1:25">
      <c r="A47" s="17" t="s">
        <v>119</v>
      </c>
      <c r="B47" s="17"/>
      <c r="C47" s="17"/>
      <c r="D47" s="17"/>
      <c r="U47" s="29" t="s">
        <v>120</v>
      </c>
      <c r="V47" s="28" t="s">
        <v>115</v>
      </c>
      <c r="W47" s="30" t="str">
        <f>D43</f>
        <v>0</v>
      </c>
      <c r="X47" t="str">
        <f t="shared" si="0"/>
        <v>0x00000000,</v>
      </c>
      <c r="Y47" s="31" t="s">
        <v>121</v>
      </c>
    </row>
    <row r="48" spans="1:25">
      <c r="A48" s="17"/>
      <c r="B48" s="17"/>
      <c r="C48" s="17"/>
      <c r="D48" s="17"/>
      <c r="U48" s="28"/>
      <c r="V48" s="28" t="s">
        <v>117</v>
      </c>
      <c r="W48" s="30" t="str">
        <f>D42</f>
        <v>0</v>
      </c>
      <c r="X48" t="str">
        <f t="shared" si="0"/>
        <v>0x00000000,</v>
      </c>
      <c r="Y48" s="31"/>
    </row>
    <row r="49" spans="1:25">
      <c r="A49" s="18" t="s">
        <v>122</v>
      </c>
      <c r="B49" s="17"/>
      <c r="C49" s="17"/>
      <c r="D49" s="17"/>
      <c r="J49" t="s">
        <v>123</v>
      </c>
      <c r="U49" s="28"/>
      <c r="V49" s="28" t="s">
        <v>118</v>
      </c>
      <c r="W49" s="30" t="str">
        <f>D41</f>
        <v>0</v>
      </c>
      <c r="X49" t="str">
        <f t="shared" si="0"/>
        <v>0x00000000,</v>
      </c>
      <c r="Y49" s="31"/>
    </row>
    <row r="50" spans="1:14">
      <c r="A50" s="17"/>
      <c r="B50" s="17"/>
      <c r="C50" s="17"/>
      <c r="D50" s="17"/>
      <c r="J50" t="s">
        <v>124</v>
      </c>
      <c r="L50" t="s">
        <v>125</v>
      </c>
      <c r="M50" t="s">
        <v>126</v>
      </c>
      <c r="N50" t="s">
        <v>127</v>
      </c>
    </row>
    <row r="51" spans="1:4">
      <c r="A51" s="17" t="s">
        <v>128</v>
      </c>
      <c r="B51" s="17" t="s">
        <v>129</v>
      </c>
      <c r="C51" s="17" t="s">
        <v>130</v>
      </c>
      <c r="D51" s="17" t="s">
        <v>131</v>
      </c>
    </row>
    <row r="52" spans="1:4">
      <c r="A52" s="19" t="s">
        <v>132</v>
      </c>
      <c r="B52" s="20" t="s">
        <v>133</v>
      </c>
      <c r="C52" s="20" t="s">
        <v>11</v>
      </c>
      <c r="D52" s="20" t="s">
        <v>134</v>
      </c>
    </row>
    <row r="53" spans="1:4">
      <c r="A53" s="19" t="s">
        <v>135</v>
      </c>
      <c r="B53" s="20" t="s">
        <v>136</v>
      </c>
      <c r="C53" s="20" t="s">
        <v>18</v>
      </c>
      <c r="D53" s="20" t="s">
        <v>137</v>
      </c>
    </row>
    <row r="54" spans="1:4">
      <c r="A54" s="19" t="s">
        <v>138</v>
      </c>
      <c r="B54" s="20" t="s">
        <v>139</v>
      </c>
      <c r="C54" s="20" t="s">
        <v>18</v>
      </c>
      <c r="D54" s="20" t="s">
        <v>140</v>
      </c>
    </row>
    <row r="55" spans="1:4">
      <c r="A55" s="19">
        <v>40344048</v>
      </c>
      <c r="B55" s="20" t="s">
        <v>141</v>
      </c>
      <c r="C55" s="20" t="s">
        <v>142</v>
      </c>
      <c r="D55" s="20" t="s">
        <v>143</v>
      </c>
    </row>
    <row r="56" spans="1:4">
      <c r="A56" s="19" t="s">
        <v>144</v>
      </c>
      <c r="B56" s="20" t="s">
        <v>136</v>
      </c>
      <c r="C56" s="20" t="s">
        <v>24</v>
      </c>
      <c r="D56" s="20" t="s">
        <v>145</v>
      </c>
    </row>
    <row r="57" spans="1:4">
      <c r="A57" s="19" t="s">
        <v>144</v>
      </c>
      <c r="B57" s="20" t="s">
        <v>146</v>
      </c>
      <c r="C57" s="21" t="s">
        <v>18</v>
      </c>
      <c r="D57" s="21" t="s">
        <v>147</v>
      </c>
    </row>
    <row r="58" spans="1:4">
      <c r="A58" s="19" t="s">
        <v>148</v>
      </c>
      <c r="B58" s="20" t="s">
        <v>149</v>
      </c>
      <c r="C58" s="20" t="s">
        <v>46</v>
      </c>
      <c r="D58" s="20" t="s">
        <v>150</v>
      </c>
    </row>
    <row r="59" spans="1:4">
      <c r="A59" s="22" t="s">
        <v>144</v>
      </c>
      <c r="B59" s="17" t="s">
        <v>151</v>
      </c>
      <c r="C59" s="17" t="s">
        <v>35</v>
      </c>
      <c r="D59" s="17" t="s">
        <v>152</v>
      </c>
    </row>
    <row r="60" spans="1:4">
      <c r="A60" s="23" t="s">
        <v>153</v>
      </c>
      <c r="B60" s="24" t="s">
        <v>83</v>
      </c>
      <c r="C60" s="24" t="s">
        <v>83</v>
      </c>
      <c r="D60" s="24" t="s">
        <v>154</v>
      </c>
    </row>
    <row r="61" spans="1:4">
      <c r="A61" s="23" t="s">
        <v>155</v>
      </c>
      <c r="B61" s="25">
        <v>3</v>
      </c>
      <c r="C61" s="25">
        <v>1</v>
      </c>
      <c r="D61" s="26" t="s">
        <v>156</v>
      </c>
    </row>
    <row r="62" spans="1:4">
      <c r="A62" s="23" t="s">
        <v>153</v>
      </c>
      <c r="B62" s="24" t="s">
        <v>11</v>
      </c>
      <c r="C62" s="24" t="s">
        <v>83</v>
      </c>
      <c r="D62" s="24" t="s">
        <v>157</v>
      </c>
    </row>
    <row r="63" spans="1:4">
      <c r="A63" s="23" t="s">
        <v>158</v>
      </c>
      <c r="B63" s="24" t="s">
        <v>159</v>
      </c>
      <c r="C63" s="24" t="s">
        <v>11</v>
      </c>
      <c r="D63" s="24" t="s">
        <v>160</v>
      </c>
    </row>
    <row r="64" spans="1:4">
      <c r="A64" s="23" t="s">
        <v>155</v>
      </c>
      <c r="B64" s="24" t="s">
        <v>18</v>
      </c>
      <c r="C64" s="24" t="s">
        <v>11</v>
      </c>
      <c r="D64" s="24" t="s">
        <v>161</v>
      </c>
    </row>
    <row r="65" spans="1:4">
      <c r="A65" s="19" t="s">
        <v>135</v>
      </c>
      <c r="B65" s="20" t="s">
        <v>151</v>
      </c>
      <c r="C65" s="20" t="s">
        <v>52</v>
      </c>
      <c r="D65" s="20" t="s">
        <v>162</v>
      </c>
    </row>
    <row r="66" spans="1:4">
      <c r="A66" s="19" t="s">
        <v>138</v>
      </c>
      <c r="B66" s="20" t="s">
        <v>163</v>
      </c>
      <c r="C66" s="20" t="s">
        <v>164</v>
      </c>
      <c r="D66" s="20" t="s">
        <v>165</v>
      </c>
    </row>
    <row r="67" spans="1:4">
      <c r="A67" s="19">
        <v>40344030</v>
      </c>
      <c r="B67" s="20" t="s">
        <v>166</v>
      </c>
      <c r="C67" s="20" t="s">
        <v>91</v>
      </c>
      <c r="D67" s="20" t="s">
        <v>167</v>
      </c>
    </row>
    <row r="68" spans="1:4">
      <c r="A68" s="19" t="s">
        <v>138</v>
      </c>
      <c r="B68" s="20" t="s">
        <v>101</v>
      </c>
      <c r="C68" s="20" t="s">
        <v>91</v>
      </c>
      <c r="D68" s="20" t="s">
        <v>168</v>
      </c>
    </row>
    <row r="69" spans="1:4">
      <c r="A69" s="19" t="s">
        <v>169</v>
      </c>
      <c r="B69" s="20" t="s">
        <v>97</v>
      </c>
      <c r="C69" s="20" t="s">
        <v>18</v>
      </c>
      <c r="D69" s="20" t="s">
        <v>170</v>
      </c>
    </row>
    <row r="70" spans="1:4">
      <c r="A70" s="19" t="s">
        <v>169</v>
      </c>
      <c r="B70" s="20" t="s">
        <v>171</v>
      </c>
      <c r="C70" s="20" t="s">
        <v>34</v>
      </c>
      <c r="D70" s="20" t="s">
        <v>172</v>
      </c>
    </row>
    <row r="71" spans="1:4">
      <c r="A71" s="19">
        <v>40344038</v>
      </c>
      <c r="B71" s="20" t="s">
        <v>173</v>
      </c>
      <c r="C71" s="20" t="s">
        <v>99</v>
      </c>
      <c r="D71" s="20" t="s">
        <v>174</v>
      </c>
    </row>
    <row r="72" spans="1:4">
      <c r="A72" s="19">
        <v>40344030</v>
      </c>
      <c r="B72" s="20" t="s">
        <v>42</v>
      </c>
      <c r="C72" s="20" t="s">
        <v>83</v>
      </c>
      <c r="D72" s="20" t="s">
        <v>175</v>
      </c>
    </row>
    <row r="73" spans="1:4">
      <c r="A73" s="32">
        <v>40344048</v>
      </c>
      <c r="B73" s="25">
        <v>5</v>
      </c>
      <c r="C73" s="25">
        <v>0</v>
      </c>
      <c r="D73" s="25" t="s">
        <v>176</v>
      </c>
    </row>
    <row r="74" spans="1:4">
      <c r="A74" s="32">
        <v>40344040</v>
      </c>
      <c r="B74" s="33">
        <v>0.803472222222222</v>
      </c>
      <c r="C74" s="25">
        <v>4</v>
      </c>
      <c r="D74" s="25" t="s">
        <v>177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178</v>
      </c>
    </row>
    <row r="3" spans="1:2">
      <c r="A3" t="s">
        <v>179</v>
      </c>
      <c r="B3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2024-11-13T10:11:58Z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