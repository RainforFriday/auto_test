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1"/>
  </bookViews>
  <sheets>
    <sheet name="Register" sheetId="6" r:id="rId1"/>
    <sheet name="11B" sheetId="5" r:id="rId2"/>
    <sheet name="OFDM_H" sheetId="1" r:id="rId3"/>
    <sheet name="OFDM_L" sheetId="7" r:id="rId4"/>
    <sheet name="Sheet1" sheetId="8" r:id="rId5"/>
  </sheets>
  <calcPr calcId="144525"/>
</workbook>
</file>

<file path=xl/sharedStrings.xml><?xml version="1.0" encoding="utf-8"?>
<sst xmlns="http://schemas.openxmlformats.org/spreadsheetml/2006/main" count="721" uniqueCount="213">
  <si>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</si>
  <si>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</si>
  <si>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</si>
  <si>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</si>
  <si>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</si>
  <si>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</si>
  <si>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</si>
  <si>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</si>
  <si>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</si>
  <si>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</si>
  <si>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</si>
  <si>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</si>
  <si>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</si>
  <si>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</si>
  <si>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</si>
  <si>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</si>
  <si>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</si>
  <si>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</si>
  <si>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</si>
  <si>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</si>
  <si>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</si>
  <si>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</si>
  <si>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</si>
  <si>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</si>
  <si>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</si>
  <si>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</si>
  <si>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</si>
  <si>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</si>
  <si>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</si>
  <si>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</si>
  <si>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</si>
  <si>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</si>
  <si>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</si>
  <si>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</si>
  <si>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</si>
  <si>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</si>
  <si>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</si>
  <si>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</si>
  <si>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</si>
  <si>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</si>
  <si>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</si>
  <si>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</si>
  <si>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</si>
  <si>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</si>
  <si>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</si>
  <si>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</si>
  <si>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</si>
  <si>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</si>
  <si>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</si>
  <si>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</si>
  <si>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</si>
  <si>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</si>
  <si>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</si>
  <si>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</si>
  <si>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</si>
  <si>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</si>
  <si>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</si>
  <si>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</si>
  <si>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</si>
  <si>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</si>
  <si>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</si>
  <si>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</si>
  <si>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</si>
  <si>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</si>
  <si>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</si>
  <si>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</si>
  <si>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</si>
  <si>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</si>
  <si>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</si>
  <si>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</si>
  <si>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</si>
  <si>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</si>
  <si>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</si>
  <si>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</si>
  <si>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</si>
  <si>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</si>
  <si>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</si>
  <si>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</si>
  <si>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</si>
  <si>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</si>
  <si>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</si>
  <si>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</si>
  <si>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</si>
  <si>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</si>
  <si>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</si>
  <si>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</si>
  <si>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</si>
  <si>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</si>
  <si>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</si>
  <si>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</si>
  <si>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</si>
  <si>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</si>
  <si>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</si>
  <si>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</si>
  <si>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</si>
  <si>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</si>
  <si>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</si>
  <si>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</si>
  <si>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</si>
  <si>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</si>
  <si>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</si>
  <si>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</si>
  <si>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</si>
  <si>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</si>
  <si>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</si>
  <si>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</si>
  <si>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</si>
  <si>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</si>
  <si>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</si>
  <si>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</si>
  <si>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</si>
  <si>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</si>
  <si>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</si>
  <si>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</si>
  <si>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</si>
  <si>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</si>
  <si>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</si>
  <si>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</si>
  <si>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</si>
  <si>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</si>
  <si>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</si>
  <si>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</si>
  <si>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</si>
  <si>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</si>
  <si>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</si>
  <si>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</si>
  <si>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</si>
  <si>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</si>
  <si>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</si>
  <si>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</si>
  <si>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</si>
  <si>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</si>
  <si>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</si>
  <si>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</si>
  <si>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</si>
  <si>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</si>
  <si>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</si>
  <si>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</si>
  <si>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</si>
  <si>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</si>
  <si>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</si>
  <si>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</si>
  <si>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</si>
  <si>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</si>
  <si>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</si>
  <si>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</si>
  <si>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</si>
  <si>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</si>
  <si>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</si>
  <si>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</si>
  <si>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</si>
  <si>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</si>
  <si>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</si>
  <si>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</si>
  <si>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</si>
  <si>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</si>
  <si>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</si>
  <si>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</si>
  <si>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</si>
  <si>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</si>
  <si>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</si>
  <si>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</si>
  <si>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</si>
  <si>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</si>
  <si>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</si>
  <si>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</si>
  <si>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</si>
  <si>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</si>
  <si>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</si>
  <si>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</si>
  <si>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</si>
  <si>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</si>
  <si>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</si>
  <si>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</si>
  <si>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</si>
  <si>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</si>
  <si>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</si>
  <si>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</si>
  <si>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</si>
  <si>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</si>
  <si>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11</t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</si>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</sst>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8" fillId="16" borderId="2" applyNumberFormat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" fillId="7" borderId="0">
      <alignment vertical="center"/>
    </xf>
    <xf numFmtId="0" fontId="2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46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7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22" workbookViewId="0">
      <selection activeCell="H51" sqref="H51"/>
    </sheetView>
  </sheetViews>
  <sheetFormatPr defaultColWidth="9" defaultRowHeight="14.25"/>
  <cols>
    <col min="1" max="1" width="30.625" customWidth="1"/>
    <col min="2" max="2" width="9.375"/>
    <col min="10" max="10" width="30.375" customWidth="1"/>
  </cols>
  <sheetData>
    <row r="1" spans="1:9">
      <c r="A1" s="38" t="s">
        <v>0</v>
      </c>
      <c r="B1" s="10" t="s">
        <v>1</v>
      </c>
      <c r="C1" s="11" t="s">
        <v>2</v>
      </c>
      <c r="D1" s="27" t="s">
        <v>3</v>
      </c>
      <c r="I1" s="38"/>
    </row>
    <row r="2" spans="1:9">
      <c r="A2" s="40" t="s">
        <v>4</v>
      </c>
      <c r="B2" s="6" t="s">
        <v>5</v>
      </c>
      <c r="C2" s="41">
        <v>0.634722222222222</v>
      </c>
      <c r="D2" s="3" t="s">
        <v>6</v>
      </c>
      <c r="H2" s="22"/>
      <c r="I2" s="38"/>
    </row>
    <row r="3" spans="1:12">
      <c r="A3" s="40" t="s">
        <v>7</v>
      </c>
      <c r="B3" s="6" t="s">
        <v>8</v>
      </c>
      <c r="C3" s="41">
        <v>0.465277777777778</v>
      </c>
      <c r="D3" s="3" t="s">
        <v>6</v>
      </c>
      <c r="H3" s="22"/>
      <c r="J3" s="22"/>
      <c r="K3" s="22"/>
      <c r="L3" s="22"/>
    </row>
    <row r="4" spans="1:12">
      <c r="A4" s="19"/>
      <c r="B4" s="20"/>
      <c r="D4" s="21"/>
      <c r="H4" s="22"/>
      <c r="J4" s="22"/>
      <c r="K4" s="22"/>
      <c r="L4" s="22"/>
    </row>
    <row r="5" spans="1:1">
      <c r="A5" t="s">
        <v>9</v>
      </c>
    </row>
    <row r="6" spans="1:4">
      <c r="A6" s="6" t="s">
        <v>10</v>
      </c>
      <c r="B6" s="6" t="s">
        <v>11</v>
      </c>
      <c r="C6" s="6" t="s">
        <v>12</v>
      </c>
      <c r="D6" s="6" t="s">
        <v>13</v>
      </c>
    </row>
    <row r="7" spans="1:4">
      <c r="A7" s="6" t="s">
        <v>14</v>
      </c>
      <c r="B7" s="6" t="s">
        <v>15</v>
      </c>
      <c r="C7" s="6" t="s">
        <v>12</v>
      </c>
      <c r="D7" s="6" t="s">
        <v>13</v>
      </c>
    </row>
    <row r="8" spans="1:4">
      <c r="A8" s="6" t="s">
        <v>16</v>
      </c>
      <c r="B8" s="6" t="s">
        <v>5</v>
      </c>
      <c r="C8" s="6" t="s">
        <v>17</v>
      </c>
      <c r="D8" s="6" t="s">
        <v>13</v>
      </c>
    </row>
    <row r="9" spans="1:4">
      <c r="A9" s="6" t="s">
        <v>18</v>
      </c>
      <c r="B9" s="6" t="s">
        <v>8</v>
      </c>
      <c r="C9" s="6" t="s">
        <v>19</v>
      </c>
      <c r="D9" s="6" t="s">
        <v>13</v>
      </c>
    </row>
    <row r="10" spans="1:4">
      <c r="A10" s="6" t="s">
        <v>20</v>
      </c>
      <c r="B10" s="6" t="s">
        <v>21</v>
      </c>
      <c r="C10" s="6" t="s">
        <v>22</v>
      </c>
      <c r="D10" s="6" t="s">
        <v>23</v>
      </c>
    </row>
    <row r="11" spans="1:4">
      <c r="A11" s="6" t="s">
        <v>24</v>
      </c>
      <c r="B11" s="6" t="s">
        <v>25</v>
      </c>
      <c r="C11" s="6" t="s">
        <v>26</v>
      </c>
      <c r="D11" s="6" t="s">
        <v>23</v>
      </c>
    </row>
    <row r="12" spans="1:4">
      <c r="A12" s="6" t="s">
        <v>27</v>
      </c>
      <c r="B12" s="6" t="s">
        <v>28</v>
      </c>
      <c r="C12" s="6" t="s">
        <v>29</v>
      </c>
      <c r="D12" s="6" t="s">
        <v>6</v>
      </c>
    </row>
    <row r="13" spans="1:4">
      <c r="A13" s="6" t="s">
        <v>30</v>
      </c>
      <c r="B13" s="6" t="s">
        <v>28</v>
      </c>
      <c r="C13" s="6" t="s">
        <v>31</v>
      </c>
      <c r="D13" s="6" t="s">
        <v>32</v>
      </c>
    </row>
    <row r="14" spans="1:4">
      <c r="A14" s="6" t="s">
        <v>33</v>
      </c>
      <c r="B14" s="6" t="s">
        <v>28</v>
      </c>
      <c r="C14" s="6" t="s">
        <v>22</v>
      </c>
      <c r="D14" s="6" t="s">
        <v>13</v>
      </c>
    </row>
    <row r="15" spans="1:4">
      <c r="A15" s="6" t="s">
        <v>34</v>
      </c>
      <c r="B15" s="6" t="s">
        <v>11</v>
      </c>
      <c r="C15" s="6" t="s">
        <v>35</v>
      </c>
      <c r="D15" s="6" t="s">
        <v>13</v>
      </c>
    </row>
    <row r="16" spans="1:4">
      <c r="A16" s="6" t="s">
        <v>36</v>
      </c>
      <c r="B16" s="6" t="s">
        <v>11</v>
      </c>
      <c r="C16" s="6" t="s">
        <v>37</v>
      </c>
      <c r="D16" s="6" t="s">
        <v>6</v>
      </c>
    </row>
    <row r="17" spans="1:4">
      <c r="A17" s="6" t="s">
        <v>38</v>
      </c>
      <c r="B17" s="6" t="s">
        <v>11</v>
      </c>
      <c r="C17" s="6" t="s">
        <v>39</v>
      </c>
      <c r="D17" s="6" t="s">
        <v>32</v>
      </c>
    </row>
    <row r="18" spans="1:4">
      <c r="A18" s="6" t="s">
        <v>40</v>
      </c>
      <c r="B18" s="6" t="s">
        <v>11</v>
      </c>
      <c r="C18" s="6" t="s">
        <v>41</v>
      </c>
      <c r="D18" s="6" t="s">
        <v>42</v>
      </c>
    </row>
    <row r="19" spans="1:4">
      <c r="A19" s="6" t="s">
        <v>43</v>
      </c>
      <c r="B19" s="6" t="s">
        <v>44</v>
      </c>
      <c r="C19" s="6" t="s">
        <v>29</v>
      </c>
      <c r="D19" s="6" t="s">
        <v>6</v>
      </c>
    </row>
    <row r="20" spans="1:4">
      <c r="A20" s="6" t="s">
        <v>45</v>
      </c>
      <c r="B20" s="6" t="s">
        <v>44</v>
      </c>
      <c r="C20" s="6" t="s">
        <v>31</v>
      </c>
      <c r="D20" s="6" t="s">
        <v>32</v>
      </c>
    </row>
    <row r="21" spans="1:4">
      <c r="A21" s="6" t="s">
        <v>46</v>
      </c>
      <c r="B21" s="6" t="s">
        <v>44</v>
      </c>
      <c r="C21" s="6" t="s">
        <v>22</v>
      </c>
      <c r="D21" s="6" t="s">
        <v>13</v>
      </c>
    </row>
    <row r="22" spans="1:4">
      <c r="A22" s="6" t="s">
        <v>47</v>
      </c>
      <c r="B22" s="6" t="s">
        <v>15</v>
      </c>
      <c r="C22" s="6" t="s">
        <v>35</v>
      </c>
      <c r="D22" s="6" t="s">
        <v>13</v>
      </c>
    </row>
    <row r="23" spans="1:4">
      <c r="A23" s="6" t="s">
        <v>48</v>
      </c>
      <c r="B23" s="6" t="s">
        <v>15</v>
      </c>
      <c r="C23" s="6" t="s">
        <v>37</v>
      </c>
      <c r="D23" s="6" t="s">
        <v>6</v>
      </c>
    </row>
    <row r="24" spans="1:4">
      <c r="A24" s="6" t="s">
        <v>49</v>
      </c>
      <c r="B24" s="6" t="s">
        <v>15</v>
      </c>
      <c r="C24" s="6" t="s">
        <v>39</v>
      </c>
      <c r="D24" s="6" t="s">
        <v>32</v>
      </c>
    </row>
    <row r="25" spans="1:4">
      <c r="A25" s="6" t="s">
        <v>50</v>
      </c>
      <c r="B25" s="6" t="s">
        <v>15</v>
      </c>
      <c r="C25" s="6" t="s">
        <v>41</v>
      </c>
      <c r="D25" s="6" t="s">
        <v>42</v>
      </c>
    </row>
    <row r="27" spans="1:1">
      <c r="A27" t="s">
        <v>51</v>
      </c>
    </row>
    <row r="28" spans="1:9">
      <c r="A28" s="42" t="s">
        <v>52</v>
      </c>
      <c r="B28" s="42" t="s">
        <v>5</v>
      </c>
      <c r="C28" s="42" t="s">
        <v>53</v>
      </c>
      <c r="D28" s="42" t="s">
        <v>54</v>
      </c>
      <c r="E28" s="22"/>
      <c r="F28" s="22"/>
      <c r="G28" s="22"/>
      <c r="H28" s="22"/>
      <c r="I28" s="22"/>
    </row>
    <row r="29" spans="1:9">
      <c r="A29" s="42" t="s">
        <v>55</v>
      </c>
      <c r="B29" s="42" t="s">
        <v>8</v>
      </c>
      <c r="C29" s="42" t="s">
        <v>56</v>
      </c>
      <c r="D29" s="42" t="s">
        <v>54</v>
      </c>
      <c r="E29" s="22"/>
      <c r="F29" s="22"/>
      <c r="G29" s="22"/>
      <c r="H29" s="22"/>
      <c r="I29" s="22"/>
    </row>
    <row r="30" spans="1:9">
      <c r="A30" s="42" t="s">
        <v>57</v>
      </c>
      <c r="B30" s="42" t="s">
        <v>58</v>
      </c>
      <c r="C30" s="42" t="s">
        <v>59</v>
      </c>
      <c r="D30" s="42" t="s">
        <v>54</v>
      </c>
      <c r="E30" s="22"/>
      <c r="F30" s="22"/>
      <c r="G30" s="22"/>
      <c r="H30" s="22"/>
      <c r="I30" s="22"/>
    </row>
    <row r="31" spans="1:9">
      <c r="A31" s="42" t="s">
        <v>60</v>
      </c>
      <c r="B31" s="42" t="s">
        <v>61</v>
      </c>
      <c r="C31" s="42" t="s">
        <v>59</v>
      </c>
      <c r="D31" s="42" t="s">
        <v>54</v>
      </c>
      <c r="E31" s="22"/>
      <c r="F31" s="22"/>
      <c r="G31" s="22"/>
      <c r="H31" s="22"/>
      <c r="I31" s="22"/>
    </row>
    <row r="32" spans="1:9">
      <c r="A32" s="22"/>
      <c r="B32" s="22"/>
      <c r="C32" s="22"/>
      <c r="D32" s="22"/>
      <c r="E32" s="22"/>
      <c r="F32" s="22"/>
      <c r="G32" s="22"/>
      <c r="H32" s="22"/>
      <c r="I32" s="22"/>
    </row>
    <row r="33" spans="1:9">
      <c r="A33" s="22"/>
      <c r="B33" s="22"/>
      <c r="C33" s="22"/>
      <c r="D33" s="22"/>
      <c r="E33" s="22"/>
      <c r="F33" s="22"/>
      <c r="G33" s="22"/>
      <c r="H33" s="22"/>
      <c r="I33" s="22"/>
    </row>
    <row r="34" spans="1:9">
      <c r="A34" s="43" t="s">
        <v>62</v>
      </c>
      <c r="B34" s="43"/>
      <c r="C34" s="43"/>
      <c r="D34" s="43"/>
      <c r="E34" s="22"/>
      <c r="F34" s="22"/>
      <c r="G34" s="22"/>
      <c r="H34" s="22"/>
      <c r="I34" s="22"/>
    </row>
    <row r="35" spans="1:9">
      <c r="A35" s="42" t="s">
        <v>63</v>
      </c>
      <c r="B35" s="42" t="s">
        <v>64</v>
      </c>
      <c r="C35" s="42" t="s">
        <v>65</v>
      </c>
      <c r="D35" s="42" t="s">
        <v>6</v>
      </c>
      <c r="E35" s="22"/>
      <c r="F35" s="22"/>
      <c r="G35" s="22"/>
      <c r="H35" s="22"/>
      <c r="I35" s="22"/>
    </row>
    <row r="36" spans="1:9">
      <c r="A36" s="42" t="s">
        <v>66</v>
      </c>
      <c r="B36" s="42" t="s">
        <v>67</v>
      </c>
      <c r="C36" s="42" t="s">
        <v>65</v>
      </c>
      <c r="D36" s="42" t="s">
        <v>6</v>
      </c>
      <c r="E36" s="22"/>
      <c r="F36" s="22"/>
      <c r="G36" s="22"/>
      <c r="H36" s="22"/>
      <c r="I36" s="22"/>
    </row>
    <row r="37" spans="1:9">
      <c r="A37" s="22"/>
      <c r="B37" s="22"/>
      <c r="C37" s="22"/>
      <c r="D37" s="22"/>
      <c r="E37" s="22"/>
      <c r="F37" s="22"/>
      <c r="G37" s="22"/>
      <c r="H37" s="22"/>
      <c r="I37" s="22"/>
    </row>
    <row r="38" spans="1:9">
      <c r="A38" s="43" t="s">
        <v>68</v>
      </c>
      <c r="B38" s="43"/>
      <c r="C38" s="43"/>
      <c r="D38" s="43"/>
      <c r="E38" s="22"/>
      <c r="F38" s="22"/>
      <c r="G38" s="22"/>
      <c r="H38" s="22"/>
      <c r="I38" s="22"/>
    </row>
    <row r="39" spans="1:9">
      <c r="A39" s="42" t="s">
        <v>38</v>
      </c>
      <c r="B39" s="42" t="s">
        <v>11</v>
      </c>
      <c r="C39" s="42" t="s">
        <v>39</v>
      </c>
      <c r="D39" s="42" t="s">
        <v>23</v>
      </c>
      <c r="E39" s="44" t="s">
        <v>69</v>
      </c>
      <c r="F39" s="22"/>
      <c r="G39" s="22"/>
      <c r="H39" s="22"/>
      <c r="I39" s="22"/>
    </row>
    <row r="40" spans="1:9">
      <c r="A40" s="42" t="s">
        <v>36</v>
      </c>
      <c r="B40" s="42" t="s">
        <v>11</v>
      </c>
      <c r="C40" s="42" t="s">
        <v>37</v>
      </c>
      <c r="D40" s="42" t="s">
        <v>6</v>
      </c>
      <c r="E40" s="45"/>
      <c r="F40" s="22"/>
      <c r="G40" s="22"/>
      <c r="H40" s="22"/>
      <c r="I40" s="22"/>
    </row>
    <row r="41" spans="1:9">
      <c r="A41" s="42" t="s">
        <v>33</v>
      </c>
      <c r="B41" s="42" t="s">
        <v>28</v>
      </c>
      <c r="C41" s="42" t="s">
        <v>22</v>
      </c>
      <c r="D41" s="42" t="s">
        <v>13</v>
      </c>
      <c r="E41" s="45"/>
      <c r="F41" s="22"/>
      <c r="G41" s="22"/>
      <c r="H41" s="22"/>
      <c r="I41" s="22"/>
    </row>
    <row r="42" spans="1:9">
      <c r="A42" s="42" t="s">
        <v>70</v>
      </c>
      <c r="B42" s="42" t="s">
        <v>71</v>
      </c>
      <c r="C42" s="42" t="s">
        <v>72</v>
      </c>
      <c r="D42" s="42" t="s">
        <v>73</v>
      </c>
      <c r="E42" s="45"/>
      <c r="F42" s="22"/>
      <c r="G42" s="22"/>
      <c r="H42" s="22"/>
      <c r="I42" s="22"/>
    </row>
    <row r="43" spans="1:9">
      <c r="A43" s="42" t="s">
        <v>74</v>
      </c>
      <c r="B43" s="42" t="s">
        <v>71</v>
      </c>
      <c r="C43" s="42" t="s">
        <v>75</v>
      </c>
      <c r="D43" s="42" t="s">
        <v>6</v>
      </c>
      <c r="E43" s="45"/>
      <c r="F43" s="22"/>
      <c r="G43" s="22"/>
      <c r="H43" s="22"/>
      <c r="I43" s="22"/>
    </row>
    <row r="44" spans="1:9">
      <c r="A44" s="42" t="s">
        <v>27</v>
      </c>
      <c r="B44" s="42" t="s">
        <v>28</v>
      </c>
      <c r="C44" s="42" t="s">
        <v>29</v>
      </c>
      <c r="D44" s="42" t="s">
        <v>54</v>
      </c>
      <c r="E44" s="45"/>
      <c r="F44" s="22"/>
      <c r="G44" s="22"/>
      <c r="H44" s="22"/>
      <c r="I44" s="22"/>
    </row>
    <row r="45" spans="1:9">
      <c r="A45" s="42" t="s">
        <v>30</v>
      </c>
      <c r="B45" s="42" t="s">
        <v>28</v>
      </c>
      <c r="C45" s="42" t="s">
        <v>31</v>
      </c>
      <c r="D45" s="42" t="s">
        <v>54</v>
      </c>
      <c r="E45" s="45"/>
      <c r="F45" s="22"/>
      <c r="G45" s="22"/>
      <c r="H45" s="22"/>
      <c r="I45" s="22"/>
    </row>
    <row r="46" spans="1:9">
      <c r="A46" s="42" t="s">
        <v>34</v>
      </c>
      <c r="B46" s="42" t="s">
        <v>11</v>
      </c>
      <c r="C46" s="42" t="s">
        <v>35</v>
      </c>
      <c r="D46" s="42" t="s">
        <v>13</v>
      </c>
      <c r="E46" s="45"/>
      <c r="F46" s="22"/>
      <c r="G46" s="22"/>
      <c r="H46" s="22"/>
      <c r="I46" s="22"/>
    </row>
    <row r="47" spans="1:9">
      <c r="A47" s="42" t="s">
        <v>49</v>
      </c>
      <c r="B47" s="42" t="s">
        <v>15</v>
      </c>
      <c r="C47" s="42" t="s">
        <v>39</v>
      </c>
      <c r="D47" s="42" t="s">
        <v>23</v>
      </c>
      <c r="E47" s="45"/>
      <c r="F47" s="22"/>
      <c r="G47" s="22"/>
      <c r="H47" s="22"/>
      <c r="I47" s="22"/>
    </row>
    <row r="48" spans="1:9">
      <c r="A48" s="42" t="s">
        <v>48</v>
      </c>
      <c r="B48" s="42" t="s">
        <v>15</v>
      </c>
      <c r="C48" s="42" t="s">
        <v>37</v>
      </c>
      <c r="D48" s="42" t="s">
        <v>6</v>
      </c>
      <c r="E48" s="45"/>
      <c r="F48" s="22"/>
      <c r="G48" s="22"/>
      <c r="H48" s="22"/>
      <c r="I48" s="22"/>
    </row>
    <row r="49" spans="1:9">
      <c r="A49" s="42" t="s">
        <v>46</v>
      </c>
      <c r="B49" s="42" t="s">
        <v>44</v>
      </c>
      <c r="C49" s="42" t="s">
        <v>22</v>
      </c>
      <c r="D49" s="42" t="s">
        <v>13</v>
      </c>
      <c r="E49" s="45"/>
      <c r="F49" s="22"/>
      <c r="G49" s="22"/>
      <c r="H49" s="22"/>
      <c r="I49" s="22"/>
    </row>
    <row r="50" spans="1:9">
      <c r="A50" s="42" t="s">
        <v>76</v>
      </c>
      <c r="B50" s="42" t="s">
        <v>77</v>
      </c>
      <c r="C50" s="42" t="s">
        <v>72</v>
      </c>
      <c r="D50" s="42" t="s">
        <v>73</v>
      </c>
      <c r="E50" s="45"/>
      <c r="F50" s="22"/>
      <c r="G50" s="22"/>
      <c r="H50" s="22"/>
      <c r="I50" s="22"/>
    </row>
    <row r="51" spans="1:9">
      <c r="A51" s="42" t="s">
        <v>78</v>
      </c>
      <c r="B51" s="42" t="s">
        <v>77</v>
      </c>
      <c r="C51" s="42" t="s">
        <v>75</v>
      </c>
      <c r="D51" s="42" t="s">
        <v>6</v>
      </c>
      <c r="E51" s="45"/>
      <c r="F51" s="22"/>
      <c r="G51" s="22"/>
      <c r="H51" s="22"/>
      <c r="I51" s="22"/>
    </row>
    <row r="52" spans="1:9">
      <c r="A52" s="42" t="s">
        <v>43</v>
      </c>
      <c r="B52" s="42" t="s">
        <v>44</v>
      </c>
      <c r="C52" s="42" t="s">
        <v>29</v>
      </c>
      <c r="D52" s="42" t="s">
        <v>54</v>
      </c>
      <c r="E52" s="45"/>
      <c r="F52" s="22"/>
      <c r="G52" s="22"/>
      <c r="H52" s="22"/>
      <c r="I52" s="22"/>
    </row>
    <row r="53" spans="1:9">
      <c r="A53" s="42" t="s">
        <v>45</v>
      </c>
      <c r="B53" s="42" t="s">
        <v>44</v>
      </c>
      <c r="C53" s="42" t="s">
        <v>31</v>
      </c>
      <c r="D53" s="42" t="s">
        <v>54</v>
      </c>
      <c r="E53" s="45"/>
      <c r="F53" s="22"/>
      <c r="G53" s="22"/>
      <c r="H53" s="22"/>
      <c r="I53" s="22"/>
    </row>
    <row r="54" spans="1:9">
      <c r="A54" s="42" t="s">
        <v>47</v>
      </c>
      <c r="B54" s="42" t="s">
        <v>15</v>
      </c>
      <c r="C54" s="42" t="s">
        <v>35</v>
      </c>
      <c r="D54" s="42" t="s">
        <v>13</v>
      </c>
      <c r="E54" s="45"/>
      <c r="F54" s="22"/>
      <c r="G54" s="22"/>
      <c r="H54" s="22"/>
      <c r="I54" s="22"/>
    </row>
    <row r="55" spans="1:9">
      <c r="A55" s="22"/>
      <c r="B55" s="22"/>
      <c r="C55" s="22"/>
      <c r="D55" s="22"/>
      <c r="E55" s="22"/>
      <c r="F55" s="22"/>
      <c r="G55" s="22"/>
      <c r="H55" s="22"/>
      <c r="I55" s="22"/>
    </row>
    <row r="56" spans="1:9">
      <c r="A56" s="22"/>
      <c r="B56" s="22"/>
      <c r="C56" s="22"/>
      <c r="D56" s="22"/>
      <c r="E56" s="22"/>
      <c r="F56" s="22"/>
      <c r="G56" s="22"/>
      <c r="H56" s="22"/>
      <c r="I56" s="22"/>
    </row>
    <row r="57" spans="1:9">
      <c r="A57" s="22"/>
      <c r="B57" s="22"/>
      <c r="C57" s="22"/>
      <c r="D57" s="22"/>
      <c r="E57" s="22"/>
      <c r="F57" s="22"/>
      <c r="G57" s="22"/>
      <c r="H57" s="22"/>
      <c r="I57" s="22"/>
    </row>
    <row r="58" spans="1:9">
      <c r="A58" s="22"/>
      <c r="B58" s="22"/>
      <c r="C58" s="22"/>
      <c r="D58" s="22"/>
      <c r="E58" s="22"/>
      <c r="F58" s="22"/>
      <c r="G58" s="22"/>
      <c r="H58" s="22"/>
      <c r="I58" s="22"/>
    </row>
    <row r="59" spans="1:9">
      <c r="A59" s="22"/>
      <c r="B59" s="22"/>
      <c r="C59" s="22"/>
      <c r="D59" s="22"/>
      <c r="E59" s="22"/>
      <c r="F59" s="22"/>
      <c r="G59" s="22"/>
      <c r="H59" s="22"/>
      <c r="I59" s="22"/>
    </row>
    <row r="60" spans="1:9">
      <c r="A60" s="22"/>
      <c r="B60" s="22"/>
      <c r="C60" s="22"/>
      <c r="D60" s="22"/>
      <c r="E60" s="22"/>
      <c r="F60" s="22"/>
      <c r="G60" s="22"/>
      <c r="H60" s="22"/>
      <c r="I60" s="22"/>
    </row>
    <row r="61" spans="1:9">
      <c r="A61" s="22"/>
      <c r="B61" s="22"/>
      <c r="C61" s="22"/>
      <c r="D61" s="22"/>
      <c r="E61" s="22"/>
      <c r="F61" s="22"/>
      <c r="G61" s="22"/>
      <c r="H61" s="22"/>
      <c r="I61" s="22"/>
    </row>
    <row r="62" spans="1:9">
      <c r="A62" s="22"/>
      <c r="B62" s="22"/>
      <c r="C62" s="22"/>
      <c r="D62" s="22"/>
      <c r="E62" s="22"/>
      <c r="F62" s="22"/>
      <c r="G62" s="22"/>
      <c r="H62" s="22"/>
      <c r="I62" s="22"/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</sheetData>
  <mergeCells count="1">
    <mergeCell ref="E39:E5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B37" sqref="B37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88</v>
      </c>
      <c r="W1" s="30"/>
      <c r="X1" s="30"/>
    </row>
    <row r="2" spans="1:26">
      <c r="A2" s="2" t="s">
        <v>89</v>
      </c>
      <c r="B2" s="3" t="s">
        <v>90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91</v>
      </c>
      <c r="X2" s="32" t="str">
        <f>S32</f>
        <v>87701C4</v>
      </c>
      <c r="Y2" t="str">
        <f>"0x"&amp;RIGHT("00000000"&amp;X2,8)&amp;","</f>
        <v>0x087701C4,</v>
      </c>
      <c r="Z2" s="30" t="s">
        <v>92</v>
      </c>
    </row>
    <row r="3" spans="1:26">
      <c r="A3" s="5" t="s">
        <v>93</v>
      </c>
      <c r="B3" s="6" t="s">
        <v>94</v>
      </c>
      <c r="C3" s="4">
        <v>5</v>
      </c>
      <c r="D3" s="36">
        <v>3</v>
      </c>
      <c r="E3" s="36">
        <v>3</v>
      </c>
      <c r="F3" s="36">
        <v>3</v>
      </c>
      <c r="G3" s="36">
        <v>3</v>
      </c>
      <c r="H3" s="36">
        <v>3</v>
      </c>
      <c r="I3" s="36">
        <v>3</v>
      </c>
      <c r="J3" s="36">
        <v>3</v>
      </c>
      <c r="K3" s="36">
        <v>3</v>
      </c>
      <c r="L3" s="36">
        <v>3</v>
      </c>
      <c r="M3" s="36">
        <v>3</v>
      </c>
      <c r="N3" s="36">
        <v>3</v>
      </c>
      <c r="O3" s="36">
        <v>3</v>
      </c>
      <c r="P3" s="36">
        <v>3</v>
      </c>
      <c r="Q3" s="36">
        <v>3</v>
      </c>
      <c r="R3" s="36">
        <v>3</v>
      </c>
      <c r="S3" s="36">
        <v>3</v>
      </c>
      <c r="V3" s="31"/>
      <c r="W3" s="30" t="s">
        <v>95</v>
      </c>
      <c r="X3" s="32" t="str">
        <f>S31</f>
        <v>A269DADB</v>
      </c>
      <c r="Y3" t="str">
        <f t="shared" ref="Y3:Y49" si="0">"0x"&amp;RIGHT("00000000"&amp;X3,8)&amp;","</f>
        <v>0xA269DADB,</v>
      </c>
      <c r="Z3" s="30"/>
    </row>
    <row r="4" spans="1:26">
      <c r="A4" s="5" t="s">
        <v>96</v>
      </c>
      <c r="B4" s="6" t="s">
        <v>97</v>
      </c>
      <c r="C4" s="4">
        <v>6</v>
      </c>
      <c r="D4" s="36">
        <v>28</v>
      </c>
      <c r="E4" s="36">
        <v>28</v>
      </c>
      <c r="F4" s="36">
        <v>28</v>
      </c>
      <c r="G4" s="36">
        <v>28</v>
      </c>
      <c r="H4" s="36">
        <v>28</v>
      </c>
      <c r="I4" s="36">
        <v>28</v>
      </c>
      <c r="J4" s="36">
        <v>28</v>
      </c>
      <c r="K4" s="36">
        <v>28</v>
      </c>
      <c r="L4" s="36">
        <v>28</v>
      </c>
      <c r="M4" s="36">
        <v>28</v>
      </c>
      <c r="N4" s="36">
        <v>28</v>
      </c>
      <c r="O4" s="36">
        <v>28</v>
      </c>
      <c r="P4" s="36">
        <v>28</v>
      </c>
      <c r="Q4" s="36">
        <v>28</v>
      </c>
      <c r="R4" s="36">
        <v>28</v>
      </c>
      <c r="S4" s="36">
        <v>28</v>
      </c>
      <c r="V4" s="31"/>
      <c r="W4" s="30" t="s">
        <v>98</v>
      </c>
      <c r="X4" s="32" t="str">
        <f>S30</f>
        <v>DC919</v>
      </c>
      <c r="Y4" t="str">
        <f t="shared" si="0"/>
        <v>0x000DC919,</v>
      </c>
      <c r="Z4" s="30"/>
    </row>
    <row r="5" spans="1:26">
      <c r="A5" s="5" t="s">
        <v>99</v>
      </c>
      <c r="B5" s="6" t="s">
        <v>100</v>
      </c>
      <c r="C5" s="4">
        <v>6</v>
      </c>
      <c r="D5" s="36">
        <v>36</v>
      </c>
      <c r="E5" s="36">
        <v>36</v>
      </c>
      <c r="F5" s="36">
        <v>36</v>
      </c>
      <c r="G5" s="36">
        <v>36</v>
      </c>
      <c r="H5" s="36">
        <v>36</v>
      </c>
      <c r="I5" s="36">
        <v>36</v>
      </c>
      <c r="J5" s="36">
        <v>36</v>
      </c>
      <c r="K5" s="36">
        <v>36</v>
      </c>
      <c r="L5" s="36">
        <v>36</v>
      </c>
      <c r="M5" s="36">
        <v>36</v>
      </c>
      <c r="N5" s="36">
        <v>36</v>
      </c>
      <c r="O5" s="36">
        <v>36</v>
      </c>
      <c r="P5" s="36">
        <v>36</v>
      </c>
      <c r="Q5" s="36">
        <v>36</v>
      </c>
      <c r="R5" s="36">
        <v>36</v>
      </c>
      <c r="S5" s="36">
        <v>36</v>
      </c>
      <c r="V5" s="31">
        <v>1</v>
      </c>
      <c r="W5" s="30" t="s">
        <v>91</v>
      </c>
      <c r="X5" s="32" t="str">
        <f>R32</f>
        <v>8770085</v>
      </c>
      <c r="Y5" t="str">
        <f t="shared" si="0"/>
        <v>0x08770085,</v>
      </c>
      <c r="Z5" s="30" t="s">
        <v>101</v>
      </c>
    </row>
    <row r="6" spans="1:26">
      <c r="A6" s="5" t="s">
        <v>102</v>
      </c>
      <c r="B6" s="6" t="s">
        <v>103</v>
      </c>
      <c r="C6" s="4">
        <v>6</v>
      </c>
      <c r="D6" s="36">
        <v>25</v>
      </c>
      <c r="E6" s="36">
        <v>25</v>
      </c>
      <c r="F6" s="36">
        <v>25</v>
      </c>
      <c r="G6" s="36">
        <v>25</v>
      </c>
      <c r="H6" s="36">
        <v>25</v>
      </c>
      <c r="I6" s="36">
        <v>25</v>
      </c>
      <c r="J6" s="36">
        <v>25</v>
      </c>
      <c r="K6" s="36">
        <v>25</v>
      </c>
      <c r="L6" s="36">
        <v>25</v>
      </c>
      <c r="M6" s="36">
        <v>25</v>
      </c>
      <c r="N6" s="36">
        <v>25</v>
      </c>
      <c r="O6" s="36">
        <v>25</v>
      </c>
      <c r="P6" s="36">
        <v>25</v>
      </c>
      <c r="Q6" s="36">
        <v>25</v>
      </c>
      <c r="R6" s="36">
        <v>25</v>
      </c>
      <c r="S6" s="36">
        <v>25</v>
      </c>
      <c r="V6" s="31"/>
      <c r="W6" s="30" t="s">
        <v>95</v>
      </c>
      <c r="X6" s="32" t="str">
        <f>R31</f>
        <v>A26DDADB</v>
      </c>
      <c r="Y6" t="str">
        <f t="shared" si="0"/>
        <v>0xA26DDADB,</v>
      </c>
      <c r="Z6" s="30"/>
    </row>
    <row r="7" spans="1:26">
      <c r="A7" s="2" t="s">
        <v>104</v>
      </c>
      <c r="B7" s="6" t="s">
        <v>105</v>
      </c>
      <c r="C7" s="4">
        <v>4</v>
      </c>
      <c r="D7" s="37">
        <v>10</v>
      </c>
      <c r="E7" s="37">
        <v>10</v>
      </c>
      <c r="F7" s="37">
        <v>10</v>
      </c>
      <c r="G7" s="37">
        <v>10</v>
      </c>
      <c r="H7" s="37">
        <v>10</v>
      </c>
      <c r="I7" s="37">
        <v>10</v>
      </c>
      <c r="J7" s="37">
        <v>10</v>
      </c>
      <c r="K7" s="37">
        <v>10</v>
      </c>
      <c r="L7" s="37">
        <v>10</v>
      </c>
      <c r="M7" s="37">
        <v>10</v>
      </c>
      <c r="N7" s="37">
        <v>10</v>
      </c>
      <c r="O7" s="37">
        <v>10</v>
      </c>
      <c r="P7" s="37">
        <v>10</v>
      </c>
      <c r="Q7" s="37">
        <v>10</v>
      </c>
      <c r="R7" s="37">
        <v>10</v>
      </c>
      <c r="S7" s="37">
        <v>10</v>
      </c>
      <c r="V7" s="31"/>
      <c r="W7" s="30" t="s">
        <v>98</v>
      </c>
      <c r="X7" s="32" t="str">
        <f>R30</f>
        <v>DC919</v>
      </c>
      <c r="Y7" t="str">
        <f t="shared" si="0"/>
        <v>0x000DC919,</v>
      </c>
      <c r="Z7" s="30"/>
    </row>
    <row r="8" spans="1:26">
      <c r="A8" s="2" t="s">
        <v>106</v>
      </c>
      <c r="B8" s="6" t="s">
        <v>107</v>
      </c>
      <c r="C8" s="4">
        <v>4</v>
      </c>
      <c r="D8" s="37">
        <v>2</v>
      </c>
      <c r="E8" s="37">
        <v>2</v>
      </c>
      <c r="F8" s="37">
        <v>2</v>
      </c>
      <c r="G8" s="37">
        <v>2</v>
      </c>
      <c r="H8" s="37">
        <v>2</v>
      </c>
      <c r="I8" s="37">
        <v>2</v>
      </c>
      <c r="J8" s="37">
        <v>2</v>
      </c>
      <c r="K8" s="37">
        <v>2</v>
      </c>
      <c r="L8" s="37">
        <v>2</v>
      </c>
      <c r="M8" s="37">
        <v>2</v>
      </c>
      <c r="N8" s="37">
        <v>2</v>
      </c>
      <c r="O8" s="37">
        <v>2</v>
      </c>
      <c r="P8" s="37">
        <v>2</v>
      </c>
      <c r="Q8" s="37">
        <v>2</v>
      </c>
      <c r="R8" s="37">
        <v>2</v>
      </c>
      <c r="S8" s="37">
        <v>2</v>
      </c>
      <c r="V8" s="31">
        <v>2</v>
      </c>
      <c r="W8" s="30" t="s">
        <v>91</v>
      </c>
      <c r="X8" s="32" t="str">
        <f>Q32</f>
        <v>87700A6</v>
      </c>
      <c r="Y8" t="str">
        <f t="shared" si="0"/>
        <v>0x087700A6,</v>
      </c>
      <c r="Z8" s="30" t="s">
        <v>108</v>
      </c>
    </row>
    <row r="9" spans="1:26">
      <c r="A9" s="8" t="s">
        <v>109</v>
      </c>
      <c r="B9" s="6" t="s">
        <v>110</v>
      </c>
      <c r="C9" s="4">
        <v>3</v>
      </c>
      <c r="D9" s="36">
        <v>3</v>
      </c>
      <c r="E9" s="36">
        <v>3</v>
      </c>
      <c r="F9" s="36">
        <v>3</v>
      </c>
      <c r="G9" s="36">
        <v>3</v>
      </c>
      <c r="H9" s="36">
        <v>3</v>
      </c>
      <c r="I9" s="36">
        <v>3</v>
      </c>
      <c r="J9" s="36">
        <v>3</v>
      </c>
      <c r="K9" s="36">
        <v>3</v>
      </c>
      <c r="L9" s="36">
        <v>3</v>
      </c>
      <c r="M9" s="36">
        <v>3</v>
      </c>
      <c r="N9" s="36">
        <v>6</v>
      </c>
      <c r="O9" s="36">
        <v>3</v>
      </c>
      <c r="P9" s="36">
        <v>3</v>
      </c>
      <c r="Q9" s="36">
        <v>3</v>
      </c>
      <c r="R9" s="36">
        <v>3</v>
      </c>
      <c r="S9" s="36">
        <v>3</v>
      </c>
      <c r="V9" s="31"/>
      <c r="W9" s="30" t="s">
        <v>95</v>
      </c>
      <c r="X9" s="32" t="str">
        <f>Q31</f>
        <v>A26DDADB</v>
      </c>
      <c r="Y9" t="str">
        <f t="shared" si="0"/>
        <v>0xA26DDADB,</v>
      </c>
      <c r="Z9" s="30"/>
    </row>
    <row r="10" spans="1:26">
      <c r="A10" s="8" t="s">
        <v>111</v>
      </c>
      <c r="B10" s="6" t="s">
        <v>112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15</v>
      </c>
      <c r="I10" s="36">
        <v>14</v>
      </c>
      <c r="J10" s="36">
        <v>14</v>
      </c>
      <c r="K10" s="36">
        <v>12</v>
      </c>
      <c r="L10" s="36">
        <v>12</v>
      </c>
      <c r="M10" s="36">
        <v>9</v>
      </c>
      <c r="N10" s="36">
        <v>9</v>
      </c>
      <c r="O10" s="36">
        <v>8</v>
      </c>
      <c r="P10" s="36">
        <v>8</v>
      </c>
      <c r="Q10" s="36">
        <v>6</v>
      </c>
      <c r="R10" s="36">
        <v>6</v>
      </c>
      <c r="S10" s="36">
        <v>4</v>
      </c>
      <c r="V10" s="31"/>
      <c r="W10" s="30" t="s">
        <v>98</v>
      </c>
      <c r="X10" s="32" t="str">
        <f>Q30</f>
        <v>DC919</v>
      </c>
      <c r="Y10" t="str">
        <f t="shared" si="0"/>
        <v>0x000DC919,</v>
      </c>
      <c r="Z10" s="30"/>
    </row>
    <row r="11" spans="1:26">
      <c r="A11" s="8" t="s">
        <v>113</v>
      </c>
      <c r="B11" s="6" t="s">
        <v>114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36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91</v>
      </c>
      <c r="X11" s="32" t="str">
        <f>P32</f>
        <v>8770066</v>
      </c>
      <c r="Y11" t="str">
        <f t="shared" si="0"/>
        <v>0x08770066,</v>
      </c>
      <c r="Z11" s="30" t="s">
        <v>115</v>
      </c>
    </row>
    <row r="12" spans="1:26">
      <c r="A12" s="5" t="s">
        <v>116</v>
      </c>
      <c r="B12" s="6" t="s">
        <v>117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95</v>
      </c>
      <c r="X12" s="32" t="str">
        <f>P31</f>
        <v>A271DADB</v>
      </c>
      <c r="Y12" t="str">
        <f t="shared" si="0"/>
        <v>0xA271DADB,</v>
      </c>
      <c r="Z12" s="30"/>
    </row>
    <row r="13" spans="1:26">
      <c r="A13" s="8" t="s">
        <v>118</v>
      </c>
      <c r="B13" s="6" t="s">
        <v>119</v>
      </c>
      <c r="C13" s="4">
        <v>6</v>
      </c>
      <c r="D13" s="36">
        <v>53</v>
      </c>
      <c r="E13" s="36">
        <v>53</v>
      </c>
      <c r="F13" s="36">
        <v>53</v>
      </c>
      <c r="G13" s="36">
        <v>53</v>
      </c>
      <c r="H13" s="36">
        <v>53</v>
      </c>
      <c r="I13" s="36">
        <v>53</v>
      </c>
      <c r="J13" s="36">
        <v>53</v>
      </c>
      <c r="K13" s="36">
        <v>53</v>
      </c>
      <c r="L13" s="36">
        <v>53</v>
      </c>
      <c r="M13" s="36">
        <v>53</v>
      </c>
      <c r="N13" s="36">
        <v>53</v>
      </c>
      <c r="O13" s="36">
        <v>53</v>
      </c>
      <c r="P13" s="36">
        <v>53</v>
      </c>
      <c r="Q13" s="36">
        <v>53</v>
      </c>
      <c r="R13" s="36">
        <v>53</v>
      </c>
      <c r="S13" s="36">
        <v>53</v>
      </c>
      <c r="V13" s="31"/>
      <c r="W13" s="30" t="s">
        <v>98</v>
      </c>
      <c r="X13" s="32" t="str">
        <f>P30</f>
        <v>DC919</v>
      </c>
      <c r="Y13" t="str">
        <f t="shared" si="0"/>
        <v>0x000DC919,</v>
      </c>
      <c r="Z13" s="30"/>
    </row>
    <row r="14" spans="1:26">
      <c r="A14" s="8" t="s">
        <v>120</v>
      </c>
      <c r="B14" s="6" t="s">
        <v>121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36">
        <v>45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91</v>
      </c>
      <c r="X14" s="32" t="str">
        <f>O32</f>
        <v>87700C7</v>
      </c>
      <c r="Y14" t="str">
        <f t="shared" si="0"/>
        <v>0x087700C7,</v>
      </c>
      <c r="Z14" s="30" t="s">
        <v>122</v>
      </c>
    </row>
    <row r="15" spans="1:26">
      <c r="A15" s="8" t="s">
        <v>123</v>
      </c>
      <c r="B15" s="6" t="s">
        <v>124</v>
      </c>
      <c r="C15" s="4">
        <v>3</v>
      </c>
      <c r="D15" s="36">
        <v>4</v>
      </c>
      <c r="E15" s="36">
        <v>4</v>
      </c>
      <c r="F15" s="36">
        <v>4</v>
      </c>
      <c r="G15" s="36">
        <v>4</v>
      </c>
      <c r="H15" s="36">
        <v>4</v>
      </c>
      <c r="I15" s="36">
        <v>4</v>
      </c>
      <c r="J15" s="36">
        <v>4</v>
      </c>
      <c r="K15" s="36">
        <v>4</v>
      </c>
      <c r="L15" s="36">
        <v>4</v>
      </c>
      <c r="M15" s="36">
        <v>4</v>
      </c>
      <c r="N15" s="36">
        <v>4</v>
      </c>
      <c r="O15" s="36">
        <v>4</v>
      </c>
      <c r="P15" s="36">
        <v>4</v>
      </c>
      <c r="Q15" s="36">
        <v>4</v>
      </c>
      <c r="R15" s="36">
        <v>4</v>
      </c>
      <c r="S15" s="36">
        <v>4</v>
      </c>
      <c r="V15" s="31"/>
      <c r="W15" s="30" t="s">
        <v>95</v>
      </c>
      <c r="X15" s="32" t="str">
        <f>O31</f>
        <v>A271DADB</v>
      </c>
      <c r="Y15" t="str">
        <f t="shared" si="0"/>
        <v>0xA271DADB,</v>
      </c>
      <c r="Z15" s="30"/>
    </row>
    <row r="16" spans="1:26">
      <c r="A16" s="8" t="s">
        <v>125</v>
      </c>
      <c r="B16" s="3" t="s">
        <v>126</v>
      </c>
      <c r="C16" s="4">
        <v>4</v>
      </c>
      <c r="D16" s="36">
        <v>2</v>
      </c>
      <c r="E16" s="36">
        <v>2</v>
      </c>
      <c r="F16" s="36">
        <v>2</v>
      </c>
      <c r="G16" s="36">
        <v>2</v>
      </c>
      <c r="H16" s="36">
        <v>2</v>
      </c>
      <c r="I16" s="36">
        <v>2</v>
      </c>
      <c r="J16" s="36">
        <v>2</v>
      </c>
      <c r="K16" s="36">
        <v>2</v>
      </c>
      <c r="L16" s="36">
        <v>2</v>
      </c>
      <c r="M16" s="36">
        <v>2</v>
      </c>
      <c r="N16" s="36">
        <v>2</v>
      </c>
      <c r="O16" s="36">
        <v>2</v>
      </c>
      <c r="P16" s="36">
        <v>2</v>
      </c>
      <c r="Q16" s="36">
        <v>2</v>
      </c>
      <c r="R16" s="36">
        <v>2</v>
      </c>
      <c r="S16" s="36">
        <v>2</v>
      </c>
      <c r="V16" s="31"/>
      <c r="W16" s="30" t="s">
        <v>98</v>
      </c>
      <c r="X16" s="32" t="str">
        <f>O30</f>
        <v>DC919</v>
      </c>
      <c r="Y16" t="str">
        <f t="shared" si="0"/>
        <v>0x000DC919,</v>
      </c>
      <c r="Z16" s="30"/>
    </row>
    <row r="17" spans="1:26">
      <c r="A17" s="8" t="s">
        <v>127</v>
      </c>
      <c r="B17" s="3" t="s">
        <v>128</v>
      </c>
      <c r="C17" s="4">
        <v>4</v>
      </c>
      <c r="D17" s="36">
        <v>3</v>
      </c>
      <c r="E17" s="36">
        <v>3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91</v>
      </c>
      <c r="X17" s="32" t="str">
        <f>N32</f>
        <v>87700A7</v>
      </c>
      <c r="Y17" t="str">
        <f t="shared" si="0"/>
        <v>0x087700A7,</v>
      </c>
      <c r="Z17" s="30" t="s">
        <v>129</v>
      </c>
    </row>
    <row r="18" spans="1:26">
      <c r="A18" s="8" t="s">
        <v>130</v>
      </c>
      <c r="B18" s="3" t="s">
        <v>131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95</v>
      </c>
      <c r="X18" s="32" t="str">
        <f>N31</f>
        <v>A2D3DADB</v>
      </c>
      <c r="Y18" t="str">
        <f t="shared" si="0"/>
        <v>0xA2D3DADB,</v>
      </c>
      <c r="Z18" s="30"/>
    </row>
    <row r="19" spans="1:26">
      <c r="A19" s="8" t="s">
        <v>132</v>
      </c>
      <c r="B19" s="3" t="s">
        <v>133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98</v>
      </c>
      <c r="X19" s="32" t="str">
        <f>N30</f>
        <v>DC919</v>
      </c>
      <c r="Y19" t="str">
        <f t="shared" si="0"/>
        <v>0x000DC919,</v>
      </c>
      <c r="Z19" s="30"/>
    </row>
    <row r="20" spans="1:26">
      <c r="A20" s="8" t="s">
        <v>134</v>
      </c>
      <c r="B20" s="3" t="s">
        <v>135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36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91</v>
      </c>
      <c r="X20" s="32" t="str">
        <f>M32</f>
        <v>87701E7</v>
      </c>
      <c r="Y20" t="str">
        <f t="shared" si="0"/>
        <v>0x087701E7,</v>
      </c>
      <c r="Z20" s="30" t="s">
        <v>136</v>
      </c>
    </row>
    <row r="21" spans="1:26">
      <c r="A21" s="8" t="s">
        <v>137</v>
      </c>
      <c r="B21" s="3" t="s">
        <v>138</v>
      </c>
      <c r="C21" s="4">
        <v>4</v>
      </c>
      <c r="D21" s="36">
        <v>8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95</v>
      </c>
      <c r="X21" s="32" t="str">
        <f>M31</f>
        <v>A273DADB</v>
      </c>
      <c r="Y21" t="str">
        <f t="shared" si="0"/>
        <v>0xA273DADB,</v>
      </c>
      <c r="Z21" s="30"/>
    </row>
    <row r="22" spans="1:26">
      <c r="A22" s="5" t="s">
        <v>139</v>
      </c>
      <c r="B22" s="6" t="s">
        <v>140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98</v>
      </c>
      <c r="X22" s="32" t="str">
        <f>M30</f>
        <v>DC919</v>
      </c>
      <c r="Y22" t="str">
        <f t="shared" si="0"/>
        <v>0x000DC919,</v>
      </c>
      <c r="Z22" s="30"/>
    </row>
    <row r="23" spans="1:26">
      <c r="A23" s="5" t="s">
        <v>141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91</v>
      </c>
      <c r="X23" s="32" t="str">
        <f>L32</f>
        <v>8770227</v>
      </c>
      <c r="Y23" t="str">
        <f t="shared" si="0"/>
        <v>0x08770227,</v>
      </c>
      <c r="Z23" s="30" t="s">
        <v>142</v>
      </c>
    </row>
    <row r="24" spans="1:26">
      <c r="A24" s="5" t="s">
        <v>143</v>
      </c>
      <c r="B24" s="6" t="s">
        <v>144</v>
      </c>
      <c r="C24" s="4">
        <v>5</v>
      </c>
      <c r="D24" s="36">
        <v>28</v>
      </c>
      <c r="E24" s="36">
        <v>25</v>
      </c>
      <c r="F24" s="36">
        <v>30</v>
      </c>
      <c r="G24" s="36">
        <v>30</v>
      </c>
      <c r="H24" s="36">
        <v>24</v>
      </c>
      <c r="I24" s="36">
        <v>16</v>
      </c>
      <c r="J24" s="36">
        <v>19</v>
      </c>
      <c r="K24" s="36">
        <v>19</v>
      </c>
      <c r="L24" s="36">
        <v>17</v>
      </c>
      <c r="M24" s="36">
        <v>15</v>
      </c>
      <c r="N24" s="36">
        <v>5</v>
      </c>
      <c r="O24" s="36">
        <v>6</v>
      </c>
      <c r="P24" s="36">
        <v>3</v>
      </c>
      <c r="Q24" s="36">
        <v>5</v>
      </c>
      <c r="R24" s="36">
        <v>4</v>
      </c>
      <c r="S24" s="36">
        <v>14</v>
      </c>
      <c r="V24" s="31"/>
      <c r="W24" s="30" t="s">
        <v>95</v>
      </c>
      <c r="X24" s="32" t="str">
        <f>L31</f>
        <v>A279DADB</v>
      </c>
      <c r="Y24" t="str">
        <f t="shared" si="0"/>
        <v>0xA279DADB,</v>
      </c>
      <c r="Z24" s="30"/>
    </row>
    <row r="25" spans="1:26">
      <c r="A25" s="5" t="s">
        <v>145</v>
      </c>
      <c r="B25" s="6" t="s">
        <v>146</v>
      </c>
      <c r="C25" s="4">
        <v>5</v>
      </c>
      <c r="D25" s="36">
        <v>25</v>
      </c>
      <c r="E25" s="36">
        <v>17</v>
      </c>
      <c r="F25" s="36">
        <v>27</v>
      </c>
      <c r="G25" s="36">
        <v>20</v>
      </c>
      <c r="H25" s="36">
        <v>14</v>
      </c>
      <c r="I25" s="36">
        <v>14</v>
      </c>
      <c r="J25" s="36">
        <v>10</v>
      </c>
      <c r="K25" s="36">
        <v>9</v>
      </c>
      <c r="L25" s="36">
        <v>7</v>
      </c>
      <c r="M25" s="36">
        <v>7</v>
      </c>
      <c r="N25" s="36">
        <v>7</v>
      </c>
      <c r="O25" s="36">
        <v>7</v>
      </c>
      <c r="P25" s="36">
        <v>6</v>
      </c>
      <c r="Q25" s="36">
        <v>6</v>
      </c>
      <c r="R25" s="36">
        <v>5</v>
      </c>
      <c r="S25" s="36">
        <v>4</v>
      </c>
      <c r="V25" s="31"/>
      <c r="W25" s="30" t="s">
        <v>98</v>
      </c>
      <c r="X25" s="32" t="str">
        <f>L30</f>
        <v>DC919</v>
      </c>
      <c r="Y25" t="str">
        <f t="shared" si="0"/>
        <v>0x000DC919,</v>
      </c>
      <c r="Z25" s="30"/>
    </row>
    <row r="26" spans="1:26">
      <c r="A26" s="10" t="s">
        <v>147</v>
      </c>
      <c r="B26" s="10"/>
      <c r="C26" s="11">
        <f>SUM(C2:C25)</f>
        <v>96</v>
      </c>
      <c r="D26" s="12" t="s">
        <v>148</v>
      </c>
      <c r="E26" s="12" t="s">
        <v>149</v>
      </c>
      <c r="F26" s="12" t="s">
        <v>150</v>
      </c>
      <c r="G26" s="12" t="s">
        <v>133</v>
      </c>
      <c r="H26" s="12" t="s">
        <v>151</v>
      </c>
      <c r="I26" s="12" t="s">
        <v>152</v>
      </c>
      <c r="J26" s="12" t="s">
        <v>153</v>
      </c>
      <c r="K26" s="12" t="s">
        <v>140</v>
      </c>
      <c r="L26" s="12" t="s">
        <v>154</v>
      </c>
      <c r="M26" s="12" t="s">
        <v>73</v>
      </c>
      <c r="N26" s="12" t="s">
        <v>23</v>
      </c>
      <c r="O26" s="12" t="s">
        <v>32</v>
      </c>
      <c r="P26" s="12" t="s">
        <v>54</v>
      </c>
      <c r="Q26" s="12" t="s">
        <v>6</v>
      </c>
      <c r="R26" s="12" t="s">
        <v>155</v>
      </c>
      <c r="S26" s="12" t="s">
        <v>156</v>
      </c>
      <c r="V26" s="31">
        <v>8</v>
      </c>
      <c r="W26" s="30" t="s">
        <v>91</v>
      </c>
      <c r="X26" s="32" t="str">
        <f>K32</f>
        <v>8770269</v>
      </c>
      <c r="Y26" t="str">
        <f t="shared" si="0"/>
        <v>0x08770269,</v>
      </c>
      <c r="Z26" s="30" t="s">
        <v>157</v>
      </c>
    </row>
    <row r="27" spans="1:26">
      <c r="A27" s="10" t="s">
        <v>158</v>
      </c>
      <c r="B27" s="10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V27" s="31"/>
      <c r="W27" s="30" t="s">
        <v>95</v>
      </c>
      <c r="X27" s="32" t="str">
        <f>K31</f>
        <v>A279DADB</v>
      </c>
      <c r="Y27" t="str">
        <f t="shared" si="0"/>
        <v>0xA279DADB,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98</v>
      </c>
      <c r="X28" s="32" t="str">
        <f>K30</f>
        <v>DC919</v>
      </c>
      <c r="Y28" t="str">
        <f t="shared" si="0"/>
        <v>0x000DC919,</v>
      </c>
      <c r="Z28" s="30"/>
    </row>
    <row r="29" spans="1:26">
      <c r="A29" s="14" t="s">
        <v>159</v>
      </c>
      <c r="B29" s="14"/>
      <c r="C29" s="14"/>
      <c r="D29" s="14" t="s">
        <v>148</v>
      </c>
      <c r="E29" s="14" t="s">
        <v>149</v>
      </c>
      <c r="F29" s="14" t="s">
        <v>150</v>
      </c>
      <c r="G29" s="14" t="s">
        <v>133</v>
      </c>
      <c r="H29" s="14" t="s">
        <v>151</v>
      </c>
      <c r="I29" s="14" t="s">
        <v>152</v>
      </c>
      <c r="J29" s="14" t="s">
        <v>153</v>
      </c>
      <c r="K29" s="14" t="s">
        <v>140</v>
      </c>
      <c r="L29" s="14" t="s">
        <v>154</v>
      </c>
      <c r="M29" s="14" t="s">
        <v>73</v>
      </c>
      <c r="N29" s="14" t="s">
        <v>23</v>
      </c>
      <c r="O29" s="14" t="s">
        <v>32</v>
      </c>
      <c r="P29" s="14" t="s">
        <v>54</v>
      </c>
      <c r="Q29" s="14" t="s">
        <v>6</v>
      </c>
      <c r="R29" s="14" t="s">
        <v>155</v>
      </c>
      <c r="S29" s="14" t="s">
        <v>156</v>
      </c>
      <c r="V29" s="31">
        <v>9</v>
      </c>
      <c r="W29" s="30" t="s">
        <v>91</v>
      </c>
      <c r="X29" s="32" t="str">
        <f>J32</f>
        <v>877026A</v>
      </c>
      <c r="Y29" t="str">
        <f t="shared" si="0"/>
        <v>0x0877026A,</v>
      </c>
      <c r="Z29" s="30" t="s">
        <v>160</v>
      </c>
    </row>
    <row r="30" spans="1:26">
      <c r="A30" s="15" t="s">
        <v>161</v>
      </c>
      <c r="B30" s="16"/>
      <c r="C30" s="16"/>
      <c r="D30" s="17" t="str">
        <f>DEC2HEX(POWER(2,0)*D6+POWER(2,6)*D5+POWER(2,12)*D4+POWER(2,18)*D3+POWER(2,23)*D2)</f>
        <v>DC919</v>
      </c>
      <c r="E30" s="17" t="str">
        <f>DEC2HEX(POWER(2,0)*E6+POWER(2,6)*E5+POWER(2,12)*E4+POWER(2,18)*E3+POWER(2,23)*E2)</f>
        <v>DC919</v>
      </c>
      <c r="F30" s="17" t="str">
        <f t="shared" ref="F30:S30" si="1">DEC2HEX(POWER(2,0)*F6+POWER(2,6)*F5+POWER(2,12)*F4+POWER(2,18)*F3+POWER(2,23)*F2)</f>
        <v>DC919</v>
      </c>
      <c r="G30" s="17" t="str">
        <f t="shared" si="1"/>
        <v>DC919</v>
      </c>
      <c r="H30" s="17" t="str">
        <f t="shared" si="1"/>
        <v>DC919</v>
      </c>
      <c r="I30" s="17" t="str">
        <f t="shared" si="1"/>
        <v>DC919</v>
      </c>
      <c r="J30" s="17" t="str">
        <f t="shared" si="1"/>
        <v>DC919</v>
      </c>
      <c r="K30" s="17" t="str">
        <f t="shared" si="1"/>
        <v>DC919</v>
      </c>
      <c r="L30" s="17" t="str">
        <f t="shared" si="1"/>
        <v>DC919</v>
      </c>
      <c r="M30" s="17" t="str">
        <f t="shared" si="1"/>
        <v>DC919</v>
      </c>
      <c r="N30" s="17" t="str">
        <f t="shared" si="1"/>
        <v>DC919</v>
      </c>
      <c r="O30" s="17" t="str">
        <f t="shared" si="1"/>
        <v>DC919</v>
      </c>
      <c r="P30" s="17" t="str">
        <f t="shared" si="1"/>
        <v>DC919</v>
      </c>
      <c r="Q30" s="17" t="str">
        <f t="shared" si="1"/>
        <v>DC919</v>
      </c>
      <c r="R30" s="17" t="str">
        <f t="shared" si="1"/>
        <v>DC919</v>
      </c>
      <c r="S30" s="17" t="str">
        <f t="shared" si="1"/>
        <v>DC919</v>
      </c>
      <c r="V30" s="31"/>
      <c r="W30" s="30" t="s">
        <v>95</v>
      </c>
      <c r="X30" s="32" t="str">
        <f>J31</f>
        <v>A27DDADB</v>
      </c>
      <c r="Y30" t="str">
        <f t="shared" si="0"/>
        <v>0xA27DDADB,</v>
      </c>
      <c r="Z30" s="30"/>
    </row>
    <row r="31" spans="1:26">
      <c r="A31" s="15" t="s">
        <v>162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A27FDADB</v>
      </c>
      <c r="E31" s="17" t="str">
        <f>DEC2HEX(POWER(2,0)*INT(E15/4)+POWER(2,1)*E14+POWER(2,7)*E13+POWER(2,13)*E12+POWER(2,14)*E11+POWER(2,17)*E10+POWER(2,21)*E9+POWER(2,24)*E8+POWER(2,28)*E7)</f>
        <v>A27FDADB</v>
      </c>
      <c r="F31" s="17" t="str">
        <f t="shared" ref="F31:S31" si="2">DEC2HEX(POWER(2,0)*INT(F15/4)+POWER(2,1)*F14+POWER(2,7)*F13+POWER(2,13)*F12+POWER(2,14)*F11+POWER(2,17)*F10+POWER(2,21)*F9+POWER(2,24)*F8+POWER(2,28)*F7)</f>
        <v>A27FDADB</v>
      </c>
      <c r="G31" s="17" t="str">
        <f t="shared" si="2"/>
        <v>A27FDADB</v>
      </c>
      <c r="H31" s="17" t="str">
        <f t="shared" si="2"/>
        <v>A27FDADB</v>
      </c>
      <c r="I31" s="17" t="str">
        <f t="shared" si="2"/>
        <v>A27DDADB</v>
      </c>
      <c r="J31" s="17" t="str">
        <f t="shared" si="2"/>
        <v>A27DDADB</v>
      </c>
      <c r="K31" s="17" t="str">
        <f t="shared" si="2"/>
        <v>A279DADB</v>
      </c>
      <c r="L31" s="17" t="str">
        <f t="shared" si="2"/>
        <v>A279DADB</v>
      </c>
      <c r="M31" s="17" t="str">
        <f t="shared" si="2"/>
        <v>A273DADB</v>
      </c>
      <c r="N31" s="17" t="str">
        <f t="shared" si="2"/>
        <v>A2D3DADB</v>
      </c>
      <c r="O31" s="17" t="str">
        <f t="shared" si="2"/>
        <v>A271DADB</v>
      </c>
      <c r="P31" s="17" t="str">
        <f t="shared" si="2"/>
        <v>A271DADB</v>
      </c>
      <c r="Q31" s="17" t="str">
        <f t="shared" si="2"/>
        <v>A26DDADB</v>
      </c>
      <c r="R31" s="17" t="str">
        <f t="shared" si="2"/>
        <v>A26DDADB</v>
      </c>
      <c r="S31" s="17" t="str">
        <f t="shared" si="2"/>
        <v>A269DADB</v>
      </c>
      <c r="V31" s="31"/>
      <c r="W31" s="30" t="s">
        <v>98</v>
      </c>
      <c r="X31" s="32" t="str">
        <f>J30</f>
        <v>DC919</v>
      </c>
      <c r="Y31" t="str">
        <f t="shared" si="0"/>
        <v>0x000DC919,</v>
      </c>
      <c r="Z31" s="30"/>
    </row>
    <row r="32" spans="1:26">
      <c r="A32" s="15" t="s">
        <v>163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8F70399</v>
      </c>
      <c r="E32" s="17" t="str">
        <f>DEC2HEX(POWER(2,0)*E25+POWER(2,5)*E24+POWER(2,10)*E23+POWER(2,12)*E22+POWER(2,13)*E21+POWER(2,17)*E20+POWER(2,20)*E19+POWER(2,21)*E18+POWER(2,22)*E17+POWER(2,26)*E16+POWER(2,30)*MOD(E15,4))</f>
        <v>8F70331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17" t="str">
        <f t="shared" si="3"/>
        <v>87703D4</v>
      </c>
      <c r="H32" s="17" t="str">
        <f t="shared" si="3"/>
        <v>877030E</v>
      </c>
      <c r="I32" s="17" t="str">
        <f t="shared" si="3"/>
        <v>877020E</v>
      </c>
      <c r="J32" s="17" t="str">
        <f t="shared" si="3"/>
        <v>877026A</v>
      </c>
      <c r="K32" s="17" t="str">
        <f t="shared" si="3"/>
        <v>8770269</v>
      </c>
      <c r="L32" s="17" t="str">
        <f t="shared" si="3"/>
        <v>8770227</v>
      </c>
      <c r="M32" s="17" t="str">
        <f t="shared" si="3"/>
        <v>87701E7</v>
      </c>
      <c r="N32" s="17" t="str">
        <f t="shared" si="3"/>
        <v>87700A7</v>
      </c>
      <c r="O32" s="17" t="str">
        <f t="shared" si="3"/>
        <v>87700C7</v>
      </c>
      <c r="P32" s="17" t="str">
        <f t="shared" si="3"/>
        <v>8770066</v>
      </c>
      <c r="Q32" s="17" t="str">
        <f t="shared" si="3"/>
        <v>87700A6</v>
      </c>
      <c r="R32" s="17" t="str">
        <f t="shared" si="3"/>
        <v>8770085</v>
      </c>
      <c r="S32" s="17" t="str">
        <f t="shared" si="3"/>
        <v>87701C4</v>
      </c>
      <c r="V32" s="31" t="s">
        <v>164</v>
      </c>
      <c r="W32" s="30" t="s">
        <v>91</v>
      </c>
      <c r="X32" s="32" t="str">
        <f>I32</f>
        <v>877020E</v>
      </c>
      <c r="Y32" t="str">
        <f t="shared" si="0"/>
        <v>0x0877020E,</v>
      </c>
      <c r="Z32" s="30" t="s">
        <v>165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95</v>
      </c>
      <c r="X33" s="32" t="str">
        <f>I31</f>
        <v>A27DDADB</v>
      </c>
      <c r="Y33" t="str">
        <f t="shared" si="0"/>
        <v>0xA27DDADB,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98</v>
      </c>
      <c r="X34" s="32" t="str">
        <f>I30</f>
        <v>DC919</v>
      </c>
      <c r="Y34" t="str">
        <f t="shared" si="0"/>
        <v>0x000DC919,</v>
      </c>
      <c r="Z34" s="30"/>
    </row>
    <row r="35" spans="1:26">
      <c r="A35" s="10"/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166</v>
      </c>
      <c r="W35" s="30" t="s">
        <v>91</v>
      </c>
      <c r="X35" s="32" t="str">
        <f>H32</f>
        <v>877030E</v>
      </c>
      <c r="Y35" t="str">
        <f t="shared" si="0"/>
        <v>0x0877030E,</v>
      </c>
      <c r="Z35" s="30" t="s">
        <v>167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95</v>
      </c>
      <c r="X36" s="32" t="str">
        <f>H31</f>
        <v>A27FDADB</v>
      </c>
      <c r="Y36" t="str">
        <f t="shared" si="0"/>
        <v>0xA27FDADB,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98</v>
      </c>
      <c r="X37" s="32" t="str">
        <f>H30</f>
        <v>DC919</v>
      </c>
      <c r="Y37" t="str">
        <f t="shared" si="0"/>
        <v>0x000DC919,</v>
      </c>
      <c r="Z37" s="30"/>
    </row>
    <row r="38" spans="1:26">
      <c r="A38" s="38"/>
      <c r="B38" s="10"/>
      <c r="C38" s="11"/>
      <c r="D38" s="27"/>
      <c r="V38" s="31" t="s">
        <v>168</v>
      </c>
      <c r="W38" s="30" t="s">
        <v>91</v>
      </c>
      <c r="X38" s="32" t="str">
        <f>G32</f>
        <v>87703D4</v>
      </c>
      <c r="Y38" t="str">
        <f t="shared" si="0"/>
        <v>0x087703D4,</v>
      </c>
      <c r="Z38" s="30" t="s">
        <v>169</v>
      </c>
    </row>
    <row r="39" spans="1:26">
      <c r="A39" s="38"/>
      <c r="B39" s="10"/>
      <c r="C39" s="39"/>
      <c r="D39" s="27"/>
      <c r="H39" s="22"/>
      <c r="J39" s="22"/>
      <c r="K39" s="22"/>
      <c r="L39" s="22"/>
      <c r="V39" s="31"/>
      <c r="W39" s="30" t="s">
        <v>95</v>
      </c>
      <c r="X39" s="32" t="str">
        <f>G31</f>
        <v>A27FDADB</v>
      </c>
      <c r="Y39" t="str">
        <f t="shared" si="0"/>
        <v>0xA27FDADB,</v>
      </c>
      <c r="Z39" s="30"/>
    </row>
    <row r="40" spans="1:26">
      <c r="A40" s="38"/>
      <c r="B40" s="10"/>
      <c r="C40" s="39"/>
      <c r="D40" s="27"/>
      <c r="H40" s="22"/>
      <c r="J40" s="22"/>
      <c r="K40" s="22"/>
      <c r="L40" s="22"/>
      <c r="V40" s="31"/>
      <c r="W40" s="30" t="s">
        <v>98</v>
      </c>
      <c r="X40" s="32" t="str">
        <f>G30</f>
        <v>DC919</v>
      </c>
      <c r="Y40" t="str">
        <f t="shared" si="0"/>
        <v>0x000DC919,</v>
      </c>
      <c r="Z40" s="30"/>
    </row>
    <row r="41" spans="1:26">
      <c r="A41" s="19"/>
      <c r="B41" s="20"/>
      <c r="D41" s="21"/>
      <c r="H41" s="22"/>
      <c r="J41" s="22"/>
      <c r="K41" s="22"/>
      <c r="L41" s="22"/>
      <c r="V41" s="31" t="s">
        <v>170</v>
      </c>
      <c r="W41" s="30" t="s">
        <v>91</v>
      </c>
      <c r="X41" s="32" t="str">
        <f>F32</f>
        <v>87703DB</v>
      </c>
      <c r="Y41" t="str">
        <f t="shared" si="0"/>
        <v>0x087703DB,</v>
      </c>
      <c r="Z41" s="30" t="s">
        <v>171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95</v>
      </c>
      <c r="X42" s="32" t="str">
        <f>F31</f>
        <v>A27FDADB</v>
      </c>
      <c r="Y42" t="str">
        <f t="shared" si="0"/>
        <v>0xA27FDADB,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98</v>
      </c>
      <c r="X43" s="32" t="str">
        <f>F30</f>
        <v>DC919</v>
      </c>
      <c r="Y43" t="str">
        <f t="shared" si="0"/>
        <v>0x000DC919,</v>
      </c>
      <c r="Z43" s="30"/>
    </row>
    <row r="44" spans="1:26">
      <c r="A44" s="19"/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172</v>
      </c>
      <c r="W44" s="30" t="s">
        <v>91</v>
      </c>
      <c r="X44" s="32" t="str">
        <f>E32</f>
        <v>8F70331</v>
      </c>
      <c r="Y44" t="str">
        <f t="shared" si="0"/>
        <v>0x08F70331,</v>
      </c>
      <c r="Z44" s="30" t="s">
        <v>173</v>
      </c>
    </row>
    <row r="45" spans="1:26">
      <c r="A45" s="19"/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95</v>
      </c>
      <c r="X45" s="32" t="str">
        <f>E31</f>
        <v>A27FDADB</v>
      </c>
      <c r="Y45" t="str">
        <f t="shared" si="0"/>
        <v>0xA27FDADB,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98</v>
      </c>
      <c r="X46" s="32" t="str">
        <f>E30</f>
        <v>DC919</v>
      </c>
      <c r="Y46" t="str">
        <f t="shared" si="0"/>
        <v>0x000DC919,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174</v>
      </c>
      <c r="W47" s="30" t="s">
        <v>91</v>
      </c>
      <c r="X47" s="32" t="str">
        <f>D32</f>
        <v>8F70399</v>
      </c>
      <c r="Y47" t="str">
        <f t="shared" si="0"/>
        <v>0x08F70399,</v>
      </c>
      <c r="Z47" s="30" t="s">
        <v>175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95</v>
      </c>
      <c r="X48" s="32" t="str">
        <f>D31</f>
        <v>A27FDADB</v>
      </c>
      <c r="Y48" t="str">
        <f t="shared" si="0"/>
        <v>0xA27FDADB,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98</v>
      </c>
      <c r="X49" s="32" t="str">
        <f>D30</f>
        <v>DC919</v>
      </c>
      <c r="Y49" t="str">
        <f t="shared" si="0"/>
        <v>0x000DC919,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G37" sqref="G37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88</v>
      </c>
      <c r="W1" s="30"/>
      <c r="X1" s="30"/>
    </row>
    <row r="2" spans="1:26">
      <c r="A2" s="2" t="s">
        <v>89</v>
      </c>
      <c r="B2" s="3" t="s">
        <v>90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91</v>
      </c>
      <c r="X2" s="32" t="str">
        <f>S32</f>
        <v>D8770357</v>
      </c>
      <c r="Y2" t="str">
        <f>"0x"&amp;RIGHT("00000000"&amp;X2,8)&amp;","</f>
        <v>0xD8770357,</v>
      </c>
      <c r="Z2" s="30" t="s">
        <v>92</v>
      </c>
    </row>
    <row r="3" spans="1:26">
      <c r="A3" s="5" t="s">
        <v>93</v>
      </c>
      <c r="B3" s="6" t="s">
        <v>94</v>
      </c>
      <c r="C3" s="4">
        <v>5</v>
      </c>
      <c r="D3" s="36">
        <v>0</v>
      </c>
      <c r="E3" s="36">
        <v>0</v>
      </c>
      <c r="F3" s="36">
        <v>0</v>
      </c>
      <c r="G3" s="36">
        <v>0</v>
      </c>
      <c r="H3" s="36">
        <v>0</v>
      </c>
      <c r="I3" s="36">
        <v>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V3" s="31"/>
      <c r="W3" s="30" t="s">
        <v>95</v>
      </c>
      <c r="X3" s="32" t="str">
        <f>S31</f>
        <v>A249DADB</v>
      </c>
      <c r="Y3" t="str">
        <f t="shared" ref="Y3:Y49" si="0">"0x"&amp;RIGHT("00000000"&amp;X3,8)&amp;","</f>
        <v>0xA249DADB,</v>
      </c>
      <c r="Z3" s="30"/>
    </row>
    <row r="4" spans="1:26">
      <c r="A4" s="5" t="s">
        <v>96</v>
      </c>
      <c r="B4" s="6" t="s">
        <v>97</v>
      </c>
      <c r="C4" s="4">
        <v>6</v>
      </c>
      <c r="D4" s="36">
        <v>28</v>
      </c>
      <c r="E4" s="36">
        <v>28</v>
      </c>
      <c r="F4" s="36">
        <v>28</v>
      </c>
      <c r="G4" s="36">
        <v>28</v>
      </c>
      <c r="H4" s="36">
        <v>28</v>
      </c>
      <c r="I4" s="36">
        <v>28</v>
      </c>
      <c r="J4" s="36">
        <v>28</v>
      </c>
      <c r="K4" s="36">
        <v>28</v>
      </c>
      <c r="L4" s="36">
        <v>28</v>
      </c>
      <c r="M4" s="36">
        <v>28</v>
      </c>
      <c r="N4" s="36">
        <v>28</v>
      </c>
      <c r="O4" s="36">
        <v>28</v>
      </c>
      <c r="P4" s="36">
        <v>28</v>
      </c>
      <c r="Q4" s="36">
        <v>28</v>
      </c>
      <c r="R4" s="36">
        <v>28</v>
      </c>
      <c r="S4" s="36">
        <v>28</v>
      </c>
      <c r="V4" s="31"/>
      <c r="W4" s="30" t="s">
        <v>98</v>
      </c>
      <c r="X4" s="32" t="str">
        <f>S30</f>
        <v>1C91A</v>
      </c>
      <c r="Y4" t="str">
        <f t="shared" si="0"/>
        <v>0x0001C91A,</v>
      </c>
      <c r="Z4" s="30"/>
    </row>
    <row r="5" spans="1:26">
      <c r="A5" s="5" t="s">
        <v>99</v>
      </c>
      <c r="B5" s="6" t="s">
        <v>100</v>
      </c>
      <c r="C5" s="4">
        <v>6</v>
      </c>
      <c r="D5" s="36">
        <v>36</v>
      </c>
      <c r="E5" s="36">
        <v>36</v>
      </c>
      <c r="F5" s="36">
        <v>36</v>
      </c>
      <c r="G5" s="36">
        <v>36</v>
      </c>
      <c r="H5" s="36">
        <v>36</v>
      </c>
      <c r="I5" s="36">
        <v>36</v>
      </c>
      <c r="J5" s="36">
        <v>36</v>
      </c>
      <c r="K5" s="36">
        <v>36</v>
      </c>
      <c r="L5" s="36">
        <v>36</v>
      </c>
      <c r="M5" s="36">
        <v>36</v>
      </c>
      <c r="N5" s="36">
        <v>36</v>
      </c>
      <c r="O5" s="36">
        <v>36</v>
      </c>
      <c r="P5" s="36">
        <v>36</v>
      </c>
      <c r="Q5" s="36">
        <v>36</v>
      </c>
      <c r="R5" s="36">
        <v>36</v>
      </c>
      <c r="S5" s="36">
        <v>36</v>
      </c>
      <c r="V5" s="31">
        <v>1</v>
      </c>
      <c r="W5" s="30" t="s">
        <v>91</v>
      </c>
      <c r="X5" s="32" t="str">
        <f>R32</f>
        <v>D8770353</v>
      </c>
      <c r="Y5" t="str">
        <f t="shared" si="0"/>
        <v>0xD8770353,</v>
      </c>
      <c r="Z5" s="30" t="s">
        <v>101</v>
      </c>
    </row>
    <row r="6" spans="1:26">
      <c r="A6" s="5" t="s">
        <v>102</v>
      </c>
      <c r="B6" s="6" t="s">
        <v>103</v>
      </c>
      <c r="C6" s="4">
        <v>6</v>
      </c>
      <c r="D6" s="36">
        <v>26</v>
      </c>
      <c r="E6" s="36">
        <v>26</v>
      </c>
      <c r="F6" s="36">
        <v>26</v>
      </c>
      <c r="G6" s="36">
        <v>26</v>
      </c>
      <c r="H6" s="36">
        <v>26</v>
      </c>
      <c r="I6" s="36">
        <v>26</v>
      </c>
      <c r="J6" s="36">
        <v>26</v>
      </c>
      <c r="K6" s="36">
        <v>26</v>
      </c>
      <c r="L6" s="36">
        <v>26</v>
      </c>
      <c r="M6" s="36">
        <v>26</v>
      </c>
      <c r="N6" s="36">
        <v>26</v>
      </c>
      <c r="O6" s="36">
        <v>26</v>
      </c>
      <c r="P6" s="36">
        <v>26</v>
      </c>
      <c r="Q6" s="36">
        <v>26</v>
      </c>
      <c r="R6" s="36">
        <v>26</v>
      </c>
      <c r="S6" s="36">
        <v>26</v>
      </c>
      <c r="V6" s="31"/>
      <c r="W6" s="30" t="s">
        <v>95</v>
      </c>
      <c r="X6" s="32" t="str">
        <f>R31</f>
        <v>A24DDADB</v>
      </c>
      <c r="Y6" t="str">
        <f t="shared" si="0"/>
        <v>0xA24DDADB,</v>
      </c>
      <c r="Z6" s="30"/>
    </row>
    <row r="7" spans="1:26">
      <c r="A7" s="2" t="s">
        <v>104</v>
      </c>
      <c r="B7" s="6" t="s">
        <v>105</v>
      </c>
      <c r="C7" s="4">
        <v>4</v>
      </c>
      <c r="D7" s="37">
        <v>10</v>
      </c>
      <c r="E7" s="37">
        <v>10</v>
      </c>
      <c r="F7" s="37">
        <v>10</v>
      </c>
      <c r="G7" s="37">
        <v>10</v>
      </c>
      <c r="H7" s="37">
        <v>10</v>
      </c>
      <c r="I7" s="37">
        <v>10</v>
      </c>
      <c r="J7" s="37">
        <v>10</v>
      </c>
      <c r="K7" s="37">
        <v>10</v>
      </c>
      <c r="L7" s="37">
        <v>10</v>
      </c>
      <c r="M7" s="37">
        <v>10</v>
      </c>
      <c r="N7" s="37">
        <v>10</v>
      </c>
      <c r="O7" s="37">
        <v>10</v>
      </c>
      <c r="P7" s="37">
        <v>10</v>
      </c>
      <c r="Q7" s="37">
        <v>10</v>
      </c>
      <c r="R7" s="37">
        <v>10</v>
      </c>
      <c r="S7" s="37">
        <v>10</v>
      </c>
      <c r="V7" s="31"/>
      <c r="W7" s="30" t="s">
        <v>98</v>
      </c>
      <c r="X7" s="32" t="str">
        <f>R30</f>
        <v>1C91A</v>
      </c>
      <c r="Y7" t="str">
        <f t="shared" si="0"/>
        <v>0x0001C91A,</v>
      </c>
      <c r="Z7" s="30"/>
    </row>
    <row r="8" spans="1:26">
      <c r="A8" s="2" t="s">
        <v>106</v>
      </c>
      <c r="B8" s="6" t="s">
        <v>107</v>
      </c>
      <c r="C8" s="4">
        <v>4</v>
      </c>
      <c r="D8" s="37">
        <v>2</v>
      </c>
      <c r="E8" s="37">
        <v>2</v>
      </c>
      <c r="F8" s="37">
        <v>2</v>
      </c>
      <c r="G8" s="37">
        <v>2</v>
      </c>
      <c r="H8" s="37">
        <v>2</v>
      </c>
      <c r="I8" s="37">
        <v>2</v>
      </c>
      <c r="J8" s="37">
        <v>2</v>
      </c>
      <c r="K8" s="37">
        <v>2</v>
      </c>
      <c r="L8" s="37">
        <v>2</v>
      </c>
      <c r="M8" s="37">
        <v>2</v>
      </c>
      <c r="N8" s="37">
        <v>2</v>
      </c>
      <c r="O8" s="37">
        <v>2</v>
      </c>
      <c r="P8" s="37">
        <v>2</v>
      </c>
      <c r="Q8" s="37">
        <v>2</v>
      </c>
      <c r="R8" s="37">
        <v>2</v>
      </c>
      <c r="S8" s="37">
        <v>2</v>
      </c>
      <c r="V8" s="31">
        <v>2</v>
      </c>
      <c r="W8" s="30" t="s">
        <v>91</v>
      </c>
      <c r="X8" s="32" t="str">
        <f>Q32</f>
        <v>D87703D8</v>
      </c>
      <c r="Y8" t="str">
        <f t="shared" si="0"/>
        <v>0xD87703D8,</v>
      </c>
      <c r="Z8" s="30" t="s">
        <v>108</v>
      </c>
    </row>
    <row r="9" spans="1:26">
      <c r="A9" s="8" t="s">
        <v>109</v>
      </c>
      <c r="B9" s="6" t="s">
        <v>110</v>
      </c>
      <c r="C9" s="4">
        <v>3</v>
      </c>
      <c r="D9" s="36">
        <v>2</v>
      </c>
      <c r="E9" s="36">
        <v>2</v>
      </c>
      <c r="F9" s="36">
        <v>2</v>
      </c>
      <c r="G9" s="36">
        <v>2</v>
      </c>
      <c r="H9" s="36">
        <v>2</v>
      </c>
      <c r="I9" s="36">
        <v>2</v>
      </c>
      <c r="J9" s="36">
        <v>2</v>
      </c>
      <c r="K9" s="36">
        <v>2</v>
      </c>
      <c r="L9" s="36">
        <v>2</v>
      </c>
      <c r="M9" s="36">
        <v>2</v>
      </c>
      <c r="N9" s="36">
        <v>2</v>
      </c>
      <c r="O9" s="36">
        <v>2</v>
      </c>
      <c r="P9" s="36">
        <v>2</v>
      </c>
      <c r="Q9" s="36">
        <v>2</v>
      </c>
      <c r="R9" s="36">
        <v>2</v>
      </c>
      <c r="S9" s="36">
        <v>2</v>
      </c>
      <c r="V9" s="31"/>
      <c r="W9" s="30" t="s">
        <v>95</v>
      </c>
      <c r="X9" s="32" t="str">
        <f>Q31</f>
        <v>A24DDADB</v>
      </c>
      <c r="Y9" t="str">
        <f t="shared" si="0"/>
        <v>0xA24DDADB,</v>
      </c>
      <c r="Z9" s="30"/>
    </row>
    <row r="10" spans="1:26">
      <c r="A10" s="8" t="s">
        <v>111</v>
      </c>
      <c r="B10" s="6" t="s">
        <v>112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15</v>
      </c>
      <c r="I10" s="36">
        <v>14</v>
      </c>
      <c r="J10" s="36">
        <v>14</v>
      </c>
      <c r="K10" s="36">
        <v>12</v>
      </c>
      <c r="L10" s="36">
        <v>12</v>
      </c>
      <c r="M10" s="36">
        <v>9</v>
      </c>
      <c r="N10" s="36">
        <v>9</v>
      </c>
      <c r="O10" s="36">
        <v>8</v>
      </c>
      <c r="P10" s="36">
        <v>8</v>
      </c>
      <c r="Q10" s="36">
        <v>6</v>
      </c>
      <c r="R10" s="36">
        <v>6</v>
      </c>
      <c r="S10" s="36">
        <v>4</v>
      </c>
      <c r="V10" s="31"/>
      <c r="W10" s="30" t="s">
        <v>98</v>
      </c>
      <c r="X10" s="32" t="str">
        <f>Q30</f>
        <v>1C91A</v>
      </c>
      <c r="Y10" t="str">
        <f t="shared" si="0"/>
        <v>0x0001C91A,</v>
      </c>
      <c r="Z10" s="30"/>
    </row>
    <row r="11" spans="1:26">
      <c r="A11" s="8" t="s">
        <v>113</v>
      </c>
      <c r="B11" s="6" t="s">
        <v>114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36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91</v>
      </c>
      <c r="X11" s="32" t="str">
        <f>P32</f>
        <v>D87703F6</v>
      </c>
      <c r="Y11" t="str">
        <f t="shared" si="0"/>
        <v>0xD87703F6,</v>
      </c>
      <c r="Z11" s="30" t="s">
        <v>115</v>
      </c>
    </row>
    <row r="12" spans="1:26">
      <c r="A12" s="5" t="s">
        <v>116</v>
      </c>
      <c r="B12" s="6" t="s">
        <v>117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95</v>
      </c>
      <c r="X12" s="32" t="str">
        <f>P31</f>
        <v>A251DADB</v>
      </c>
      <c r="Y12" t="str">
        <f t="shared" si="0"/>
        <v>0xA251DADB,</v>
      </c>
      <c r="Z12" s="30"/>
    </row>
    <row r="13" spans="1:26">
      <c r="A13" s="8" t="s">
        <v>118</v>
      </c>
      <c r="B13" s="6" t="s">
        <v>119</v>
      </c>
      <c r="C13" s="4">
        <v>6</v>
      </c>
      <c r="D13" s="36">
        <v>53</v>
      </c>
      <c r="E13" s="36">
        <v>53</v>
      </c>
      <c r="F13" s="36">
        <v>53</v>
      </c>
      <c r="G13" s="36">
        <v>53</v>
      </c>
      <c r="H13" s="36">
        <v>53</v>
      </c>
      <c r="I13" s="36">
        <v>53</v>
      </c>
      <c r="J13" s="36">
        <v>53</v>
      </c>
      <c r="K13" s="36">
        <v>53</v>
      </c>
      <c r="L13" s="36">
        <v>53</v>
      </c>
      <c r="M13" s="36">
        <v>53</v>
      </c>
      <c r="N13" s="36">
        <v>53</v>
      </c>
      <c r="O13" s="36">
        <v>53</v>
      </c>
      <c r="P13" s="36">
        <v>53</v>
      </c>
      <c r="Q13" s="36">
        <v>53</v>
      </c>
      <c r="R13" s="36">
        <v>53</v>
      </c>
      <c r="S13" s="36">
        <v>53</v>
      </c>
      <c r="V13" s="31"/>
      <c r="W13" s="30" t="s">
        <v>98</v>
      </c>
      <c r="X13" s="32" t="str">
        <f>P30</f>
        <v>1C91A</v>
      </c>
      <c r="Y13" t="str">
        <f t="shared" si="0"/>
        <v>0x0001C91A,</v>
      </c>
      <c r="Z13" s="30"/>
    </row>
    <row r="14" spans="1:26">
      <c r="A14" s="8" t="s">
        <v>120</v>
      </c>
      <c r="B14" s="6" t="s">
        <v>121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36">
        <v>45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91</v>
      </c>
      <c r="X14" s="32" t="str">
        <f>O32</f>
        <v>D87703FD</v>
      </c>
      <c r="Y14" t="str">
        <f t="shared" si="0"/>
        <v>0xD87703FD,</v>
      </c>
      <c r="Z14" s="30" t="s">
        <v>122</v>
      </c>
    </row>
    <row r="15" spans="1:26">
      <c r="A15" s="8" t="s">
        <v>123</v>
      </c>
      <c r="B15" s="6" t="s">
        <v>124</v>
      </c>
      <c r="C15" s="4">
        <v>3</v>
      </c>
      <c r="D15" s="36">
        <v>7</v>
      </c>
      <c r="E15" s="36">
        <v>7</v>
      </c>
      <c r="F15" s="36">
        <v>7</v>
      </c>
      <c r="G15" s="36">
        <v>1</v>
      </c>
      <c r="H15" s="36">
        <v>1</v>
      </c>
      <c r="I15" s="36">
        <v>7</v>
      </c>
      <c r="J15" s="36">
        <v>4</v>
      </c>
      <c r="K15" s="36">
        <v>4</v>
      </c>
      <c r="L15" s="36">
        <v>7</v>
      </c>
      <c r="M15" s="36">
        <v>7</v>
      </c>
      <c r="N15" s="36">
        <v>7</v>
      </c>
      <c r="O15" s="36">
        <v>7</v>
      </c>
      <c r="P15" s="36">
        <v>7</v>
      </c>
      <c r="Q15" s="36">
        <v>7</v>
      </c>
      <c r="R15" s="36">
        <v>7</v>
      </c>
      <c r="S15" s="36">
        <v>7</v>
      </c>
      <c r="V15" s="31"/>
      <c r="W15" s="30" t="s">
        <v>95</v>
      </c>
      <c r="X15" s="32" t="str">
        <f>O31</f>
        <v>A251DADB</v>
      </c>
      <c r="Y15" t="str">
        <f t="shared" si="0"/>
        <v>0xA251DADB,</v>
      </c>
      <c r="Z15" s="30"/>
    </row>
    <row r="16" spans="1:26">
      <c r="A16" s="8" t="s">
        <v>125</v>
      </c>
      <c r="B16" s="9" t="s">
        <v>126</v>
      </c>
      <c r="C16" s="4">
        <v>4</v>
      </c>
      <c r="D16" s="36">
        <v>2</v>
      </c>
      <c r="E16" s="36">
        <v>2</v>
      </c>
      <c r="F16" s="36">
        <v>3</v>
      </c>
      <c r="G16" s="36">
        <v>2</v>
      </c>
      <c r="H16" s="36">
        <v>3</v>
      </c>
      <c r="I16" s="36">
        <v>3</v>
      </c>
      <c r="J16" s="36">
        <v>4</v>
      </c>
      <c r="K16" s="36">
        <v>4</v>
      </c>
      <c r="L16" s="36">
        <v>5</v>
      </c>
      <c r="M16" s="36">
        <v>5</v>
      </c>
      <c r="N16" s="36">
        <v>6</v>
      </c>
      <c r="O16" s="36">
        <v>6</v>
      </c>
      <c r="P16" s="36">
        <v>6</v>
      </c>
      <c r="Q16" s="36">
        <v>6</v>
      </c>
      <c r="R16" s="36">
        <v>6</v>
      </c>
      <c r="S16" s="36">
        <v>6</v>
      </c>
      <c r="V16" s="31"/>
      <c r="W16" s="30" t="s">
        <v>98</v>
      </c>
      <c r="X16" s="32" t="str">
        <f>O30</f>
        <v>1C91A</v>
      </c>
      <c r="Y16" t="str">
        <f t="shared" si="0"/>
        <v>0x0001C91A,</v>
      </c>
      <c r="Z16" s="30"/>
    </row>
    <row r="17" spans="1:26">
      <c r="A17" s="8" t="s">
        <v>127</v>
      </c>
      <c r="B17" s="9" t="s">
        <v>128</v>
      </c>
      <c r="C17" s="4">
        <v>4</v>
      </c>
      <c r="D17" s="36">
        <v>3</v>
      </c>
      <c r="E17" s="36">
        <v>3</v>
      </c>
      <c r="F17" s="36">
        <v>3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91</v>
      </c>
      <c r="X17" s="32" t="str">
        <f>N32</f>
        <v>D87703FE</v>
      </c>
      <c r="Y17" t="str">
        <f t="shared" si="0"/>
        <v>0xD87703FE,</v>
      </c>
      <c r="Z17" s="30" t="s">
        <v>129</v>
      </c>
    </row>
    <row r="18" spans="1:26">
      <c r="A18" s="8" t="s">
        <v>130</v>
      </c>
      <c r="B18" s="9" t="s">
        <v>131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95</v>
      </c>
      <c r="X18" s="32" t="str">
        <f>N31</f>
        <v>A253DADB</v>
      </c>
      <c r="Y18" t="str">
        <f t="shared" si="0"/>
        <v>0xA253DADB,</v>
      </c>
      <c r="Z18" s="30"/>
    </row>
    <row r="19" spans="1:26">
      <c r="A19" s="8" t="s">
        <v>132</v>
      </c>
      <c r="B19" s="9" t="s">
        <v>133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98</v>
      </c>
      <c r="X19" s="32" t="str">
        <f>N30</f>
        <v>1C91A</v>
      </c>
      <c r="Y19" t="str">
        <f t="shared" si="0"/>
        <v>0x0001C91A,</v>
      </c>
      <c r="Z19" s="30"/>
    </row>
    <row r="20" spans="1:26">
      <c r="A20" s="8" t="s">
        <v>134</v>
      </c>
      <c r="B20" s="9" t="s">
        <v>135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36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91</v>
      </c>
      <c r="X20" s="32" t="str">
        <f>M32</f>
        <v>D47703FD</v>
      </c>
      <c r="Y20" t="str">
        <f t="shared" si="0"/>
        <v>0xD47703FD,</v>
      </c>
      <c r="Z20" s="30" t="s">
        <v>136</v>
      </c>
    </row>
    <row r="21" spans="1:26">
      <c r="A21" s="8" t="s">
        <v>137</v>
      </c>
      <c r="B21" s="9" t="s">
        <v>138</v>
      </c>
      <c r="C21" s="4">
        <v>4</v>
      </c>
      <c r="D21" s="36">
        <v>6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95</v>
      </c>
      <c r="X21" s="32" t="str">
        <f>M31</f>
        <v>A253DADB</v>
      </c>
      <c r="Y21" t="str">
        <f t="shared" si="0"/>
        <v>0xA253DADB,</v>
      </c>
      <c r="Z21" s="30"/>
    </row>
    <row r="22" spans="1:26">
      <c r="A22" s="5" t="s">
        <v>139</v>
      </c>
      <c r="B22" s="6" t="s">
        <v>140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98</v>
      </c>
      <c r="X22" s="32" t="str">
        <f>M30</f>
        <v>1C91A</v>
      </c>
      <c r="Y22" t="str">
        <f t="shared" si="0"/>
        <v>0x0001C91A,</v>
      </c>
      <c r="Z22" s="30"/>
    </row>
    <row r="23" spans="1:26">
      <c r="A23" s="5" t="s">
        <v>141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91</v>
      </c>
      <c r="X23" s="32" t="str">
        <f>L32</f>
        <v>D47703FF</v>
      </c>
      <c r="Y23" t="str">
        <f t="shared" si="0"/>
        <v>0xD47703FF,</v>
      </c>
      <c r="Z23" s="30" t="s">
        <v>142</v>
      </c>
    </row>
    <row r="24" spans="1:26">
      <c r="A24" s="5" t="s">
        <v>143</v>
      </c>
      <c r="B24" s="6" t="s">
        <v>144</v>
      </c>
      <c r="C24" s="4">
        <v>5</v>
      </c>
      <c r="D24" s="36">
        <v>31</v>
      </c>
      <c r="E24" s="36">
        <v>31</v>
      </c>
      <c r="F24" s="36">
        <v>31</v>
      </c>
      <c r="G24" s="36">
        <v>31</v>
      </c>
      <c r="H24" s="36">
        <v>31</v>
      </c>
      <c r="I24" s="36">
        <v>31</v>
      </c>
      <c r="J24" s="36">
        <v>31</v>
      </c>
      <c r="K24" s="36">
        <v>31</v>
      </c>
      <c r="L24" s="36">
        <v>31</v>
      </c>
      <c r="M24" s="36">
        <v>31</v>
      </c>
      <c r="N24" s="36">
        <v>31</v>
      </c>
      <c r="O24" s="36">
        <v>31</v>
      </c>
      <c r="P24" s="36">
        <v>31</v>
      </c>
      <c r="Q24" s="36">
        <v>30</v>
      </c>
      <c r="R24" s="36">
        <v>26</v>
      </c>
      <c r="S24" s="36">
        <v>26</v>
      </c>
      <c r="V24" s="31"/>
      <c r="W24" s="30" t="s">
        <v>95</v>
      </c>
      <c r="X24" s="32" t="str">
        <f>L31</f>
        <v>A259DADB</v>
      </c>
      <c r="Y24" t="str">
        <f t="shared" si="0"/>
        <v>0xA259DADB,</v>
      </c>
      <c r="Z24" s="30"/>
    </row>
    <row r="25" spans="1:26">
      <c r="A25" s="5" t="s">
        <v>145</v>
      </c>
      <c r="B25" s="6" t="s">
        <v>146</v>
      </c>
      <c r="C25" s="4">
        <v>5</v>
      </c>
      <c r="D25" s="36">
        <v>31</v>
      </c>
      <c r="E25" s="36">
        <v>31</v>
      </c>
      <c r="F25" s="36">
        <v>26</v>
      </c>
      <c r="G25" s="36">
        <v>31</v>
      </c>
      <c r="H25" s="36">
        <v>29</v>
      </c>
      <c r="I25" s="36">
        <v>30</v>
      </c>
      <c r="J25" s="36">
        <v>31</v>
      </c>
      <c r="K25" s="36">
        <v>28</v>
      </c>
      <c r="L25" s="36">
        <v>31</v>
      </c>
      <c r="M25" s="36">
        <v>29</v>
      </c>
      <c r="N25" s="36">
        <v>30</v>
      </c>
      <c r="O25" s="36">
        <v>29</v>
      </c>
      <c r="P25" s="36">
        <v>22</v>
      </c>
      <c r="Q25" s="36">
        <v>24</v>
      </c>
      <c r="R25" s="36">
        <v>19</v>
      </c>
      <c r="S25" s="36">
        <v>23</v>
      </c>
      <c r="V25" s="31"/>
      <c r="W25" s="30" t="s">
        <v>98</v>
      </c>
      <c r="X25" s="32" t="str">
        <f>L30</f>
        <v>1C91A</v>
      </c>
      <c r="Y25" t="str">
        <f t="shared" si="0"/>
        <v>0x0001C91A,</v>
      </c>
      <c r="Z25" s="30"/>
    </row>
    <row r="26" spans="1:26">
      <c r="A26" s="10" t="s">
        <v>147</v>
      </c>
      <c r="B26" s="10"/>
      <c r="C26" s="11">
        <f>SUM(C2:C25)</f>
        <v>96</v>
      </c>
      <c r="D26" s="12" t="s">
        <v>176</v>
      </c>
      <c r="E26" s="12" t="s">
        <v>131</v>
      </c>
      <c r="F26" s="12" t="s">
        <v>177</v>
      </c>
      <c r="G26" s="12" t="s">
        <v>178</v>
      </c>
      <c r="H26" s="12" t="s">
        <v>179</v>
      </c>
      <c r="I26" s="12" t="s">
        <v>41</v>
      </c>
      <c r="J26" s="12" t="s">
        <v>180</v>
      </c>
      <c r="K26" s="12" t="s">
        <v>181</v>
      </c>
      <c r="L26" s="12" t="s">
        <v>182</v>
      </c>
      <c r="M26" s="12" t="s">
        <v>183</v>
      </c>
      <c r="N26" s="12" t="s">
        <v>184</v>
      </c>
      <c r="O26" s="12" t="s">
        <v>185</v>
      </c>
      <c r="P26" s="12" t="s">
        <v>186</v>
      </c>
      <c r="Q26" s="12" t="s">
        <v>187</v>
      </c>
      <c r="R26" s="12" t="s">
        <v>188</v>
      </c>
      <c r="S26" s="12" t="s">
        <v>189</v>
      </c>
      <c r="V26" s="31">
        <v>8</v>
      </c>
      <c r="W26" s="30" t="s">
        <v>91</v>
      </c>
      <c r="X26" s="32" t="str">
        <f>K32</f>
        <v>107703FC</v>
      </c>
      <c r="Y26" t="str">
        <f t="shared" si="0"/>
        <v>0x107703FC,</v>
      </c>
      <c r="Z26" s="30" t="s">
        <v>157</v>
      </c>
    </row>
    <row r="27" spans="1:26">
      <c r="A27" s="10" t="s">
        <v>158</v>
      </c>
      <c r="B27" s="10"/>
      <c r="C27" s="13"/>
      <c r="D27" s="12" t="s">
        <v>190</v>
      </c>
      <c r="E27" s="12" t="s">
        <v>191</v>
      </c>
      <c r="F27" s="12" t="s">
        <v>192</v>
      </c>
      <c r="G27" s="12" t="s">
        <v>193</v>
      </c>
      <c r="H27" s="12" t="s">
        <v>194</v>
      </c>
      <c r="I27" s="12" t="s">
        <v>195</v>
      </c>
      <c r="J27" s="12" t="s">
        <v>196</v>
      </c>
      <c r="K27" s="12" t="s">
        <v>197</v>
      </c>
      <c r="L27" s="12" t="s">
        <v>198</v>
      </c>
      <c r="M27" s="12" t="s">
        <v>194</v>
      </c>
      <c r="N27" s="12" t="s">
        <v>199</v>
      </c>
      <c r="O27" s="12" t="s">
        <v>200</v>
      </c>
      <c r="P27" s="12" t="s">
        <v>201</v>
      </c>
      <c r="Q27" s="12" t="s">
        <v>202</v>
      </c>
      <c r="R27" s="12" t="s">
        <v>203</v>
      </c>
      <c r="S27" s="12" t="s">
        <v>204</v>
      </c>
      <c r="V27" s="31"/>
      <c r="W27" s="30" t="s">
        <v>95</v>
      </c>
      <c r="X27" s="32" t="str">
        <f>K31</f>
        <v>A259DADB</v>
      </c>
      <c r="Y27" t="str">
        <f t="shared" si="0"/>
        <v>0xA259DADB,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98</v>
      </c>
      <c r="X28" s="32" t="str">
        <f>K30</f>
        <v>1C91A</v>
      </c>
      <c r="Y28" t="str">
        <f t="shared" si="0"/>
        <v>0x0001C91A,</v>
      </c>
      <c r="Z28" s="30"/>
    </row>
    <row r="29" spans="1:26">
      <c r="A29" s="14" t="s">
        <v>159</v>
      </c>
      <c r="B29" s="14"/>
      <c r="C29" s="14"/>
      <c r="D29" s="14" t="s">
        <v>176</v>
      </c>
      <c r="E29" s="14" t="s">
        <v>131</v>
      </c>
      <c r="F29" s="14" t="s">
        <v>177</v>
      </c>
      <c r="G29" s="14" t="s">
        <v>178</v>
      </c>
      <c r="H29" s="14" t="s">
        <v>179</v>
      </c>
      <c r="I29" s="14" t="s">
        <v>41</v>
      </c>
      <c r="J29" s="14" t="s">
        <v>180</v>
      </c>
      <c r="K29" s="14" t="s">
        <v>181</v>
      </c>
      <c r="L29" s="14" t="s">
        <v>182</v>
      </c>
      <c r="M29" s="14" t="s">
        <v>183</v>
      </c>
      <c r="N29" s="14" t="s">
        <v>184</v>
      </c>
      <c r="O29" s="14" t="s">
        <v>185</v>
      </c>
      <c r="P29" s="14" t="s">
        <v>186</v>
      </c>
      <c r="Q29" s="14" t="s">
        <v>187</v>
      </c>
      <c r="R29" s="14" t="s">
        <v>188</v>
      </c>
      <c r="S29" s="14">
        <v>-8</v>
      </c>
      <c r="V29" s="31">
        <v>9</v>
      </c>
      <c r="W29" s="30" t="s">
        <v>91</v>
      </c>
      <c r="X29" s="32" t="str">
        <f>J32</f>
        <v>107703FF</v>
      </c>
      <c r="Y29" t="str">
        <f t="shared" si="0"/>
        <v>0x107703FF,</v>
      </c>
      <c r="Z29" s="30" t="s">
        <v>160</v>
      </c>
    </row>
    <row r="30" spans="1:26">
      <c r="A30" s="15" t="s">
        <v>161</v>
      </c>
      <c r="B30" s="16"/>
      <c r="C30" s="16"/>
      <c r="D30" s="17" t="str">
        <f>DEC2HEX(POWER(2,0)*D6+POWER(2,6)*D5+POWER(2,12)*D4+POWER(2,18)*D3+POWER(2,23)*D2)</f>
        <v>1C91A</v>
      </c>
      <c r="E30" s="17" t="str">
        <f>DEC2HEX(POWER(2,0)*E6+POWER(2,6)*E5+POWER(2,12)*E4+POWER(2,18)*E3+POWER(2,23)*E2)</f>
        <v>1C91A</v>
      </c>
      <c r="F30" s="17" t="str">
        <f t="shared" ref="F30:S30" si="1">DEC2HEX(POWER(2,0)*F6+POWER(2,6)*F5+POWER(2,12)*F4+POWER(2,18)*F3+POWER(2,23)*F2)</f>
        <v>1C91A</v>
      </c>
      <c r="G30" s="17" t="str">
        <f t="shared" si="1"/>
        <v>1C91A</v>
      </c>
      <c r="H30" s="17" t="str">
        <f t="shared" si="1"/>
        <v>1C91A</v>
      </c>
      <c r="I30" s="17" t="str">
        <f t="shared" si="1"/>
        <v>1C91A</v>
      </c>
      <c r="J30" s="17" t="str">
        <f t="shared" si="1"/>
        <v>1C91A</v>
      </c>
      <c r="K30" s="17" t="str">
        <f t="shared" si="1"/>
        <v>1C91A</v>
      </c>
      <c r="L30" s="17" t="str">
        <f t="shared" si="1"/>
        <v>1C91A</v>
      </c>
      <c r="M30" s="17" t="str">
        <f t="shared" si="1"/>
        <v>1C91A</v>
      </c>
      <c r="N30" s="17" t="str">
        <f t="shared" si="1"/>
        <v>1C91A</v>
      </c>
      <c r="O30" s="17" t="str">
        <f t="shared" si="1"/>
        <v>1C91A</v>
      </c>
      <c r="P30" s="17" t="str">
        <f t="shared" si="1"/>
        <v>1C91A</v>
      </c>
      <c r="Q30" s="17" t="str">
        <f t="shared" si="1"/>
        <v>1C91A</v>
      </c>
      <c r="R30" s="17" t="str">
        <f t="shared" si="1"/>
        <v>1C91A</v>
      </c>
      <c r="S30" s="17" t="str">
        <f t="shared" si="1"/>
        <v>1C91A</v>
      </c>
      <c r="V30" s="31"/>
      <c r="W30" s="30" t="s">
        <v>95</v>
      </c>
      <c r="X30" s="32" t="str">
        <f>J31</f>
        <v>A25DDADB</v>
      </c>
      <c r="Y30" t="str">
        <f t="shared" si="0"/>
        <v>0xA25DDADB,</v>
      </c>
      <c r="Z30" s="30"/>
    </row>
    <row r="31" spans="1:26">
      <c r="A31" s="15" t="s">
        <v>162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A25FDADB</v>
      </c>
      <c r="E31" s="17" t="str">
        <f>DEC2HEX(POWER(2,0)*INT(E15/4)+POWER(2,1)*E14+POWER(2,7)*E13+POWER(2,13)*E12+POWER(2,14)*E11+POWER(2,17)*E10+POWER(2,21)*E9+POWER(2,24)*E8+POWER(2,28)*E7)</f>
        <v>A25FDADB</v>
      </c>
      <c r="F31" s="17" t="str">
        <f t="shared" ref="F31:S31" si="2">DEC2HEX(POWER(2,0)*INT(F15/4)+POWER(2,1)*F14+POWER(2,7)*F13+POWER(2,13)*F12+POWER(2,14)*F11+POWER(2,17)*F10+POWER(2,21)*F9+POWER(2,24)*F8+POWER(2,28)*F7)</f>
        <v>A25FDADB</v>
      </c>
      <c r="G31" s="17" t="str">
        <f t="shared" si="2"/>
        <v>A25FDADA</v>
      </c>
      <c r="H31" s="17" t="str">
        <f t="shared" si="2"/>
        <v>A25FDADA</v>
      </c>
      <c r="I31" s="17" t="str">
        <f t="shared" si="2"/>
        <v>A25DDADB</v>
      </c>
      <c r="J31" s="17" t="str">
        <f t="shared" si="2"/>
        <v>A25DDADB</v>
      </c>
      <c r="K31" s="17" t="str">
        <f t="shared" si="2"/>
        <v>A259DADB</v>
      </c>
      <c r="L31" s="17" t="str">
        <f t="shared" si="2"/>
        <v>A259DADB</v>
      </c>
      <c r="M31" s="17" t="str">
        <f t="shared" si="2"/>
        <v>A253DADB</v>
      </c>
      <c r="N31" s="17" t="str">
        <f t="shared" si="2"/>
        <v>A253DADB</v>
      </c>
      <c r="O31" s="17" t="str">
        <f t="shared" si="2"/>
        <v>A251DADB</v>
      </c>
      <c r="P31" s="17" t="str">
        <f t="shared" si="2"/>
        <v>A251DADB</v>
      </c>
      <c r="Q31" s="17" t="str">
        <f t="shared" si="2"/>
        <v>A24DDADB</v>
      </c>
      <c r="R31" s="17" t="str">
        <f t="shared" si="2"/>
        <v>A24DDADB</v>
      </c>
      <c r="S31" s="17" t="str">
        <f t="shared" si="2"/>
        <v>A249DADB</v>
      </c>
      <c r="V31" s="31"/>
      <c r="W31" s="30" t="s">
        <v>98</v>
      </c>
      <c r="X31" s="32" t="str">
        <f>J30</f>
        <v>1C91A</v>
      </c>
      <c r="Y31" t="str">
        <f t="shared" si="0"/>
        <v>0x0001C91A,</v>
      </c>
      <c r="Z31" s="30"/>
    </row>
    <row r="32" spans="1:26">
      <c r="A32" s="15" t="s">
        <v>163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C8F6C3FF</v>
      </c>
      <c r="E32" s="17" t="str">
        <f>DEC2HEX(POWER(2,0)*E25+POWER(2,5)*E24+POWER(2,10)*E23+POWER(2,12)*E22+POWER(2,13)*E21+POWER(2,17)*E20+POWER(2,20)*E19+POWER(2,21)*E18+POWER(2,22)*E17+POWER(2,26)*E16+POWER(2,30)*MOD(E15,4))</f>
        <v>C8F703FF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CCF703FA</v>
      </c>
      <c r="G32" s="17" t="str">
        <f t="shared" si="3"/>
        <v>487703FF</v>
      </c>
      <c r="H32" s="17" t="str">
        <f t="shared" si="3"/>
        <v>4C7703FD</v>
      </c>
      <c r="I32" s="17" t="str">
        <f t="shared" si="3"/>
        <v>CC7703FE</v>
      </c>
      <c r="J32" s="17" t="str">
        <f t="shared" si="3"/>
        <v>107703FF</v>
      </c>
      <c r="K32" s="17" t="str">
        <f t="shared" si="3"/>
        <v>107703FC</v>
      </c>
      <c r="L32" s="17" t="str">
        <f t="shared" si="3"/>
        <v>D47703FF</v>
      </c>
      <c r="M32" s="17" t="str">
        <f t="shared" si="3"/>
        <v>D47703FD</v>
      </c>
      <c r="N32" s="17" t="str">
        <f t="shared" si="3"/>
        <v>D87703FE</v>
      </c>
      <c r="O32" s="17" t="str">
        <f t="shared" si="3"/>
        <v>D87703FD</v>
      </c>
      <c r="P32" s="17" t="str">
        <f t="shared" si="3"/>
        <v>D87703F6</v>
      </c>
      <c r="Q32" s="17" t="str">
        <f t="shared" si="3"/>
        <v>D87703D8</v>
      </c>
      <c r="R32" s="17" t="str">
        <f t="shared" si="3"/>
        <v>D8770353</v>
      </c>
      <c r="S32" s="17" t="str">
        <f t="shared" si="3"/>
        <v>D8770357</v>
      </c>
      <c r="V32" s="31" t="s">
        <v>164</v>
      </c>
      <c r="W32" s="30" t="s">
        <v>91</v>
      </c>
      <c r="X32" s="32" t="str">
        <f>I32</f>
        <v>CC7703FE</v>
      </c>
      <c r="Y32" t="str">
        <f t="shared" si="0"/>
        <v>0xCC7703FE,</v>
      </c>
      <c r="Z32" s="30" t="s">
        <v>165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95</v>
      </c>
      <c r="X33" s="32" t="str">
        <f>I31</f>
        <v>A25DDADB</v>
      </c>
      <c r="Y33" t="str">
        <f t="shared" si="0"/>
        <v>0xA25DDADB,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98</v>
      </c>
      <c r="X34" s="32" t="str">
        <f>I30</f>
        <v>1C91A</v>
      </c>
      <c r="Y34" t="str">
        <f t="shared" si="0"/>
        <v>0x0001C91A,</v>
      </c>
      <c r="Z34" s="30"/>
    </row>
    <row r="35" spans="1:26">
      <c r="A35" s="10" t="s">
        <v>205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166</v>
      </c>
      <c r="W35" s="30" t="s">
        <v>91</v>
      </c>
      <c r="X35" s="32" t="str">
        <f>H32</f>
        <v>4C7703FD</v>
      </c>
      <c r="Y35" t="str">
        <f t="shared" si="0"/>
        <v>0x4C7703FD,</v>
      </c>
      <c r="Z35" s="30" t="s">
        <v>167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95</v>
      </c>
      <c r="X36" s="32" t="str">
        <f>H31</f>
        <v>A25FDADA</v>
      </c>
      <c r="Y36" t="str">
        <f t="shared" si="0"/>
        <v>0xA25FDADA,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98</v>
      </c>
      <c r="X37" s="32" t="str">
        <f>H30</f>
        <v>1C91A</v>
      </c>
      <c r="Y37" t="str">
        <f t="shared" si="0"/>
        <v>0x0001C91A,</v>
      </c>
      <c r="Z37" s="30"/>
    </row>
    <row r="38" spans="22:26">
      <c r="V38" s="31" t="s">
        <v>168</v>
      </c>
      <c r="W38" s="30" t="s">
        <v>91</v>
      </c>
      <c r="X38" s="32" t="str">
        <f>G32</f>
        <v>487703FF</v>
      </c>
      <c r="Y38" t="str">
        <f t="shared" si="0"/>
        <v>0x487703FF,</v>
      </c>
      <c r="Z38" s="30" t="s">
        <v>169</v>
      </c>
    </row>
    <row r="39" spans="22:26">
      <c r="V39" s="31"/>
      <c r="W39" s="30" t="s">
        <v>95</v>
      </c>
      <c r="X39" s="32" t="str">
        <f>G31</f>
        <v>A25FDADA</v>
      </c>
      <c r="Y39" t="str">
        <f t="shared" si="0"/>
        <v>0xA25FDADA,</v>
      </c>
      <c r="Z39" s="30"/>
    </row>
    <row r="40" spans="22:26">
      <c r="V40" s="31"/>
      <c r="W40" s="30" t="s">
        <v>98</v>
      </c>
      <c r="X40" s="32" t="str">
        <f>G30</f>
        <v>1C91A</v>
      </c>
      <c r="Y40" t="str">
        <f t="shared" si="0"/>
        <v>0x0001C91A,</v>
      </c>
      <c r="Z40" s="30"/>
    </row>
    <row r="41" spans="22:26">
      <c r="V41" s="31" t="s">
        <v>170</v>
      </c>
      <c r="W41" s="30" t="s">
        <v>91</v>
      </c>
      <c r="X41" s="32" t="str">
        <f>F32</f>
        <v>CCF703FA</v>
      </c>
      <c r="Y41" t="str">
        <f t="shared" si="0"/>
        <v>0xCCF703FA,</v>
      </c>
      <c r="Z41" s="30" t="s">
        <v>171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95</v>
      </c>
      <c r="X42" s="32" t="str">
        <f>F31</f>
        <v>A25FDADB</v>
      </c>
      <c r="Y42" t="str">
        <f t="shared" si="0"/>
        <v>0xA25FDADB,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98</v>
      </c>
      <c r="X43" s="32" t="str">
        <f>F30</f>
        <v>1C91A</v>
      </c>
      <c r="Y43" t="str">
        <f t="shared" si="0"/>
        <v>0x0001C91A,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172</v>
      </c>
      <c r="W44" s="30" t="s">
        <v>91</v>
      </c>
      <c r="X44" s="32" t="str">
        <f>E32</f>
        <v>C8F703FF</v>
      </c>
      <c r="Y44" t="str">
        <f t="shared" si="0"/>
        <v>0xC8F703FF,</v>
      </c>
      <c r="Z44" s="30" t="s">
        <v>173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95</v>
      </c>
      <c r="X45" s="32" t="str">
        <f>E31</f>
        <v>A25FDADB</v>
      </c>
      <c r="Y45" t="str">
        <f t="shared" si="0"/>
        <v>0xA25FDADB,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98</v>
      </c>
      <c r="X46" s="32" t="str">
        <f>E30</f>
        <v>1C91A</v>
      </c>
      <c r="Y46" t="str">
        <f t="shared" si="0"/>
        <v>0x0001C91A,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174</v>
      </c>
      <c r="W47" s="30" t="s">
        <v>91</v>
      </c>
      <c r="X47" s="32" t="str">
        <f>D32</f>
        <v>C8F6C3FF</v>
      </c>
      <c r="Y47" t="str">
        <f t="shared" si="0"/>
        <v>0xC8F6C3FF,</v>
      </c>
      <c r="Z47" s="30" t="s">
        <v>175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95</v>
      </c>
      <c r="X48" s="32" t="str">
        <f>D31</f>
        <v>A25FDADB</v>
      </c>
      <c r="Y48" t="str">
        <f t="shared" si="0"/>
        <v>0xA25FDADB,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98</v>
      </c>
      <c r="X49" s="32" t="str">
        <f>D30</f>
        <v>1C91A</v>
      </c>
      <c r="Y49" t="str">
        <f t="shared" si="0"/>
        <v>0x0001C91A,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I35" sqref="I3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88</v>
      </c>
      <c r="W1" s="30"/>
      <c r="X1" s="30"/>
    </row>
    <row r="2" spans="1:26">
      <c r="A2" s="2" t="s">
        <v>89</v>
      </c>
      <c r="B2" s="3" t="s">
        <v>90</v>
      </c>
      <c r="C2" s="4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V2" s="31">
        <v>0</v>
      </c>
      <c r="W2" s="30" t="s">
        <v>91</v>
      </c>
      <c r="X2" s="32" t="str">
        <f>S32</f>
        <v>0</v>
      </c>
      <c r="Y2" t="str">
        <f t="shared" ref="Y2:Y49" si="0">"0x"&amp;RIGHT("00000000"&amp;X2,8)&amp;","</f>
        <v>0x00000000,</v>
      </c>
      <c r="Z2" s="30" t="s">
        <v>92</v>
      </c>
    </row>
    <row r="3" spans="1:26">
      <c r="A3" s="5" t="s">
        <v>93</v>
      </c>
      <c r="B3" s="6" t="s">
        <v>94</v>
      </c>
      <c r="C3" s="4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V3" s="31"/>
      <c r="W3" s="30" t="s">
        <v>95</v>
      </c>
      <c r="X3" s="32" t="str">
        <f>S31</f>
        <v>0</v>
      </c>
      <c r="Y3" t="str">
        <f t="shared" si="0"/>
        <v>0x00000000,</v>
      </c>
      <c r="Z3" s="30"/>
    </row>
    <row r="4" spans="1:26">
      <c r="A4" s="5" t="s">
        <v>96</v>
      </c>
      <c r="B4" s="6" t="s">
        <v>97</v>
      </c>
      <c r="C4" s="4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V4" s="31"/>
      <c r="W4" s="30" t="s">
        <v>98</v>
      </c>
      <c r="X4" s="32" t="str">
        <f>S30</f>
        <v>0</v>
      </c>
      <c r="Y4" t="str">
        <f t="shared" si="0"/>
        <v>0x00000000,</v>
      </c>
      <c r="Z4" s="30"/>
    </row>
    <row r="5" spans="1:26">
      <c r="A5" s="5" t="s">
        <v>99</v>
      </c>
      <c r="B5" s="6" t="s">
        <v>100</v>
      </c>
      <c r="C5" s="4">
        <v>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V5" s="31">
        <v>1</v>
      </c>
      <c r="W5" s="30" t="s">
        <v>91</v>
      </c>
      <c r="X5" s="32" t="str">
        <f>R32</f>
        <v>0</v>
      </c>
      <c r="Y5" t="str">
        <f t="shared" si="0"/>
        <v>0x00000000,</v>
      </c>
      <c r="Z5" s="30" t="s">
        <v>101</v>
      </c>
    </row>
    <row r="6" spans="1:26">
      <c r="A6" s="5" t="s">
        <v>102</v>
      </c>
      <c r="B6" s="6" t="s">
        <v>103</v>
      </c>
      <c r="C6" s="4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V6" s="31"/>
      <c r="W6" s="30" t="s">
        <v>95</v>
      </c>
      <c r="X6" s="32" t="str">
        <f>R31</f>
        <v>0</v>
      </c>
      <c r="Y6" t="str">
        <f t="shared" si="0"/>
        <v>0x00000000,</v>
      </c>
      <c r="Z6" s="30"/>
    </row>
    <row r="7" spans="1:26">
      <c r="A7" s="2" t="s">
        <v>104</v>
      </c>
      <c r="B7" s="6" t="s">
        <v>105</v>
      </c>
      <c r="C7" s="4">
        <v>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V7" s="31"/>
      <c r="W7" s="30" t="s">
        <v>98</v>
      </c>
      <c r="X7" s="32" t="str">
        <f>R30</f>
        <v>0</v>
      </c>
      <c r="Y7" t="str">
        <f t="shared" si="0"/>
        <v>0x00000000,</v>
      </c>
      <c r="Z7" s="30"/>
    </row>
    <row r="8" spans="1:26">
      <c r="A8" s="2" t="s">
        <v>106</v>
      </c>
      <c r="B8" s="6" t="s">
        <v>107</v>
      </c>
      <c r="C8" s="4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V8" s="31">
        <v>2</v>
      </c>
      <c r="W8" s="30" t="s">
        <v>91</v>
      </c>
      <c r="X8" s="32" t="str">
        <f>Q32</f>
        <v>0</v>
      </c>
      <c r="Y8" t="str">
        <f t="shared" si="0"/>
        <v>0x00000000,</v>
      </c>
      <c r="Z8" s="30" t="s">
        <v>108</v>
      </c>
    </row>
    <row r="9" spans="1:26">
      <c r="A9" s="8" t="s">
        <v>109</v>
      </c>
      <c r="B9" s="6" t="s">
        <v>110</v>
      </c>
      <c r="C9" s="4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V9" s="31"/>
      <c r="W9" s="30" t="s">
        <v>95</v>
      </c>
      <c r="X9" s="32" t="str">
        <f>Q31</f>
        <v>0</v>
      </c>
      <c r="Y9" t="str">
        <f t="shared" si="0"/>
        <v>0x00000000,</v>
      </c>
      <c r="Z9" s="30"/>
    </row>
    <row r="10" spans="1:26">
      <c r="A10" s="8" t="s">
        <v>111</v>
      </c>
      <c r="B10" s="6" t="s">
        <v>112</v>
      </c>
      <c r="C10" s="4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V10" s="31"/>
      <c r="W10" s="30" t="s">
        <v>98</v>
      </c>
      <c r="X10" s="32" t="str">
        <f>Q30</f>
        <v>0</v>
      </c>
      <c r="Y10" t="str">
        <f t="shared" si="0"/>
        <v>0x00000000,</v>
      </c>
      <c r="Z10" s="30"/>
    </row>
    <row r="11" spans="1:26">
      <c r="A11" s="8" t="s">
        <v>113</v>
      </c>
      <c r="B11" s="6" t="s">
        <v>114</v>
      </c>
      <c r="C11" s="4"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V11" s="31">
        <v>3</v>
      </c>
      <c r="W11" s="30" t="s">
        <v>91</v>
      </c>
      <c r="X11" s="32" t="str">
        <f>P32</f>
        <v>0</v>
      </c>
      <c r="Y11" t="str">
        <f t="shared" si="0"/>
        <v>0x00000000,</v>
      </c>
      <c r="Z11" s="30" t="s">
        <v>115</v>
      </c>
    </row>
    <row r="12" spans="1:26">
      <c r="A12" s="5" t="s">
        <v>116</v>
      </c>
      <c r="B12" s="6" t="s">
        <v>117</v>
      </c>
      <c r="C12" s="4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V12" s="31"/>
      <c r="W12" s="30" t="s">
        <v>95</v>
      </c>
      <c r="X12" s="32" t="str">
        <f>P31</f>
        <v>0</v>
      </c>
      <c r="Y12" t="str">
        <f t="shared" si="0"/>
        <v>0x00000000,</v>
      </c>
      <c r="Z12" s="30"/>
    </row>
    <row r="13" spans="1:26">
      <c r="A13" s="8" t="s">
        <v>118</v>
      </c>
      <c r="B13" s="6" t="s">
        <v>119</v>
      </c>
      <c r="C13" s="4">
        <v>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V13" s="31"/>
      <c r="W13" s="30" t="s">
        <v>98</v>
      </c>
      <c r="X13" s="32" t="str">
        <f>P30</f>
        <v>0</v>
      </c>
      <c r="Y13" t="str">
        <f t="shared" si="0"/>
        <v>0x00000000,</v>
      </c>
      <c r="Z13" s="30"/>
    </row>
    <row r="14" spans="1:26">
      <c r="A14" s="8" t="s">
        <v>120</v>
      </c>
      <c r="B14" s="6" t="s">
        <v>121</v>
      </c>
      <c r="C14" s="4">
        <v>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V14" s="31">
        <v>4</v>
      </c>
      <c r="W14" s="30" t="s">
        <v>91</v>
      </c>
      <c r="X14" s="32" t="str">
        <f>O32</f>
        <v>0</v>
      </c>
      <c r="Y14" t="str">
        <f t="shared" si="0"/>
        <v>0x00000000,</v>
      </c>
      <c r="Z14" s="30" t="s">
        <v>122</v>
      </c>
    </row>
    <row r="15" spans="1:26">
      <c r="A15" s="8" t="s">
        <v>123</v>
      </c>
      <c r="B15" s="6" t="s">
        <v>124</v>
      </c>
      <c r="C15" s="4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V15" s="31"/>
      <c r="W15" s="30" t="s">
        <v>95</v>
      </c>
      <c r="X15" s="32" t="str">
        <f>O31</f>
        <v>0</v>
      </c>
      <c r="Y15" t="str">
        <f t="shared" si="0"/>
        <v>0x00000000,</v>
      </c>
      <c r="Z15" s="30"/>
    </row>
    <row r="16" spans="1:26">
      <c r="A16" s="8" t="s">
        <v>125</v>
      </c>
      <c r="B16" s="9" t="s">
        <v>126</v>
      </c>
      <c r="C16" s="4">
        <v>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V16" s="31"/>
      <c r="W16" s="30" t="s">
        <v>98</v>
      </c>
      <c r="X16" s="32" t="str">
        <f>O30</f>
        <v>0</v>
      </c>
      <c r="Y16" t="str">
        <f t="shared" si="0"/>
        <v>0x00000000,</v>
      </c>
      <c r="Z16" s="30"/>
    </row>
    <row r="17" spans="1:26">
      <c r="A17" s="8" t="s">
        <v>127</v>
      </c>
      <c r="B17" s="9" t="s">
        <v>128</v>
      </c>
      <c r="C17" s="4">
        <v>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V17" s="31">
        <v>5</v>
      </c>
      <c r="W17" s="30" t="s">
        <v>91</v>
      </c>
      <c r="X17" s="32" t="str">
        <f>N32</f>
        <v>0</v>
      </c>
      <c r="Y17" t="str">
        <f t="shared" si="0"/>
        <v>0x00000000,</v>
      </c>
      <c r="Z17" s="30" t="s">
        <v>129</v>
      </c>
    </row>
    <row r="18" spans="1:26">
      <c r="A18" s="8" t="s">
        <v>130</v>
      </c>
      <c r="B18" s="9" t="s">
        <v>131</v>
      </c>
      <c r="C18" s="4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V18" s="31"/>
      <c r="W18" s="30" t="s">
        <v>95</v>
      </c>
      <c r="X18" s="32" t="str">
        <f>N31</f>
        <v>0</v>
      </c>
      <c r="Y18" t="str">
        <f t="shared" si="0"/>
        <v>0x00000000,</v>
      </c>
      <c r="Z18" s="30"/>
    </row>
    <row r="19" spans="1:26">
      <c r="A19" s="8" t="s">
        <v>132</v>
      </c>
      <c r="B19" s="9" t="s">
        <v>133</v>
      </c>
      <c r="C19" s="4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V19" s="31"/>
      <c r="W19" s="30" t="s">
        <v>98</v>
      </c>
      <c r="X19" s="32" t="str">
        <f>N30</f>
        <v>0</v>
      </c>
      <c r="Y19" t="str">
        <f t="shared" si="0"/>
        <v>0x00000000,</v>
      </c>
      <c r="Z19" s="30"/>
    </row>
    <row r="20" spans="1:26">
      <c r="A20" s="8" t="s">
        <v>134</v>
      </c>
      <c r="B20" s="9" t="s">
        <v>135</v>
      </c>
      <c r="C20" s="4">
        <v>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V20" s="31">
        <v>6</v>
      </c>
      <c r="W20" s="30" t="s">
        <v>91</v>
      </c>
      <c r="X20" s="32" t="str">
        <f>M32</f>
        <v>0</v>
      </c>
      <c r="Y20" t="str">
        <f t="shared" si="0"/>
        <v>0x00000000,</v>
      </c>
      <c r="Z20" s="30" t="s">
        <v>136</v>
      </c>
    </row>
    <row r="21" spans="1:26">
      <c r="A21" s="8" t="s">
        <v>137</v>
      </c>
      <c r="B21" s="9" t="s">
        <v>138</v>
      </c>
      <c r="C21" s="4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V21" s="31"/>
      <c r="W21" s="30" t="s">
        <v>95</v>
      </c>
      <c r="X21" s="32" t="str">
        <f>M31</f>
        <v>0</v>
      </c>
      <c r="Y21" t="str">
        <f t="shared" si="0"/>
        <v>0x00000000,</v>
      </c>
      <c r="Z21" s="30"/>
    </row>
    <row r="22" spans="1:26">
      <c r="A22" s="5" t="s">
        <v>139</v>
      </c>
      <c r="B22" s="6" t="s">
        <v>140</v>
      </c>
      <c r="C22" s="4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V22" s="31"/>
      <c r="W22" s="30" t="s">
        <v>98</v>
      </c>
      <c r="X22" s="32" t="str">
        <f>M30</f>
        <v>0</v>
      </c>
      <c r="Y22" t="str">
        <f t="shared" si="0"/>
        <v>0x00000000,</v>
      </c>
      <c r="Z22" s="30"/>
    </row>
    <row r="23" spans="1:26">
      <c r="A23" s="5" t="s">
        <v>141</v>
      </c>
      <c r="B23" s="6" t="s">
        <v>12</v>
      </c>
      <c r="C23" s="4">
        <v>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V23" s="31">
        <v>7</v>
      </c>
      <c r="W23" s="30" t="s">
        <v>91</v>
      </c>
      <c r="X23" s="32" t="str">
        <f>L32</f>
        <v>0</v>
      </c>
      <c r="Y23" t="str">
        <f t="shared" si="0"/>
        <v>0x00000000,</v>
      </c>
      <c r="Z23" s="30" t="s">
        <v>142</v>
      </c>
    </row>
    <row r="24" spans="1:26">
      <c r="A24" s="5" t="s">
        <v>143</v>
      </c>
      <c r="B24" s="6" t="s">
        <v>144</v>
      </c>
      <c r="C24" s="4">
        <v>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V24" s="31"/>
      <c r="W24" s="30" t="s">
        <v>95</v>
      </c>
      <c r="X24" s="32" t="str">
        <f>L31</f>
        <v>0</v>
      </c>
      <c r="Y24" t="str">
        <f t="shared" si="0"/>
        <v>0x00000000,</v>
      </c>
      <c r="Z24" s="30"/>
    </row>
    <row r="25" spans="1:26">
      <c r="A25" s="5" t="s">
        <v>145</v>
      </c>
      <c r="B25" s="6" t="s">
        <v>146</v>
      </c>
      <c r="C25" s="4">
        <v>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V25" s="31"/>
      <c r="W25" s="30" t="s">
        <v>98</v>
      </c>
      <c r="X25" s="32" t="str">
        <f>L30</f>
        <v>0</v>
      </c>
      <c r="Y25" t="str">
        <f t="shared" si="0"/>
        <v>0x00000000,</v>
      </c>
      <c r="Z25" s="30"/>
    </row>
    <row r="26" spans="1:26">
      <c r="A26" s="10" t="s">
        <v>147</v>
      </c>
      <c r="B26" s="10"/>
      <c r="C26" s="11">
        <f>SUM(C2:C25)</f>
        <v>96</v>
      </c>
      <c r="D26" s="12" t="s">
        <v>176</v>
      </c>
      <c r="E26" s="12" t="s">
        <v>131</v>
      </c>
      <c r="F26" s="12" t="s">
        <v>177</v>
      </c>
      <c r="G26" s="12" t="s">
        <v>178</v>
      </c>
      <c r="H26" s="12" t="s">
        <v>179</v>
      </c>
      <c r="I26" s="12" t="s">
        <v>41</v>
      </c>
      <c r="J26" s="12" t="s">
        <v>180</v>
      </c>
      <c r="K26" s="12" t="s">
        <v>181</v>
      </c>
      <c r="L26" s="12" t="s">
        <v>182</v>
      </c>
      <c r="M26" s="12" t="s">
        <v>183</v>
      </c>
      <c r="N26" s="12" t="s">
        <v>184</v>
      </c>
      <c r="O26" s="12" t="s">
        <v>185</v>
      </c>
      <c r="P26" s="12" t="s">
        <v>186</v>
      </c>
      <c r="Q26" s="12" t="s">
        <v>187</v>
      </c>
      <c r="R26" s="12" t="s">
        <v>188</v>
      </c>
      <c r="S26" s="12" t="s">
        <v>189</v>
      </c>
      <c r="V26" s="31">
        <v>8</v>
      </c>
      <c r="W26" s="30" t="s">
        <v>91</v>
      </c>
      <c r="X26" s="32" t="str">
        <f>K32</f>
        <v>0</v>
      </c>
      <c r="Y26" t="str">
        <f t="shared" si="0"/>
        <v>0x00000000,</v>
      </c>
      <c r="Z26" s="30" t="s">
        <v>157</v>
      </c>
    </row>
    <row r="27" spans="1:26">
      <c r="A27" s="10" t="s">
        <v>158</v>
      </c>
      <c r="B27" s="10"/>
      <c r="C27" s="13"/>
      <c r="D27" s="12" t="s">
        <v>190</v>
      </c>
      <c r="E27" s="12" t="s">
        <v>191</v>
      </c>
      <c r="F27" s="12" t="s">
        <v>192</v>
      </c>
      <c r="G27" s="12" t="s">
        <v>193</v>
      </c>
      <c r="H27" s="12" t="s">
        <v>194</v>
      </c>
      <c r="I27" s="12" t="s">
        <v>195</v>
      </c>
      <c r="J27" s="12" t="s">
        <v>196</v>
      </c>
      <c r="K27" s="12" t="s">
        <v>197</v>
      </c>
      <c r="L27" s="12" t="s">
        <v>198</v>
      </c>
      <c r="M27" s="12" t="s">
        <v>194</v>
      </c>
      <c r="N27" s="12" t="s">
        <v>199</v>
      </c>
      <c r="O27" s="12" t="s">
        <v>200</v>
      </c>
      <c r="P27" s="12" t="s">
        <v>201</v>
      </c>
      <c r="Q27" s="12" t="s">
        <v>202</v>
      </c>
      <c r="R27" s="12" t="s">
        <v>203</v>
      </c>
      <c r="S27" s="12" t="s">
        <v>204</v>
      </c>
      <c r="V27" s="31"/>
      <c r="W27" s="30" t="s">
        <v>95</v>
      </c>
      <c r="X27" s="32" t="str">
        <f>K31</f>
        <v>0</v>
      </c>
      <c r="Y27" t="str">
        <f t="shared" si="0"/>
        <v>0x00000000,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98</v>
      </c>
      <c r="X28" s="32" t="str">
        <f>K30</f>
        <v>0</v>
      </c>
      <c r="Y28" t="str">
        <f t="shared" si="0"/>
        <v>0x00000000,</v>
      </c>
      <c r="Z28" s="30"/>
    </row>
    <row r="29" spans="1:26">
      <c r="A29" s="14" t="s">
        <v>159</v>
      </c>
      <c r="B29" s="14"/>
      <c r="C29" s="14"/>
      <c r="D29" s="14" t="s">
        <v>176</v>
      </c>
      <c r="E29" s="14" t="s">
        <v>131</v>
      </c>
      <c r="F29" s="14" t="s">
        <v>177</v>
      </c>
      <c r="G29" s="14" t="s">
        <v>178</v>
      </c>
      <c r="H29" s="14" t="s">
        <v>179</v>
      </c>
      <c r="I29" s="14" t="s">
        <v>41</v>
      </c>
      <c r="J29" s="14" t="s">
        <v>180</v>
      </c>
      <c r="K29" s="14" t="s">
        <v>181</v>
      </c>
      <c r="L29" s="14" t="s">
        <v>182</v>
      </c>
      <c r="M29" s="14" t="s">
        <v>183</v>
      </c>
      <c r="N29" s="14" t="s">
        <v>184</v>
      </c>
      <c r="O29" s="14" t="s">
        <v>185</v>
      </c>
      <c r="P29" s="14" t="s">
        <v>186</v>
      </c>
      <c r="Q29" s="14" t="s">
        <v>187</v>
      </c>
      <c r="R29" s="14" t="s">
        <v>188</v>
      </c>
      <c r="S29" s="14">
        <v>-8</v>
      </c>
      <c r="V29" s="31">
        <v>9</v>
      </c>
      <c r="W29" s="30" t="s">
        <v>91</v>
      </c>
      <c r="X29" s="32" t="str">
        <f>J32</f>
        <v>0</v>
      </c>
      <c r="Y29" t="str">
        <f t="shared" si="0"/>
        <v>0x00000000,</v>
      </c>
      <c r="Z29" s="30" t="s">
        <v>160</v>
      </c>
    </row>
    <row r="30" spans="1:26">
      <c r="A30" s="15" t="s">
        <v>161</v>
      </c>
      <c r="B30" s="16"/>
      <c r="C30" s="16"/>
      <c r="D30" s="17" t="str">
        <f t="shared" ref="D30:S30" si="1">DEC2HEX(POWER(2,0)*D6+POWER(2,6)*D5+POWER(2,12)*D4+POWER(2,18)*D3+POWER(2,23)*D2)</f>
        <v>0</v>
      </c>
      <c r="E30" s="17" t="str">
        <f t="shared" si="1"/>
        <v>0</v>
      </c>
      <c r="F30" s="17" t="str">
        <f t="shared" si="1"/>
        <v>0</v>
      </c>
      <c r="G30" s="17" t="str">
        <f t="shared" si="1"/>
        <v>0</v>
      </c>
      <c r="H30" s="17" t="str">
        <f t="shared" si="1"/>
        <v>0</v>
      </c>
      <c r="I30" s="17" t="str">
        <f t="shared" si="1"/>
        <v>0</v>
      </c>
      <c r="J30" s="17" t="str">
        <f t="shared" si="1"/>
        <v>0</v>
      </c>
      <c r="K30" s="17" t="str">
        <f t="shared" si="1"/>
        <v>0</v>
      </c>
      <c r="L30" s="17" t="str">
        <f t="shared" si="1"/>
        <v>0</v>
      </c>
      <c r="M30" s="17" t="str">
        <f t="shared" si="1"/>
        <v>0</v>
      </c>
      <c r="N30" s="17" t="str">
        <f t="shared" si="1"/>
        <v>0</v>
      </c>
      <c r="O30" s="17" t="str">
        <f t="shared" si="1"/>
        <v>0</v>
      </c>
      <c r="P30" s="17" t="str">
        <f t="shared" si="1"/>
        <v>0</v>
      </c>
      <c r="Q30" s="17" t="str">
        <f t="shared" si="1"/>
        <v>0</v>
      </c>
      <c r="R30" s="17" t="str">
        <f t="shared" si="1"/>
        <v>0</v>
      </c>
      <c r="S30" s="17" t="str">
        <f t="shared" si="1"/>
        <v>0</v>
      </c>
      <c r="V30" s="31"/>
      <c r="W30" s="30" t="s">
        <v>95</v>
      </c>
      <c r="X30" s="32" t="str">
        <f>J31</f>
        <v>0</v>
      </c>
      <c r="Y30" t="str">
        <f t="shared" si="0"/>
        <v>0x00000000,</v>
      </c>
      <c r="Z30" s="30"/>
    </row>
    <row r="31" spans="1:26">
      <c r="A31" s="15" t="s">
        <v>162</v>
      </c>
      <c r="B31" s="16"/>
      <c r="C31" s="16"/>
      <c r="D31" s="17" t="str">
        <f t="shared" ref="D31:S31" si="2">DEC2HEX(POWER(2,0)*INT(D15/4)+POWER(2,1)*D14+POWER(2,7)*D13+POWER(2,13)*D12+POWER(2,14)*D11+POWER(2,17)*D10+POWER(2,21)*D9+POWER(2,24)*D8+POWER(2,28)*D7)</f>
        <v>0</v>
      </c>
      <c r="E31" s="17" t="str">
        <f t="shared" si="2"/>
        <v>0</v>
      </c>
      <c r="F31" s="17" t="str">
        <f t="shared" si="2"/>
        <v>0</v>
      </c>
      <c r="G31" s="17" t="str">
        <f t="shared" si="2"/>
        <v>0</v>
      </c>
      <c r="H31" s="17" t="str">
        <f t="shared" si="2"/>
        <v>0</v>
      </c>
      <c r="I31" s="17" t="str">
        <f t="shared" si="2"/>
        <v>0</v>
      </c>
      <c r="J31" s="17" t="str">
        <f t="shared" si="2"/>
        <v>0</v>
      </c>
      <c r="K31" s="17" t="str">
        <f t="shared" si="2"/>
        <v>0</v>
      </c>
      <c r="L31" s="17" t="str">
        <f t="shared" si="2"/>
        <v>0</v>
      </c>
      <c r="M31" s="17" t="str">
        <f t="shared" si="2"/>
        <v>0</v>
      </c>
      <c r="N31" s="17" t="str">
        <f t="shared" si="2"/>
        <v>0</v>
      </c>
      <c r="O31" s="17" t="str">
        <f t="shared" si="2"/>
        <v>0</v>
      </c>
      <c r="P31" s="17" t="str">
        <f t="shared" si="2"/>
        <v>0</v>
      </c>
      <c r="Q31" s="17" t="str">
        <f t="shared" si="2"/>
        <v>0</v>
      </c>
      <c r="R31" s="17" t="str">
        <f t="shared" si="2"/>
        <v>0</v>
      </c>
      <c r="S31" s="17" t="str">
        <f t="shared" si="2"/>
        <v>0</v>
      </c>
      <c r="V31" s="31"/>
      <c r="W31" s="30" t="s">
        <v>98</v>
      </c>
      <c r="X31" s="32" t="str">
        <f>J30</f>
        <v>0</v>
      </c>
      <c r="Y31" t="str">
        <f t="shared" si="0"/>
        <v>0x00000000,</v>
      </c>
      <c r="Z31" s="30"/>
    </row>
    <row r="32" spans="1:26">
      <c r="A32" s="15" t="s">
        <v>163</v>
      </c>
      <c r="B32" s="16"/>
      <c r="C32" s="16"/>
      <c r="D32" s="17" t="str">
        <f t="shared" ref="D32:S32" si="3">DEC2HEX(POWER(2,0)*D25+POWER(2,5)*D24+POWER(2,10)*D23+POWER(2,12)*D22+POWER(2,13)*D21+POWER(2,17)*D20+POWER(2,20)*D19+POWER(2,21)*D18+POWER(2,22)*D17+POWER(2,26)*D16+POWER(2,30)*MOD(D15,4))</f>
        <v>0</v>
      </c>
      <c r="E32" s="17" t="str">
        <f t="shared" si="3"/>
        <v>0</v>
      </c>
      <c r="F32" s="17" t="str">
        <f t="shared" si="3"/>
        <v>0</v>
      </c>
      <c r="G32" s="17" t="str">
        <f t="shared" si="3"/>
        <v>0</v>
      </c>
      <c r="H32" s="17" t="str">
        <f t="shared" si="3"/>
        <v>0</v>
      </c>
      <c r="I32" s="17" t="str">
        <f t="shared" si="3"/>
        <v>0</v>
      </c>
      <c r="J32" s="17" t="str">
        <f t="shared" si="3"/>
        <v>0</v>
      </c>
      <c r="K32" s="17" t="str">
        <f t="shared" si="3"/>
        <v>0</v>
      </c>
      <c r="L32" s="17" t="str">
        <f t="shared" si="3"/>
        <v>0</v>
      </c>
      <c r="M32" s="17" t="str">
        <f t="shared" si="3"/>
        <v>0</v>
      </c>
      <c r="N32" s="17" t="str">
        <f t="shared" si="3"/>
        <v>0</v>
      </c>
      <c r="O32" s="17" t="str">
        <f t="shared" si="3"/>
        <v>0</v>
      </c>
      <c r="P32" s="17" t="str">
        <f t="shared" si="3"/>
        <v>0</v>
      </c>
      <c r="Q32" s="17" t="str">
        <f t="shared" si="3"/>
        <v>0</v>
      </c>
      <c r="R32" s="17" t="str">
        <f t="shared" si="3"/>
        <v>0</v>
      </c>
      <c r="S32" s="17" t="str">
        <f t="shared" si="3"/>
        <v>0</v>
      </c>
      <c r="V32" s="31" t="s">
        <v>164</v>
      </c>
      <c r="W32" s="30" t="s">
        <v>91</v>
      </c>
      <c r="X32" s="32" t="str">
        <f>I32</f>
        <v>0</v>
      </c>
      <c r="Y32" t="str">
        <f t="shared" si="0"/>
        <v>0x00000000,</v>
      </c>
      <c r="Z32" s="30" t="s">
        <v>165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95</v>
      </c>
      <c r="X33" s="32" t="str">
        <f>I31</f>
        <v>0</v>
      </c>
      <c r="Y33" t="str">
        <f t="shared" si="0"/>
        <v>0x00000000,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98</v>
      </c>
      <c r="X34" s="32" t="str">
        <f>I30</f>
        <v>0</v>
      </c>
      <c r="Y34" t="str">
        <f t="shared" si="0"/>
        <v>0x00000000,</v>
      </c>
      <c r="Z34" s="30"/>
    </row>
    <row r="35" spans="1:26">
      <c r="A35" s="10" t="s">
        <v>205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166</v>
      </c>
      <c r="W35" s="30" t="s">
        <v>91</v>
      </c>
      <c r="X35" s="32" t="str">
        <f>H32</f>
        <v>0</v>
      </c>
      <c r="Y35" t="str">
        <f t="shared" si="0"/>
        <v>0x00000000,</v>
      </c>
      <c r="Z35" s="30" t="s">
        <v>167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95</v>
      </c>
      <c r="X36" s="32" t="str">
        <f>H31</f>
        <v>0</v>
      </c>
      <c r="Y36" t="str">
        <f t="shared" si="0"/>
        <v>0x00000000,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98</v>
      </c>
      <c r="X37" s="32" t="str">
        <f>H30</f>
        <v>0</v>
      </c>
      <c r="Y37" t="str">
        <f t="shared" si="0"/>
        <v>0x00000000,</v>
      </c>
      <c r="Z37" s="30"/>
    </row>
    <row r="38" spans="22:26">
      <c r="V38" s="31" t="s">
        <v>168</v>
      </c>
      <c r="W38" s="30" t="s">
        <v>91</v>
      </c>
      <c r="X38" s="32" t="str">
        <f>G32</f>
        <v>0</v>
      </c>
      <c r="Y38" t="str">
        <f t="shared" si="0"/>
        <v>0x00000000,</v>
      </c>
      <c r="Z38" s="30" t="s">
        <v>169</v>
      </c>
    </row>
    <row r="39" spans="22:26">
      <c r="V39" s="31"/>
      <c r="W39" s="30" t="s">
        <v>95</v>
      </c>
      <c r="X39" s="32" t="str">
        <f>G31</f>
        <v>0</v>
      </c>
      <c r="Y39" t="str">
        <f t="shared" si="0"/>
        <v>0x00000000,</v>
      </c>
      <c r="Z39" s="30"/>
    </row>
    <row r="40" spans="22:26">
      <c r="V40" s="31"/>
      <c r="W40" s="30" t="s">
        <v>98</v>
      </c>
      <c r="X40" s="32" t="str">
        <f>G30</f>
        <v>0</v>
      </c>
      <c r="Y40" t="str">
        <f t="shared" si="0"/>
        <v>0x00000000,</v>
      </c>
      <c r="Z40" s="30"/>
    </row>
    <row r="41" spans="22:26">
      <c r="V41" s="31" t="s">
        <v>170</v>
      </c>
      <c r="W41" s="30" t="s">
        <v>91</v>
      </c>
      <c r="X41" s="32" t="str">
        <f>F32</f>
        <v>0</v>
      </c>
      <c r="Y41" t="str">
        <f t="shared" si="0"/>
        <v>0x00000000,</v>
      </c>
      <c r="Z41" s="30" t="s">
        <v>171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95</v>
      </c>
      <c r="X42" s="32" t="str">
        <f>F31</f>
        <v>0</v>
      </c>
      <c r="Y42" t="str">
        <f t="shared" si="0"/>
        <v>0x00000000,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98</v>
      </c>
      <c r="X43" s="32" t="str">
        <f>F30</f>
        <v>0</v>
      </c>
      <c r="Y43" t="str">
        <f t="shared" si="0"/>
        <v>0x00000000,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172</v>
      </c>
      <c r="W44" s="30" t="s">
        <v>91</v>
      </c>
      <c r="X44" s="32" t="str">
        <f>E32</f>
        <v>0</v>
      </c>
      <c r="Y44" t="str">
        <f t="shared" si="0"/>
        <v>0x00000000,</v>
      </c>
      <c r="Z44" s="30" t="s">
        <v>173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95</v>
      </c>
      <c r="X45" s="32" t="str">
        <f>E31</f>
        <v>0</v>
      </c>
      <c r="Y45" t="str">
        <f t="shared" si="0"/>
        <v>0x00000000,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98</v>
      </c>
      <c r="X46" s="32" t="str">
        <f>E30</f>
        <v>0</v>
      </c>
      <c r="Y46" t="str">
        <f t="shared" si="0"/>
        <v>0x00000000,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174</v>
      </c>
      <c r="W47" s="30" t="s">
        <v>91</v>
      </c>
      <c r="X47" s="32" t="str">
        <f>D32</f>
        <v>0</v>
      </c>
      <c r="Y47" t="str">
        <f t="shared" si="0"/>
        <v>0x00000000,</v>
      </c>
      <c r="Z47" s="30" t="s">
        <v>175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95</v>
      </c>
      <c r="X48" s="32" t="str">
        <f>D31</f>
        <v>0</v>
      </c>
      <c r="Y48" t="str">
        <f t="shared" si="0"/>
        <v>0x00000000,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98</v>
      </c>
      <c r="X49" s="32" t="str">
        <f>D30</f>
        <v>0</v>
      </c>
      <c r="Y49" t="str">
        <f t="shared" si="0"/>
        <v>0x00000000,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22" sqref="B22"/>
    </sheetView>
  </sheetViews>
  <sheetFormatPr defaultColWidth="9" defaultRowHeight="14.25" outlineLevelRow="5" outlineLevelCol="2"/>
  <cols>
    <col min="1" max="1" width="28.375" customWidth="1"/>
    <col min="2" max="2" width="45.375" customWidth="1"/>
    <col min="3" max="3" width="18.875" customWidth="1"/>
  </cols>
  <sheetData>
    <row r="1" spans="1:1">
      <c r="A1" t="s">
        <v>206</v>
      </c>
    </row>
    <row r="2" spans="1:2">
      <c r="A2">
        <v>20240603</v>
      </c>
      <c r="B2" t="s">
        <v>207</v>
      </c>
    </row>
    <row r="3" spans="1:2">
      <c r="A3">
        <v>20240618</v>
      </c>
      <c r="B3" t="s">
        <v>208</v>
      </c>
    </row>
    <row r="4" spans="2:2">
      <c r="B4" t="s">
        <v>209</v>
      </c>
    </row>
    <row r="5" spans="2:3">
      <c r="B5" t="s">
        <v>210</v>
      </c>
      <c r="C5" t="s">
        <v>211</v>
      </c>
    </row>
    <row r="6" spans="2:3">
      <c r="B6" t="s">
        <v>212</v>
      </c>
      <c r="C6" t="s">
        <v>211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2024-06-18T08:17:31Z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