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 activeTab="2"/>
  </bookViews>
  <sheets>
    <sheet name="Register" sheetId="6" r:id="rId1"/>
    <sheet name="11B" sheetId="5" r:id="rId2"/>
    <sheet name="OFDM_H" sheetId="1" r:id="rId3"/>
    <sheet name="OFDM_L" sheetId="7" r:id="rId4"/>
    <sheet name="Readme" sheetId="8" r:id="rId5"/>
  </sheets>
  <calcPr calcId="144525"/>
</workbook>
</file>

<file path=xl/sharedStrings.xml><?xml version="1.0" encoding="utf-8"?>
<sst xmlns="http://schemas.openxmlformats.org/spreadsheetml/2006/main" count="844" uniqueCount="251">
  <si>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eg_name</t>
    </r>
  </si>
  <si>
    <r>
      <rPr>
        <sz val="11"/>
        <color theme="1"/>
        <rFont val="等线"/>
        <charset val="134"/>
        <scheme val="minor"/>
      </rPr>
      <t>a</t>
    </r>
    <r>
      <rPr>
        <sz val="11"/>
        <color theme="1"/>
        <rFont val="等线"/>
        <charset val="134"/>
        <scheme val="minor"/>
      </rPr>
      <t>ddress</t>
    </r>
  </si>
  <si>
    <r>
      <rPr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its</t>
    </r>
  </si>
  <si>
    <r>
      <rPr>
        <sz val="11"/>
        <rFont val="等线"/>
        <charset val="134"/>
        <scheme val="minor"/>
      </rPr>
      <t>v</t>
    </r>
    <r>
      <rPr>
        <sz val="11"/>
        <rFont val="等线"/>
        <charset val="134"/>
        <scheme val="minor"/>
      </rPr>
      <t>alue</t>
    </r>
  </si>
  <si>
    <t>wf_lb0_pa_vbg_tc_bit</t>
  </si>
  <si>
    <t>40344098</t>
  </si>
  <si>
    <t>0</t>
  </si>
  <si>
    <t>wf_lb1_pa_vbg_tc_bit</t>
  </si>
  <si>
    <t>40344108</t>
  </si>
  <si>
    <t>update @ 20240422</t>
  </si>
  <si>
    <t>wf_lb0_pa_vl_opam_ibit</t>
  </si>
  <si>
    <t>403440a4</t>
  </si>
  <si>
    <t>11:10</t>
  </si>
  <si>
    <t>3</t>
  </si>
  <si>
    <t>wf_lb1_pa_vl_opam_ibit</t>
  </si>
  <si>
    <t>40344114</t>
  </si>
  <si>
    <t>wf_lb0_padrv_bias_opam_ibit</t>
  </si>
  <si>
    <t>25:24</t>
  </si>
  <si>
    <t>wf_lb1_padrv_bias_opam_ibit</t>
  </si>
  <si>
    <t>21:20</t>
  </si>
  <si>
    <t>wf_lb0_tmx_vh_vbit</t>
  </si>
  <si>
    <t>40344084</t>
  </si>
  <si>
    <t>2:0</t>
  </si>
  <si>
    <t>6</t>
  </si>
  <si>
    <t>wf_lb1_tmx_vh_vbit</t>
  </si>
  <si>
    <t>403440f8</t>
  </si>
  <si>
    <t>17:15</t>
  </si>
  <si>
    <t>wf_lb0_pa_vl_i_itbg_bit</t>
  </si>
  <si>
    <t>403440a0</t>
  </si>
  <si>
    <t>14:12</t>
  </si>
  <si>
    <t>wf_lb0_pa_vl_i_itcgm_bit</t>
  </si>
  <si>
    <t>11:9</t>
  </si>
  <si>
    <t>4</t>
  </si>
  <si>
    <t>wf_lb0_pa_vl_iv_it_mode</t>
  </si>
  <si>
    <t>wf_lb0_pa_vl_i_ibvtr_v_diode_en</t>
  </si>
  <si>
    <t>31:29</t>
  </si>
  <si>
    <t>wf_lb0_pa_vl_i_ibbg_v_tc_mode</t>
  </si>
  <si>
    <t>28:26</t>
  </si>
  <si>
    <t>wf_lb0_pa_vl_iv_ib_mode</t>
  </si>
  <si>
    <t>16:14</t>
  </si>
  <si>
    <t>wf_lb0_pa_vl_sel_imode</t>
  </si>
  <si>
    <t>13</t>
  </si>
  <si>
    <t>1</t>
  </si>
  <si>
    <t>wf_lb1_pa_vl_i_itbg_bit</t>
  </si>
  <si>
    <t>40344110</t>
  </si>
  <si>
    <t>wf_lb1_pa_vl_i_itcgm_bit</t>
  </si>
  <si>
    <t>wf_lb1_pa_vl_iv_it_mode</t>
  </si>
  <si>
    <t>wf_lb1_pa_vl_i_ibvtr_v_diode_en</t>
  </si>
  <si>
    <t>wf_lb1_pa_vl_i_ibbg_v_tc_mode</t>
  </si>
  <si>
    <t>wf_lb1_pa_vl_iv_ib_mode</t>
  </si>
  <si>
    <t>wf_lb1_pa_vl_sel_imode</t>
  </si>
  <si>
    <t>update @ 20240423</t>
  </si>
  <si>
    <t>wf_lb0_pa_vbg_vbit</t>
  </si>
  <si>
    <t>13:12</t>
  </si>
  <si>
    <t>2</t>
  </si>
  <si>
    <t>wf_lb1_pa_vbg_vbit</t>
  </si>
  <si>
    <t>9:8</t>
  </si>
  <si>
    <t>wf_lb0_padrv_vbg_vbit</t>
  </si>
  <si>
    <t>40344088</t>
  </si>
  <si>
    <t>2:1</t>
  </si>
  <si>
    <t>wf_lb1_padrv_vbg_vbit</t>
  </si>
  <si>
    <t>403440FC</t>
  </si>
  <si>
    <t>update @ 20240603</t>
  </si>
  <si>
    <t>wf_lb0_padrv_vl_opam_en</t>
  </si>
  <si>
    <t>40344094</t>
  </si>
  <si>
    <t>7</t>
  </si>
  <si>
    <t>wf_lb1_padrv_vl_opam_en</t>
  </si>
  <si>
    <t>40344104</t>
  </si>
  <si>
    <t>update @ 20240606</t>
  </si>
  <si>
    <t>improve 
evm vs temp</t>
  </si>
  <si>
    <t>wf_lb0_pa_vm_cgm_ibit</t>
  </si>
  <si>
    <t>4034409c</t>
  </si>
  <si>
    <t>7:4</t>
  </si>
  <si>
    <t>8</t>
  </si>
  <si>
    <t>wf_lb0_pa_vm_vtr_ibit</t>
  </si>
  <si>
    <t>3:0</t>
  </si>
  <si>
    <t>wf_lb1_pa_vm_cgm_ibit</t>
  </si>
  <si>
    <t>4034410c</t>
  </si>
  <si>
    <t>wf_lb1_pa_vm_vtr_ibit</t>
  </si>
  <si>
    <t>update @ 20240619</t>
  </si>
  <si>
    <t>FOR &gt;= U04</t>
  </si>
  <si>
    <t>update @ 20240621</t>
  </si>
  <si>
    <t>wf_dac_clk_sel_bbpll</t>
  </si>
  <si>
    <t>40344134</t>
  </si>
  <si>
    <t>FOR 2.4G ONLY</t>
  </si>
  <si>
    <t>备选修改项</t>
  </si>
  <si>
    <t xml:space="preserve"> wf_mini_cdr_ph_sel</t>
  </si>
  <si>
    <t>40344138</t>
  </si>
  <si>
    <t>26:24</t>
  </si>
  <si>
    <t>2.4G</t>
  </si>
  <si>
    <t>update @ 20240731</t>
  </si>
  <si>
    <t>4034409C</t>
  </si>
  <si>
    <t>4034410C</t>
  </si>
  <si>
    <t>update @ 20240801</t>
  </si>
  <si>
    <t>APC_BITS</t>
  </si>
  <si>
    <t>POS</t>
  </si>
  <si>
    <t>INDEX</t>
  </si>
  <si>
    <t>F</t>
  </si>
  <si>
    <t>E</t>
  </si>
  <si>
    <t>D</t>
  </si>
  <si>
    <t>C</t>
  </si>
  <si>
    <t>B</t>
  </si>
  <si>
    <t>A</t>
  </si>
  <si>
    <t>档位</t>
  </si>
  <si>
    <t>null</t>
  </si>
  <si>
    <t>95:87</t>
  </si>
  <si>
    <t>40346d00</t>
  </si>
  <si>
    <t>//index 0</t>
  </si>
  <si>
    <t>wf_lb0/1_apc_rsvd</t>
  </si>
  <si>
    <t>86:82</t>
  </si>
  <si>
    <t>40346d04</t>
  </si>
  <si>
    <t>wf_lb0/1_pa_vl_i_ib_v_rbit</t>
  </si>
  <si>
    <t>81:76</t>
  </si>
  <si>
    <t>40346d08</t>
  </si>
  <si>
    <t>wf_lb0/1_pa_vl_iv_it_bit</t>
  </si>
  <si>
    <t>75:70</t>
  </si>
  <si>
    <t>//index 1</t>
  </si>
  <si>
    <t>wf_lb0/1_pa_vm_vbit2</t>
  </si>
  <si>
    <t>69:64</t>
  </si>
  <si>
    <t>wf_lb0/1_pa_vm_vbit1</t>
  </si>
  <si>
    <t>63:60</t>
  </si>
  <si>
    <t>wf_lb0/1_pa_vm_ref_bit</t>
  </si>
  <si>
    <t>59:56</t>
  </si>
  <si>
    <t>//index 2</t>
  </si>
  <si>
    <t>wf_lb0/1_pa_vh_vbit</t>
  </si>
  <si>
    <t>55:53</t>
  </si>
  <si>
    <t>wf_lb0/1_pa_gbit</t>
  </si>
  <si>
    <t>52:49</t>
  </si>
  <si>
    <t>wf_lb0/1_pa_input_cbit</t>
  </si>
  <si>
    <t>48:46</t>
  </si>
  <si>
    <t>//index 3</t>
  </si>
  <si>
    <t>wf_lb0/1_padrv_vtap_sel13_en</t>
  </si>
  <si>
    <t>45</t>
  </si>
  <si>
    <t>wf_lb0/1_padrv_vl_i_ib_v_rbit</t>
  </si>
  <si>
    <t>44:39</t>
  </si>
  <si>
    <t>wf_lb0/1_padrv_vl_iv_it_bit</t>
  </si>
  <si>
    <t>38:33</t>
  </si>
  <si>
    <t>//index 4</t>
  </si>
  <si>
    <t>wf_lb0/1_padrv_input_cbit</t>
  </si>
  <si>
    <t>32:30</t>
  </si>
  <si>
    <t>wf_lb0/1_padrv_cbit</t>
  </si>
  <si>
    <t>29:26</t>
  </si>
  <si>
    <t>wf_lb0/1_padrv_gbit</t>
  </si>
  <si>
    <t>25:22</t>
  </si>
  <si>
    <t>//index 5</t>
  </si>
  <si>
    <t>wf_lb0/1_padrv_bias2_en</t>
  </si>
  <si>
    <t>21</t>
  </si>
  <si>
    <t>wf_lb0/1_padrv_bias1_en</t>
  </si>
  <si>
    <t>20</t>
  </si>
  <si>
    <t>wf_lb0/1_tmx_vlo_vbit</t>
  </si>
  <si>
    <t>19:17</t>
  </si>
  <si>
    <t>//index 6</t>
  </si>
  <si>
    <t>wf_lb0/1_tmx_cbit</t>
  </si>
  <si>
    <t>16:13</t>
  </si>
  <si>
    <t>wf_daclf0/1_mnd_sw</t>
  </si>
  <si>
    <t>12</t>
  </si>
  <si>
    <t>wf_daclf0/1_scale_step_6db</t>
  </si>
  <si>
    <t>//index 7</t>
  </si>
  <si>
    <t>wf_dac0/1_vl_ib_bit</t>
  </si>
  <si>
    <t>9:5</t>
  </si>
  <si>
    <t>wf_dac0/1_vl_it_bit</t>
  </si>
  <si>
    <t>4:0</t>
  </si>
  <si>
    <t>Power(dBm)</t>
  </si>
  <si>
    <t>26</t>
  </si>
  <si>
    <t>24</t>
  </si>
  <si>
    <t>22</t>
  </si>
  <si>
    <t>18</t>
  </si>
  <si>
    <t>16</t>
  </si>
  <si>
    <t>14</t>
  </si>
  <si>
    <t>10</t>
  </si>
  <si>
    <t>-2</t>
  </si>
  <si>
    <t>-4</t>
  </si>
  <si>
    <t>//index 8</t>
  </si>
  <si>
    <t>EVM(dB)</t>
  </si>
  <si>
    <t>POWER</t>
  </si>
  <si>
    <t>//index 9</t>
  </si>
  <si>
    <t>40346D08</t>
  </si>
  <si>
    <t>40346D04</t>
  </si>
  <si>
    <t>40346D00</t>
  </si>
  <si>
    <t>a</t>
  </si>
  <si>
    <t>//index 10</t>
  </si>
  <si>
    <t>b</t>
  </si>
  <si>
    <t>//index 11</t>
  </si>
  <si>
    <t>c</t>
  </si>
  <si>
    <t>//index 12</t>
  </si>
  <si>
    <t>d</t>
  </si>
  <si>
    <t>//index 13</t>
  </si>
  <si>
    <t>e</t>
  </si>
  <si>
    <t>//index 14</t>
  </si>
  <si>
    <t>f</t>
  </si>
  <si>
    <t>//index 15</t>
  </si>
  <si>
    <t>23</t>
  </si>
  <si>
    <t>19</t>
  </si>
  <si>
    <t>17</t>
  </si>
  <si>
    <r>
      <rPr>
        <sz val="11"/>
        <color theme="1"/>
        <rFont val="等线"/>
        <charset val="134"/>
        <scheme val="minor"/>
      </rPr>
      <t>15</t>
    </r>
  </si>
  <si>
    <t>9</t>
  </si>
  <si>
    <r>
      <rPr>
        <sz val="11"/>
        <color theme="1"/>
        <rFont val="等线"/>
        <charset val="134"/>
        <scheme val="minor"/>
      </rPr>
      <t>7</t>
    </r>
  </si>
  <si>
    <r>
      <rPr>
        <sz val="11"/>
        <color theme="1"/>
        <rFont val="等线"/>
        <charset val="134"/>
        <scheme val="minor"/>
      </rPr>
      <t>5</t>
    </r>
  </si>
  <si>
    <r>
      <rPr>
        <sz val="11"/>
        <color theme="1"/>
        <rFont val="等线"/>
        <charset val="134"/>
        <scheme val="minor"/>
      </rPr>
      <t>3</t>
    </r>
  </si>
  <si>
    <r>
      <rPr>
        <sz val="11"/>
        <color theme="1"/>
        <rFont val="等线"/>
        <charset val="134"/>
        <scheme val="minor"/>
      </rPr>
      <t>1</t>
    </r>
  </si>
  <si>
    <t>-1</t>
  </si>
  <si>
    <t>-3</t>
  </si>
  <si>
    <t>-5</t>
  </si>
  <si>
    <t>-7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</si>
  <si>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26.8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</si>
  <si>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28.8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</si>
  <si>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30.6</t>
    </r>
  </si>
  <si>
    <t>-36.5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</si>
  <si>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39.1</t>
    </r>
  </si>
  <si>
    <t>-38.6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</si>
  <si>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38.1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</si>
  <si>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39.4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</si>
  <si>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40.5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</si>
  <si>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40.6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</si>
  <si>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41.7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</si>
  <si>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41.06</t>
    </r>
  </si>
  <si>
    <t>-41.1</t>
  </si>
  <si>
    <t>-40.0</t>
  </si>
  <si>
    <t>DPD</t>
  </si>
  <si>
    <t>cal_ipa</t>
  </si>
  <si>
    <t>cal_pwr_step ref/DPD</t>
  </si>
  <si>
    <t>11</t>
  </si>
  <si>
    <t>DIG:7A</t>
  </si>
  <si>
    <t>update_list</t>
  </si>
  <si>
    <t>11b:vm_ref-&gt;1,ofdm vm_ref-&gt;1</t>
  </si>
  <si>
    <t>11b: vm_vbit1 ： 15&gt;10</t>
  </si>
  <si>
    <t>OFDM: vm_vbit1 ： 15&gt;10</t>
  </si>
  <si>
    <t>11b:vm_ref, 1-&gt;2;ofdm vm_ref, 1-&gt;2</t>
  </si>
  <si>
    <t>降低vm电压</t>
  </si>
  <si>
    <t>vm修改为1.6V</t>
  </si>
  <si>
    <t>vh:-&gt;2</t>
  </si>
  <si>
    <t>提高vh电压</t>
  </si>
  <si>
    <t>修改OFDM_H APC 的9档跟8档一样</t>
  </si>
  <si>
    <t>OFDM_H</t>
  </si>
  <si>
    <r>
      <rPr>
        <sz val="11"/>
        <color theme="1"/>
        <rFont val="等线"/>
        <charset val="134"/>
        <scheme val="minor"/>
      </rPr>
      <t>修改原因：先前第9档测试发现pwr step校准导致
部分所计算出来的数字增益偏小，导致部分芯片EVM较差。而目前DPD校准和pwrstep校准和loft校准都是选择的9档校准，如果修改tx_gain_map改动较大。为了减小改动，因而修改模拟APC表第9档跟第8档一致。
修改风险：</t>
    </r>
    <r>
      <rPr>
        <sz val="11"/>
        <color rgb="FFFF0000"/>
        <rFont val="等线"/>
        <charset val="134"/>
        <scheme val="minor"/>
      </rPr>
      <t>修改后会导致OFDM_H APC表的9档跟8档功率一样，9档跟A档功率相差4dB，以后APC使用8档和A档需要谨慎考虑。</t>
    </r>
  </si>
  <si>
    <t>原先9档APC表值参考0801版本</t>
  </si>
  <si>
    <t>为了优化低速高功率MASK，增加OFDM_L APC 表</t>
  </si>
  <si>
    <t>OFDM_L</t>
  </si>
  <si>
    <t>1 OFDM_L APC表的0~A档与高速APC保存一致</t>
  </si>
  <si>
    <t>2 修改OFDM_L APC的B-F档位</t>
  </si>
  <si>
    <t>1 修改11b APC E/F档位，提高PA电流，提高11b EVM</t>
  </si>
  <si>
    <t>11B</t>
  </si>
  <si>
    <t>2 修改OFDM_L APC的F档位</t>
  </si>
  <si>
    <t>1 修改OFDM_H B档，4:0,30-&gt;26，测试发现B档比
9档功率高5dB，导致校准出来数字增益偏小影响EVM</t>
  </si>
  <si>
    <t>1 修改档位B/D/E/F档，</t>
  </si>
  <si>
    <t>2 PADRV gbit全开，PA gbit全开，减小dac电流</t>
  </si>
  <si>
    <t>3 修改原因：dac增益太高，padrv电流太小，导致padrv饱和影响大功率evm</t>
  </si>
  <si>
    <t>4 C档不修改的原因，tx gain map没有使用c档，但是cal_ipa是采样C档校准，修改c档会导致cal_ipa校准值发生变化导致功率变化</t>
  </si>
  <si>
    <t>1 修改ofdm_H APC</t>
  </si>
  <si>
    <t>1 优化11bMASK（A-F档）</t>
  </si>
  <si>
    <t>1 优化ofdm_low index f/d evm pwr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</si>
</sst>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4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1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7" borderId="3" applyNumberFormat="0" applyFon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8" fillId="21" borderId="6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7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4" fillId="8" borderId="0">
      <alignment vertical="center"/>
    </xf>
    <xf numFmtId="0" fontId="23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</cellStyleXfs>
  <cellXfs count="67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Font="1" applyAlignment="1">
      <alignment vertical="top" wrapText="1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177" fontId="1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4" borderId="1" xfId="0" applyNumberFormat="1" applyFill="1" applyBorder="1" applyAlignment="1">
      <alignment horizontal="center"/>
    </xf>
    <xf numFmtId="177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49" fontId="1" fillId="6" borderId="0" xfId="0" applyNumberFormat="1" applyFont="1" applyFill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176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 applyAlignment="1">
      <alignment horizontal="left"/>
    </xf>
    <xf numFmtId="177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7" borderId="1" xfId="0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8" borderId="0" xfId="31">
      <alignment vertical="center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0" fontId="0" fillId="10" borderId="1" xfId="0" applyFont="1" applyFill="1" applyBorder="1" applyAlignment="1">
      <alignment horizontal="center"/>
    </xf>
    <xf numFmtId="176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76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Fill="1" applyBorder="1" applyAlignment="1">
      <alignment horizontal="center"/>
    </xf>
    <xf numFmtId="0" fontId="0" fillId="11" borderId="1" xfId="0" applyFill="1" applyBorder="1"/>
    <xf numFmtId="49" fontId="0" fillId="11" borderId="1" xfId="0" applyNumberFormat="1" applyFill="1" applyBorder="1"/>
    <xf numFmtId="49" fontId="0" fillId="0" borderId="0" xfId="0" applyNumberFormat="1" applyFill="1" applyAlignment="1">
      <alignment horizontal="left"/>
    </xf>
    <xf numFmtId="49" fontId="0" fillId="0" borderId="0" xfId="0" applyNumberFormat="1" applyFill="1" applyAlignment="1">
      <alignment horizontal="center"/>
    </xf>
    <xf numFmtId="49" fontId="0" fillId="7" borderId="0" xfId="0" applyNumberFormat="1" applyFill="1"/>
    <xf numFmtId="49" fontId="0" fillId="7" borderId="1" xfId="0" applyNumberForma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1"/>
  <sheetViews>
    <sheetView topLeftCell="A52" workbookViewId="0">
      <selection activeCell="F76" sqref="F76"/>
    </sheetView>
  </sheetViews>
  <sheetFormatPr defaultColWidth="9" defaultRowHeight="14.25"/>
  <cols>
    <col min="1" max="1" width="30.625" customWidth="1"/>
    <col min="2" max="2" width="9.375"/>
    <col min="5" max="5" width="20.375" customWidth="1"/>
    <col min="6" max="6" width="18" customWidth="1"/>
    <col min="7" max="7" width="11.25" customWidth="1"/>
    <col min="8" max="8" width="17.375" customWidth="1"/>
    <col min="10" max="10" width="12.875" customWidth="1"/>
  </cols>
  <sheetData>
    <row r="1" spans="1:9">
      <c r="A1" s="50" t="s">
        <v>0</v>
      </c>
      <c r="B1" s="16" t="s">
        <v>1</v>
      </c>
      <c r="C1" s="17" t="s">
        <v>2</v>
      </c>
      <c r="D1" s="33" t="s">
        <v>3</v>
      </c>
      <c r="I1" s="50"/>
    </row>
    <row r="2" spans="1:9">
      <c r="A2" s="52" t="s">
        <v>4</v>
      </c>
      <c r="B2" s="12" t="s">
        <v>5</v>
      </c>
      <c r="C2" s="53">
        <v>0.634722222222222</v>
      </c>
      <c r="D2" s="8" t="s">
        <v>6</v>
      </c>
      <c r="H2" s="28"/>
      <c r="I2" s="50"/>
    </row>
    <row r="3" spans="1:12">
      <c r="A3" s="52" t="s">
        <v>7</v>
      </c>
      <c r="B3" s="12" t="s">
        <v>8</v>
      </c>
      <c r="C3" s="53">
        <v>0.465277777777778</v>
      </c>
      <c r="D3" s="8" t="s">
        <v>6</v>
      </c>
      <c r="H3" s="28"/>
      <c r="J3" s="28"/>
      <c r="K3" s="28"/>
      <c r="L3" s="28"/>
    </row>
    <row r="4" spans="1:12">
      <c r="A4" s="25"/>
      <c r="B4" s="26"/>
      <c r="D4" s="27"/>
      <c r="H4" s="28"/>
      <c r="J4" s="28"/>
      <c r="K4" s="28"/>
      <c r="L4" s="28"/>
    </row>
    <row r="5" spans="1:1">
      <c r="A5" t="s">
        <v>9</v>
      </c>
    </row>
    <row r="6" spans="1:4">
      <c r="A6" s="12" t="s">
        <v>10</v>
      </c>
      <c r="B6" s="12" t="s">
        <v>11</v>
      </c>
      <c r="C6" s="12" t="s">
        <v>12</v>
      </c>
      <c r="D6" s="12" t="s">
        <v>13</v>
      </c>
    </row>
    <row r="7" spans="1:4">
      <c r="A7" s="12" t="s">
        <v>14</v>
      </c>
      <c r="B7" s="12" t="s">
        <v>15</v>
      </c>
      <c r="C7" s="12" t="s">
        <v>12</v>
      </c>
      <c r="D7" s="12" t="s">
        <v>13</v>
      </c>
    </row>
    <row r="8" spans="1:4">
      <c r="A8" s="12" t="s">
        <v>16</v>
      </c>
      <c r="B8" s="12" t="s">
        <v>5</v>
      </c>
      <c r="C8" s="12" t="s">
        <v>17</v>
      </c>
      <c r="D8" s="12" t="s">
        <v>13</v>
      </c>
    </row>
    <row r="9" spans="1:4">
      <c r="A9" s="12" t="s">
        <v>18</v>
      </c>
      <c r="B9" s="12" t="s">
        <v>8</v>
      </c>
      <c r="C9" s="12" t="s">
        <v>19</v>
      </c>
      <c r="D9" s="12" t="s">
        <v>13</v>
      </c>
    </row>
    <row r="10" spans="1:4">
      <c r="A10" s="12" t="s">
        <v>20</v>
      </c>
      <c r="B10" s="12" t="s">
        <v>21</v>
      </c>
      <c r="C10" s="12" t="s">
        <v>22</v>
      </c>
      <c r="D10" s="12" t="s">
        <v>23</v>
      </c>
    </row>
    <row r="11" spans="1:4">
      <c r="A11" s="12" t="s">
        <v>24</v>
      </c>
      <c r="B11" s="12" t="s">
        <v>25</v>
      </c>
      <c r="C11" s="12" t="s">
        <v>26</v>
      </c>
      <c r="D11" s="12" t="s">
        <v>23</v>
      </c>
    </row>
    <row r="12" spans="1:4">
      <c r="A12" s="12" t="s">
        <v>27</v>
      </c>
      <c r="B12" s="12" t="s">
        <v>28</v>
      </c>
      <c r="C12" s="12" t="s">
        <v>29</v>
      </c>
      <c r="D12" s="12" t="s">
        <v>6</v>
      </c>
    </row>
    <row r="13" spans="1:4">
      <c r="A13" s="12" t="s">
        <v>30</v>
      </c>
      <c r="B13" s="12" t="s">
        <v>28</v>
      </c>
      <c r="C13" s="12" t="s">
        <v>31</v>
      </c>
      <c r="D13" s="12" t="s">
        <v>32</v>
      </c>
    </row>
    <row r="14" spans="1:4">
      <c r="A14" s="12" t="s">
        <v>33</v>
      </c>
      <c r="B14" s="12" t="s">
        <v>28</v>
      </c>
      <c r="C14" s="12" t="s">
        <v>22</v>
      </c>
      <c r="D14" s="12" t="s">
        <v>13</v>
      </c>
    </row>
    <row r="15" spans="1:4">
      <c r="A15" s="12" t="s">
        <v>34</v>
      </c>
      <c r="B15" s="12" t="s">
        <v>11</v>
      </c>
      <c r="C15" s="12" t="s">
        <v>35</v>
      </c>
      <c r="D15" s="12" t="s">
        <v>13</v>
      </c>
    </row>
    <row r="16" spans="1:4">
      <c r="A16" s="12" t="s">
        <v>36</v>
      </c>
      <c r="B16" s="12" t="s">
        <v>11</v>
      </c>
      <c r="C16" s="12" t="s">
        <v>37</v>
      </c>
      <c r="D16" s="12" t="s">
        <v>6</v>
      </c>
    </row>
    <row r="17" spans="1:4">
      <c r="A17" s="12" t="s">
        <v>38</v>
      </c>
      <c r="B17" s="12" t="s">
        <v>11</v>
      </c>
      <c r="C17" s="12" t="s">
        <v>39</v>
      </c>
      <c r="D17" s="12" t="s">
        <v>32</v>
      </c>
    </row>
    <row r="18" spans="1:4">
      <c r="A18" s="12" t="s">
        <v>40</v>
      </c>
      <c r="B18" s="12" t="s">
        <v>11</v>
      </c>
      <c r="C18" s="12" t="s">
        <v>41</v>
      </c>
      <c r="D18" s="12" t="s">
        <v>42</v>
      </c>
    </row>
    <row r="19" spans="1:4">
      <c r="A19" s="12" t="s">
        <v>43</v>
      </c>
      <c r="B19" s="12" t="s">
        <v>44</v>
      </c>
      <c r="C19" s="12" t="s">
        <v>29</v>
      </c>
      <c r="D19" s="12" t="s">
        <v>6</v>
      </c>
    </row>
    <row r="20" spans="1:4">
      <c r="A20" s="12" t="s">
        <v>45</v>
      </c>
      <c r="B20" s="12" t="s">
        <v>44</v>
      </c>
      <c r="C20" s="12" t="s">
        <v>31</v>
      </c>
      <c r="D20" s="12" t="s">
        <v>32</v>
      </c>
    </row>
    <row r="21" spans="1:4">
      <c r="A21" s="12" t="s">
        <v>46</v>
      </c>
      <c r="B21" s="12" t="s">
        <v>44</v>
      </c>
      <c r="C21" s="12" t="s">
        <v>22</v>
      </c>
      <c r="D21" s="12" t="s">
        <v>13</v>
      </c>
    </row>
    <row r="22" spans="1:4">
      <c r="A22" s="12" t="s">
        <v>47</v>
      </c>
      <c r="B22" s="12" t="s">
        <v>15</v>
      </c>
      <c r="C22" s="12" t="s">
        <v>35</v>
      </c>
      <c r="D22" s="12" t="s">
        <v>13</v>
      </c>
    </row>
    <row r="23" spans="1:4">
      <c r="A23" s="12" t="s">
        <v>48</v>
      </c>
      <c r="B23" s="12" t="s">
        <v>15</v>
      </c>
      <c r="C23" s="12" t="s">
        <v>37</v>
      </c>
      <c r="D23" s="12" t="s">
        <v>6</v>
      </c>
    </row>
    <row r="24" spans="1:4">
      <c r="A24" s="12" t="s">
        <v>49</v>
      </c>
      <c r="B24" s="12" t="s">
        <v>15</v>
      </c>
      <c r="C24" s="12" t="s">
        <v>39</v>
      </c>
      <c r="D24" s="12" t="s">
        <v>32</v>
      </c>
    </row>
    <row r="25" spans="1:4">
      <c r="A25" s="12" t="s">
        <v>50</v>
      </c>
      <c r="B25" s="12" t="s">
        <v>15</v>
      </c>
      <c r="C25" s="12" t="s">
        <v>41</v>
      </c>
      <c r="D25" s="12" t="s">
        <v>42</v>
      </c>
    </row>
    <row r="27" spans="1:1">
      <c r="A27" t="s">
        <v>51</v>
      </c>
    </row>
    <row r="28" spans="1:9">
      <c r="A28" s="54" t="s">
        <v>52</v>
      </c>
      <c r="B28" s="54" t="s">
        <v>5</v>
      </c>
      <c r="C28" s="54" t="s">
        <v>53</v>
      </c>
      <c r="D28" s="54" t="s">
        <v>54</v>
      </c>
      <c r="E28" s="28"/>
      <c r="F28" s="28"/>
      <c r="G28" s="28"/>
      <c r="H28" s="28"/>
      <c r="I28" s="28"/>
    </row>
    <row r="29" spans="1:9">
      <c r="A29" s="54" t="s">
        <v>55</v>
      </c>
      <c r="B29" s="54" t="s">
        <v>8</v>
      </c>
      <c r="C29" s="54" t="s">
        <v>56</v>
      </c>
      <c r="D29" s="54" t="s">
        <v>54</v>
      </c>
      <c r="E29" s="28"/>
      <c r="F29" s="28"/>
      <c r="G29" s="28"/>
      <c r="H29" s="28"/>
      <c r="I29" s="28"/>
    </row>
    <row r="30" spans="1:9">
      <c r="A30" s="54" t="s">
        <v>57</v>
      </c>
      <c r="B30" s="54" t="s">
        <v>58</v>
      </c>
      <c r="C30" s="54" t="s">
        <v>59</v>
      </c>
      <c r="D30" s="54" t="s">
        <v>54</v>
      </c>
      <c r="E30" s="28"/>
      <c r="F30" s="28"/>
      <c r="G30" s="28"/>
      <c r="H30" s="28"/>
      <c r="I30" s="28"/>
    </row>
    <row r="31" spans="1:9">
      <c r="A31" s="54" t="s">
        <v>60</v>
      </c>
      <c r="B31" s="54" t="s">
        <v>61</v>
      </c>
      <c r="C31" s="54" t="s">
        <v>59</v>
      </c>
      <c r="D31" s="54" t="s">
        <v>54</v>
      </c>
      <c r="E31" s="28"/>
      <c r="F31" s="28"/>
      <c r="G31" s="28"/>
      <c r="H31" s="28"/>
      <c r="I31" s="28"/>
    </row>
    <row r="32" spans="1:9">
      <c r="A32" s="28"/>
      <c r="B32" s="28"/>
      <c r="C32" s="28"/>
      <c r="D32" s="28"/>
      <c r="E32" s="28"/>
      <c r="F32" s="28"/>
      <c r="G32" s="28"/>
      <c r="H32" s="28"/>
      <c r="I32" s="28"/>
    </row>
    <row r="33" spans="1:9">
      <c r="A33" s="28"/>
      <c r="B33" s="28"/>
      <c r="C33" s="28"/>
      <c r="D33" s="28"/>
      <c r="E33" s="28"/>
      <c r="F33" s="28"/>
      <c r="G33" s="28"/>
      <c r="H33" s="28"/>
      <c r="I33" s="28"/>
    </row>
    <row r="34" spans="1:9">
      <c r="A34" s="55" t="s">
        <v>62</v>
      </c>
      <c r="B34" s="55"/>
      <c r="C34" s="55"/>
      <c r="D34" s="55"/>
      <c r="E34" s="28"/>
      <c r="F34" s="28"/>
      <c r="G34" s="28"/>
      <c r="H34" s="28"/>
      <c r="I34" s="28"/>
    </row>
    <row r="35" spans="1:9">
      <c r="A35" s="54" t="s">
        <v>63</v>
      </c>
      <c r="B35" s="54" t="s">
        <v>64</v>
      </c>
      <c r="C35" s="54" t="s">
        <v>65</v>
      </c>
      <c r="D35" s="54" t="s">
        <v>6</v>
      </c>
      <c r="E35" s="28"/>
      <c r="F35" s="28"/>
      <c r="G35" s="28"/>
      <c r="H35" s="28"/>
      <c r="I35" s="28"/>
    </row>
    <row r="36" spans="1:9">
      <c r="A36" s="54" t="s">
        <v>66</v>
      </c>
      <c r="B36" s="54" t="s">
        <v>67</v>
      </c>
      <c r="C36" s="54" t="s">
        <v>65</v>
      </c>
      <c r="D36" s="54" t="s">
        <v>6</v>
      </c>
      <c r="E36" s="28"/>
      <c r="F36" s="28"/>
      <c r="G36" s="28"/>
      <c r="H36" s="28"/>
      <c r="I36" s="28"/>
    </row>
    <row r="37" spans="1:9">
      <c r="A37" s="28"/>
      <c r="B37" s="28"/>
      <c r="C37" s="28"/>
      <c r="D37" s="28"/>
      <c r="E37" s="28"/>
      <c r="F37" s="28"/>
      <c r="G37" s="28"/>
      <c r="H37" s="28"/>
      <c r="I37" s="28"/>
    </row>
    <row r="38" spans="1:9">
      <c r="A38" s="55" t="s">
        <v>68</v>
      </c>
      <c r="B38" s="55"/>
      <c r="C38" s="55"/>
      <c r="D38" s="55"/>
      <c r="E38" s="28"/>
      <c r="F38" s="28"/>
      <c r="G38" s="28"/>
      <c r="H38" s="28"/>
      <c r="I38" s="28"/>
    </row>
    <row r="39" spans="1:9">
      <c r="A39" s="54" t="s">
        <v>38</v>
      </c>
      <c r="B39" s="54" t="s">
        <v>11</v>
      </c>
      <c r="C39" s="54" t="s">
        <v>39</v>
      </c>
      <c r="D39" s="54" t="s">
        <v>23</v>
      </c>
      <c r="E39" s="56" t="s">
        <v>69</v>
      </c>
      <c r="F39" s="28"/>
      <c r="G39" s="28"/>
      <c r="H39" s="28"/>
      <c r="I39" s="28"/>
    </row>
    <row r="40" spans="1:9">
      <c r="A40" s="54" t="s">
        <v>36</v>
      </c>
      <c r="B40" s="54" t="s">
        <v>11</v>
      </c>
      <c r="C40" s="54" t="s">
        <v>37</v>
      </c>
      <c r="D40" s="54" t="s">
        <v>6</v>
      </c>
      <c r="E40" s="57"/>
      <c r="F40" s="28"/>
      <c r="G40" s="28"/>
      <c r="H40" s="28"/>
      <c r="I40" s="28"/>
    </row>
    <row r="41" spans="1:9">
      <c r="A41" s="54" t="s">
        <v>33</v>
      </c>
      <c r="B41" s="54" t="s">
        <v>28</v>
      </c>
      <c r="C41" s="54" t="s">
        <v>22</v>
      </c>
      <c r="D41" s="54" t="s">
        <v>13</v>
      </c>
      <c r="E41" s="57"/>
      <c r="F41" s="28"/>
      <c r="G41" s="28"/>
      <c r="H41" s="28"/>
      <c r="I41" s="28"/>
    </row>
    <row r="42" spans="1:9">
      <c r="A42" s="54" t="s">
        <v>70</v>
      </c>
      <c r="B42" s="54" t="s">
        <v>71</v>
      </c>
      <c r="C42" s="54" t="s">
        <v>72</v>
      </c>
      <c r="D42" s="54" t="s">
        <v>73</v>
      </c>
      <c r="E42" s="57"/>
      <c r="F42" s="28"/>
      <c r="G42" s="28"/>
      <c r="H42" s="28"/>
      <c r="I42" s="28"/>
    </row>
    <row r="43" spans="1:9">
      <c r="A43" s="54" t="s">
        <v>74</v>
      </c>
      <c r="B43" s="54" t="s">
        <v>71</v>
      </c>
      <c r="C43" s="54" t="s">
        <v>75</v>
      </c>
      <c r="D43" s="54" t="s">
        <v>6</v>
      </c>
      <c r="E43" s="57"/>
      <c r="F43" s="28"/>
      <c r="G43" s="28"/>
      <c r="H43" s="28"/>
      <c r="I43" s="28"/>
    </row>
    <row r="44" spans="1:9">
      <c r="A44" s="54" t="s">
        <v>27</v>
      </c>
      <c r="B44" s="54" t="s">
        <v>28</v>
      </c>
      <c r="C44" s="54" t="s">
        <v>29</v>
      </c>
      <c r="D44" s="54" t="s">
        <v>54</v>
      </c>
      <c r="E44" s="57"/>
      <c r="F44" s="28"/>
      <c r="G44" s="28"/>
      <c r="H44" s="28"/>
      <c r="I44" s="28"/>
    </row>
    <row r="45" spans="1:9">
      <c r="A45" s="54" t="s">
        <v>30</v>
      </c>
      <c r="B45" s="54" t="s">
        <v>28</v>
      </c>
      <c r="C45" s="54" t="s">
        <v>31</v>
      </c>
      <c r="D45" s="54" t="s">
        <v>54</v>
      </c>
      <c r="E45" s="57"/>
      <c r="F45" s="28"/>
      <c r="G45" s="28"/>
      <c r="H45" s="28"/>
      <c r="I45" s="28"/>
    </row>
    <row r="46" spans="1:9">
      <c r="A46" s="54" t="s">
        <v>34</v>
      </c>
      <c r="B46" s="54" t="s">
        <v>11</v>
      </c>
      <c r="C46" s="54" t="s">
        <v>35</v>
      </c>
      <c r="D46" s="54" t="s">
        <v>13</v>
      </c>
      <c r="E46" s="57"/>
      <c r="F46" s="28"/>
      <c r="G46" s="28"/>
      <c r="H46" s="28"/>
      <c r="I46" s="28"/>
    </row>
    <row r="47" spans="1:9">
      <c r="A47" s="54" t="s">
        <v>49</v>
      </c>
      <c r="B47" s="54" t="s">
        <v>15</v>
      </c>
      <c r="C47" s="54" t="s">
        <v>39</v>
      </c>
      <c r="D47" s="54" t="s">
        <v>23</v>
      </c>
      <c r="E47" s="57"/>
      <c r="F47" s="28"/>
      <c r="G47" s="28"/>
      <c r="H47" s="28"/>
      <c r="I47" s="28"/>
    </row>
    <row r="48" spans="1:9">
      <c r="A48" s="54" t="s">
        <v>48</v>
      </c>
      <c r="B48" s="54" t="s">
        <v>15</v>
      </c>
      <c r="C48" s="54" t="s">
        <v>37</v>
      </c>
      <c r="D48" s="54" t="s">
        <v>6</v>
      </c>
      <c r="E48" s="57"/>
      <c r="F48" s="28"/>
      <c r="G48" s="28"/>
      <c r="H48" s="28"/>
      <c r="I48" s="28"/>
    </row>
    <row r="49" spans="1:9">
      <c r="A49" s="54" t="s">
        <v>46</v>
      </c>
      <c r="B49" s="54" t="s">
        <v>44</v>
      </c>
      <c r="C49" s="54" t="s">
        <v>22</v>
      </c>
      <c r="D49" s="54" t="s">
        <v>13</v>
      </c>
      <c r="E49" s="57"/>
      <c r="F49" s="28"/>
      <c r="G49" s="28"/>
      <c r="H49" s="28"/>
      <c r="I49" s="28"/>
    </row>
    <row r="50" spans="1:9">
      <c r="A50" s="54" t="s">
        <v>76</v>
      </c>
      <c r="B50" s="54" t="s">
        <v>77</v>
      </c>
      <c r="C50" s="54" t="s">
        <v>72</v>
      </c>
      <c r="D50" s="54" t="s">
        <v>73</v>
      </c>
      <c r="E50" s="57"/>
      <c r="F50" s="28"/>
      <c r="G50" s="28"/>
      <c r="H50" s="28"/>
      <c r="I50" s="28"/>
    </row>
    <row r="51" spans="1:9">
      <c r="A51" s="54" t="s">
        <v>78</v>
      </c>
      <c r="B51" s="54" t="s">
        <v>77</v>
      </c>
      <c r="C51" s="54" t="s">
        <v>75</v>
      </c>
      <c r="D51" s="54" t="s">
        <v>6</v>
      </c>
      <c r="E51" s="57"/>
      <c r="F51" s="28"/>
      <c r="G51" s="28"/>
      <c r="H51" s="28"/>
      <c r="I51" s="28"/>
    </row>
    <row r="52" spans="1:9">
      <c r="A52" s="54" t="s">
        <v>43</v>
      </c>
      <c r="B52" s="54" t="s">
        <v>44</v>
      </c>
      <c r="C52" s="54" t="s">
        <v>29</v>
      </c>
      <c r="D52" s="54" t="s">
        <v>54</v>
      </c>
      <c r="E52" s="57"/>
      <c r="F52" s="28"/>
      <c r="G52" s="28"/>
      <c r="H52" s="28"/>
      <c r="I52" s="28"/>
    </row>
    <row r="53" spans="1:9">
      <c r="A53" s="54" t="s">
        <v>45</v>
      </c>
      <c r="B53" s="54" t="s">
        <v>44</v>
      </c>
      <c r="C53" s="54" t="s">
        <v>31</v>
      </c>
      <c r="D53" s="54" t="s">
        <v>54</v>
      </c>
      <c r="E53" s="57"/>
      <c r="F53" s="28"/>
      <c r="G53" s="28"/>
      <c r="H53" s="28"/>
      <c r="I53" s="28"/>
    </row>
    <row r="54" spans="1:9">
      <c r="A54" s="54" t="s">
        <v>47</v>
      </c>
      <c r="B54" s="54" t="s">
        <v>15</v>
      </c>
      <c r="C54" s="54" t="s">
        <v>35</v>
      </c>
      <c r="D54" s="54" t="s">
        <v>13</v>
      </c>
      <c r="E54" s="57"/>
      <c r="F54" s="28"/>
      <c r="G54" s="28"/>
      <c r="H54" s="28"/>
      <c r="I54" s="28"/>
    </row>
    <row r="55" spans="1:9">
      <c r="A55" s="28"/>
      <c r="B55" s="28"/>
      <c r="C55" s="28"/>
      <c r="D55" s="28"/>
      <c r="E55" s="28"/>
      <c r="F55" s="28"/>
      <c r="G55" s="28"/>
      <c r="H55" s="28"/>
      <c r="I55" s="28"/>
    </row>
    <row r="56" spans="1:9">
      <c r="A56" s="55" t="s">
        <v>79</v>
      </c>
      <c r="B56" s="55"/>
      <c r="C56" s="55"/>
      <c r="D56" s="55"/>
      <c r="E56" s="55"/>
      <c r="F56" s="28"/>
      <c r="G56" s="28"/>
      <c r="H56" s="28"/>
      <c r="I56" s="28"/>
    </row>
    <row r="57" spans="1:9">
      <c r="A57" s="54" t="s">
        <v>63</v>
      </c>
      <c r="B57" s="54" t="s">
        <v>64</v>
      </c>
      <c r="C57" s="54" t="s">
        <v>65</v>
      </c>
      <c r="D57" s="54" t="s">
        <v>42</v>
      </c>
      <c r="E57" s="58" t="s">
        <v>80</v>
      </c>
      <c r="F57" s="28"/>
      <c r="G57" s="28"/>
      <c r="H57" s="28"/>
      <c r="I57" s="28"/>
    </row>
    <row r="58" spans="1:9">
      <c r="A58" s="54" t="s">
        <v>66</v>
      </c>
      <c r="B58" s="54" t="s">
        <v>67</v>
      </c>
      <c r="C58" s="54" t="s">
        <v>65</v>
      </c>
      <c r="D58" s="54" t="s">
        <v>42</v>
      </c>
      <c r="E58" s="58"/>
      <c r="F58" s="28"/>
      <c r="G58" s="28"/>
      <c r="H58" s="28"/>
      <c r="I58" s="28"/>
    </row>
    <row r="59" spans="1:9">
      <c r="A59" s="28"/>
      <c r="B59" s="28"/>
      <c r="C59" s="28"/>
      <c r="D59" s="28"/>
      <c r="E59" s="28"/>
      <c r="F59" s="28"/>
      <c r="G59" s="28"/>
      <c r="H59" s="28"/>
      <c r="I59" s="28"/>
    </row>
    <row r="60" spans="1:9">
      <c r="A60" s="59" t="s">
        <v>81</v>
      </c>
      <c r="B60" s="60"/>
      <c r="C60" s="60"/>
      <c r="D60" s="60"/>
      <c r="E60" s="28"/>
      <c r="F60" s="28"/>
      <c r="G60" s="28"/>
      <c r="H60" s="28"/>
      <c r="I60" s="28"/>
    </row>
    <row r="61" spans="1:12">
      <c r="A61" s="54" t="s">
        <v>82</v>
      </c>
      <c r="B61" s="54" t="s">
        <v>83</v>
      </c>
      <c r="C61" s="54" t="s">
        <v>65</v>
      </c>
      <c r="D61" s="54" t="s">
        <v>6</v>
      </c>
      <c r="E61" s="28" t="s">
        <v>84</v>
      </c>
      <c r="F61" s="28"/>
      <c r="G61" s="61" t="s">
        <v>85</v>
      </c>
      <c r="H61" s="62" t="s">
        <v>86</v>
      </c>
      <c r="I61" s="62" t="s">
        <v>87</v>
      </c>
      <c r="J61" s="62" t="s">
        <v>88</v>
      </c>
      <c r="K61" s="62">
        <v>2</v>
      </c>
      <c r="L61" s="61" t="s">
        <v>89</v>
      </c>
    </row>
    <row r="62" spans="1:9">
      <c r="A62" s="28"/>
      <c r="B62" s="28"/>
      <c r="C62" s="28"/>
      <c r="D62" s="28"/>
      <c r="E62" s="28"/>
      <c r="F62" s="28"/>
      <c r="G62" s="28"/>
      <c r="H62" s="28"/>
      <c r="I62" s="28"/>
    </row>
    <row r="63" spans="1:9">
      <c r="A63" s="63" t="s">
        <v>90</v>
      </c>
      <c r="B63" s="64"/>
      <c r="C63" s="64"/>
      <c r="D63" s="64"/>
      <c r="E63" s="55"/>
      <c r="F63" s="28"/>
      <c r="G63" s="28"/>
      <c r="H63" s="28"/>
      <c r="I63" s="28"/>
    </row>
    <row r="64" spans="1:9">
      <c r="A64" s="64" t="s">
        <v>70</v>
      </c>
      <c r="B64" s="64" t="s">
        <v>91</v>
      </c>
      <c r="C64" s="64" t="s">
        <v>72</v>
      </c>
      <c r="D64" s="64" t="s">
        <v>23</v>
      </c>
      <c r="E64" s="55"/>
      <c r="F64" s="28"/>
      <c r="G64" s="28"/>
      <c r="H64" s="28"/>
      <c r="I64" s="28"/>
    </row>
    <row r="65" spans="1:9">
      <c r="A65" s="64" t="s">
        <v>76</v>
      </c>
      <c r="B65" s="64" t="s">
        <v>92</v>
      </c>
      <c r="C65" s="64" t="s">
        <v>72</v>
      </c>
      <c r="D65" s="64" t="s">
        <v>23</v>
      </c>
      <c r="E65" s="55"/>
      <c r="F65" s="28"/>
      <c r="G65" s="28"/>
      <c r="H65" s="28"/>
      <c r="I65" s="28"/>
    </row>
    <row r="66" spans="1:9">
      <c r="A66" s="28"/>
      <c r="B66" s="28"/>
      <c r="C66" s="28"/>
      <c r="D66" s="28"/>
      <c r="E66" s="28"/>
      <c r="F66" s="28"/>
      <c r="G66" s="28"/>
      <c r="H66" s="28"/>
      <c r="I66" s="28"/>
    </row>
    <row r="67" spans="1:9">
      <c r="A67" s="65" t="s">
        <v>93</v>
      </c>
      <c r="B67" s="65"/>
      <c r="C67" s="65"/>
      <c r="D67" s="65"/>
      <c r="E67" s="56" t="s">
        <v>69</v>
      </c>
      <c r="F67" s="28"/>
      <c r="G67" s="28"/>
      <c r="H67" s="28"/>
      <c r="I67" s="28"/>
    </row>
    <row r="68" spans="1:9">
      <c r="A68" s="66" t="s">
        <v>27</v>
      </c>
      <c r="B68" s="66" t="s">
        <v>28</v>
      </c>
      <c r="C68" s="66" t="s">
        <v>29</v>
      </c>
      <c r="D68" s="66" t="s">
        <v>13</v>
      </c>
      <c r="E68" s="57"/>
      <c r="F68" s="28"/>
      <c r="G68" s="28"/>
      <c r="H68" s="28"/>
      <c r="I68" s="28"/>
    </row>
    <row r="69" spans="1:9">
      <c r="A69" s="66" t="s">
        <v>30</v>
      </c>
      <c r="B69" s="66" t="s">
        <v>28</v>
      </c>
      <c r="C69" s="66" t="s">
        <v>31</v>
      </c>
      <c r="D69" s="66" t="s">
        <v>42</v>
      </c>
      <c r="E69" s="57"/>
      <c r="F69" s="28"/>
      <c r="G69" s="28"/>
      <c r="H69" s="28"/>
      <c r="I69" s="28"/>
    </row>
    <row r="70" spans="1:9">
      <c r="A70" s="66" t="s">
        <v>33</v>
      </c>
      <c r="B70" s="66" t="s">
        <v>28</v>
      </c>
      <c r="C70" s="66" t="s">
        <v>22</v>
      </c>
      <c r="D70" s="66" t="s">
        <v>13</v>
      </c>
      <c r="E70" s="57"/>
      <c r="F70" s="28"/>
      <c r="G70" s="28"/>
      <c r="H70" s="28"/>
      <c r="I70" s="28"/>
    </row>
    <row r="71" spans="1:9">
      <c r="A71" s="66" t="s">
        <v>34</v>
      </c>
      <c r="B71" s="66" t="s">
        <v>11</v>
      </c>
      <c r="C71" s="66" t="s">
        <v>35</v>
      </c>
      <c r="D71" s="66" t="s">
        <v>54</v>
      </c>
      <c r="E71" s="57"/>
      <c r="F71" s="28"/>
      <c r="G71" s="28"/>
      <c r="H71" s="28"/>
      <c r="I71" s="28"/>
    </row>
    <row r="72" spans="1:9">
      <c r="A72" s="66" t="s">
        <v>36</v>
      </c>
      <c r="B72" s="66" t="s">
        <v>11</v>
      </c>
      <c r="C72" s="66" t="s">
        <v>37</v>
      </c>
      <c r="D72" s="66" t="s">
        <v>6</v>
      </c>
      <c r="E72" s="57"/>
      <c r="F72" s="28"/>
      <c r="G72" s="28"/>
      <c r="H72" s="28"/>
      <c r="I72" s="28"/>
    </row>
    <row r="73" spans="1:9">
      <c r="A73" s="66" t="s">
        <v>38</v>
      </c>
      <c r="B73" s="66" t="s">
        <v>11</v>
      </c>
      <c r="C73" s="66" t="s">
        <v>39</v>
      </c>
      <c r="D73" s="66" t="s">
        <v>23</v>
      </c>
      <c r="E73" s="57"/>
      <c r="F73" s="28"/>
      <c r="G73" s="28"/>
      <c r="H73" s="28"/>
      <c r="I73" s="28"/>
    </row>
    <row r="74" spans="1:9">
      <c r="A74" s="66" t="s">
        <v>40</v>
      </c>
      <c r="B74" s="66" t="s">
        <v>11</v>
      </c>
      <c r="C74" s="66" t="s">
        <v>41</v>
      </c>
      <c r="D74" s="66" t="s">
        <v>42</v>
      </c>
      <c r="E74" s="57"/>
      <c r="F74" s="28"/>
      <c r="G74" s="28"/>
      <c r="H74" s="28"/>
      <c r="I74" s="28"/>
    </row>
    <row r="75" spans="1:9">
      <c r="A75" s="66" t="s">
        <v>43</v>
      </c>
      <c r="B75" s="66" t="s">
        <v>44</v>
      </c>
      <c r="C75" s="66" t="s">
        <v>29</v>
      </c>
      <c r="D75" s="66" t="s">
        <v>13</v>
      </c>
      <c r="E75" s="57"/>
      <c r="F75" s="28"/>
      <c r="G75" s="28"/>
      <c r="H75" s="28"/>
      <c r="I75" s="28"/>
    </row>
    <row r="76" spans="1:9">
      <c r="A76" s="66" t="s">
        <v>45</v>
      </c>
      <c r="B76" s="66" t="s">
        <v>44</v>
      </c>
      <c r="C76" s="66" t="s">
        <v>31</v>
      </c>
      <c r="D76" s="66" t="s">
        <v>42</v>
      </c>
      <c r="E76" s="57"/>
      <c r="F76" s="28"/>
      <c r="G76" s="28"/>
      <c r="H76" s="28"/>
      <c r="I76" s="28"/>
    </row>
    <row r="77" spans="1:9">
      <c r="A77" s="66" t="s">
        <v>46</v>
      </c>
      <c r="B77" s="66" t="s">
        <v>44</v>
      </c>
      <c r="C77" s="66" t="s">
        <v>22</v>
      </c>
      <c r="D77" s="66" t="s">
        <v>13</v>
      </c>
      <c r="E77" s="57"/>
      <c r="F77" s="28"/>
      <c r="G77" s="28"/>
      <c r="H77" s="28"/>
      <c r="I77" s="28"/>
    </row>
    <row r="78" spans="1:9">
      <c r="A78" s="66" t="s">
        <v>47</v>
      </c>
      <c r="B78" s="66" t="s">
        <v>15</v>
      </c>
      <c r="C78" s="66" t="s">
        <v>35</v>
      </c>
      <c r="D78" s="66" t="s">
        <v>54</v>
      </c>
      <c r="E78" s="57"/>
      <c r="F78" s="28"/>
      <c r="G78" s="28"/>
      <c r="H78" s="28"/>
      <c r="I78" s="28"/>
    </row>
    <row r="79" spans="1:9">
      <c r="A79" s="66" t="s">
        <v>48</v>
      </c>
      <c r="B79" s="66" t="s">
        <v>15</v>
      </c>
      <c r="C79" s="66" t="s">
        <v>37</v>
      </c>
      <c r="D79" s="66" t="s">
        <v>6</v>
      </c>
      <c r="E79" s="57"/>
      <c r="F79" s="28"/>
      <c r="G79" s="28"/>
      <c r="H79" s="28"/>
      <c r="I79" s="28"/>
    </row>
    <row r="80" spans="1:9">
      <c r="A80" s="66" t="s">
        <v>49</v>
      </c>
      <c r="B80" s="66" t="s">
        <v>15</v>
      </c>
      <c r="C80" s="66" t="s">
        <v>39</v>
      </c>
      <c r="D80" s="66" t="s">
        <v>23</v>
      </c>
      <c r="E80" s="57"/>
      <c r="F80" s="28"/>
      <c r="G80" s="28"/>
      <c r="H80" s="28"/>
      <c r="I80" s="28"/>
    </row>
    <row r="81" spans="1:9">
      <c r="A81" s="66" t="s">
        <v>50</v>
      </c>
      <c r="B81" s="66" t="s">
        <v>15</v>
      </c>
      <c r="C81" s="66" t="s">
        <v>41</v>
      </c>
      <c r="D81" s="66" t="s">
        <v>42</v>
      </c>
      <c r="E81" s="57"/>
      <c r="F81" s="28"/>
      <c r="G81" s="28"/>
      <c r="H81" s="28"/>
      <c r="I81" s="28"/>
    </row>
  </sheetData>
  <mergeCells count="3">
    <mergeCell ref="E39:E54"/>
    <mergeCell ref="E57:E58"/>
    <mergeCell ref="E67:E8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L38" sqref="L38"/>
    </sheetView>
  </sheetViews>
  <sheetFormatPr defaultColWidth="9" defaultRowHeight="14.25"/>
  <cols>
    <col min="1" max="1" width="26.75" customWidth="1"/>
    <col min="3" max="3" width="11.375" customWidth="1"/>
    <col min="4" max="4" width="8.875" customWidth="1"/>
    <col min="19" max="19" width="8.5" customWidth="1"/>
    <col min="25" max="25" width="12.875" customWidth="1"/>
  </cols>
  <sheetData>
    <row r="1" spans="1:24">
      <c r="A1" s="6" t="s">
        <v>94</v>
      </c>
      <c r="B1" s="6" t="s">
        <v>95</v>
      </c>
      <c r="C1" s="6" t="s">
        <v>96</v>
      </c>
      <c r="D1" s="6" t="s">
        <v>97</v>
      </c>
      <c r="E1" s="6" t="s">
        <v>98</v>
      </c>
      <c r="F1" s="6" t="s">
        <v>99</v>
      </c>
      <c r="G1" s="6" t="s">
        <v>100</v>
      </c>
      <c r="H1" s="6" t="s">
        <v>101</v>
      </c>
      <c r="I1" s="6" t="s">
        <v>102</v>
      </c>
      <c r="J1" s="6">
        <v>9</v>
      </c>
      <c r="K1" s="6">
        <v>8</v>
      </c>
      <c r="L1" s="6">
        <v>7</v>
      </c>
      <c r="M1" s="6">
        <v>6</v>
      </c>
      <c r="N1" s="6">
        <v>5</v>
      </c>
      <c r="O1" s="6">
        <v>4</v>
      </c>
      <c r="P1" s="6">
        <v>3</v>
      </c>
      <c r="Q1" s="6">
        <v>2</v>
      </c>
      <c r="R1" s="6">
        <v>1</v>
      </c>
      <c r="S1" s="6">
        <v>0</v>
      </c>
      <c r="V1" s="39" t="s">
        <v>103</v>
      </c>
      <c r="W1" s="39"/>
      <c r="X1" s="39"/>
    </row>
    <row r="2" spans="1:26">
      <c r="A2" s="7" t="s">
        <v>104</v>
      </c>
      <c r="B2" s="8" t="s">
        <v>105</v>
      </c>
      <c r="C2" s="9">
        <v>9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V2" s="40">
        <v>0</v>
      </c>
      <c r="W2" s="39" t="s">
        <v>106</v>
      </c>
      <c r="X2" s="41" t="str">
        <f>S32</f>
        <v>87701C4</v>
      </c>
      <c r="Y2" t="str">
        <f>"0x"&amp;RIGHT("00000000"&amp;X2,8)&amp;","</f>
        <v>0x087701C4,</v>
      </c>
      <c r="Z2" s="39" t="s">
        <v>107</v>
      </c>
    </row>
    <row r="3" spans="1:26">
      <c r="A3" s="11" t="s">
        <v>108</v>
      </c>
      <c r="B3" s="12" t="s">
        <v>109</v>
      </c>
      <c r="C3" s="9">
        <v>5</v>
      </c>
      <c r="D3" s="46">
        <v>3</v>
      </c>
      <c r="E3" s="46">
        <v>3</v>
      </c>
      <c r="F3" s="46">
        <v>3</v>
      </c>
      <c r="G3" s="46">
        <v>3</v>
      </c>
      <c r="H3" s="46">
        <v>3</v>
      </c>
      <c r="I3" s="46">
        <v>3</v>
      </c>
      <c r="J3" s="46">
        <v>3</v>
      </c>
      <c r="K3" s="46">
        <v>3</v>
      </c>
      <c r="L3" s="46">
        <v>3</v>
      </c>
      <c r="M3" s="46">
        <v>3</v>
      </c>
      <c r="N3" s="46">
        <v>3</v>
      </c>
      <c r="O3" s="46">
        <v>3</v>
      </c>
      <c r="P3" s="46">
        <v>3</v>
      </c>
      <c r="Q3" s="46">
        <v>3</v>
      </c>
      <c r="R3" s="46">
        <v>3</v>
      </c>
      <c r="S3" s="46">
        <v>3</v>
      </c>
      <c r="V3" s="40"/>
      <c r="W3" s="39" t="s">
        <v>110</v>
      </c>
      <c r="X3" s="41" t="str">
        <f>S31</f>
        <v>A9A9DADB</v>
      </c>
      <c r="Y3" t="str">
        <f t="shared" ref="Y3:Y49" si="0">"0x"&amp;RIGHT("00000000"&amp;X3,8)&amp;","</f>
        <v>0xA9A9DADB,</v>
      </c>
      <c r="Z3" s="39"/>
    </row>
    <row r="4" spans="1:26">
      <c r="A4" s="11" t="s">
        <v>111</v>
      </c>
      <c r="B4" s="12" t="s">
        <v>112</v>
      </c>
      <c r="C4" s="9">
        <v>6</v>
      </c>
      <c r="D4" s="46">
        <v>18</v>
      </c>
      <c r="E4" s="46">
        <v>12</v>
      </c>
      <c r="F4" s="49">
        <v>12</v>
      </c>
      <c r="G4" s="49">
        <v>12</v>
      </c>
      <c r="H4" s="49">
        <v>12</v>
      </c>
      <c r="I4" s="49">
        <v>12</v>
      </c>
      <c r="J4" s="49">
        <v>12</v>
      </c>
      <c r="K4" s="49">
        <v>12</v>
      </c>
      <c r="L4" s="49">
        <v>12</v>
      </c>
      <c r="M4" s="49">
        <v>12</v>
      </c>
      <c r="N4" s="49">
        <v>12</v>
      </c>
      <c r="O4" s="49">
        <v>12</v>
      </c>
      <c r="P4" s="49">
        <v>12</v>
      </c>
      <c r="Q4" s="49">
        <v>12</v>
      </c>
      <c r="R4" s="49">
        <v>12</v>
      </c>
      <c r="S4" s="49">
        <v>12</v>
      </c>
      <c r="V4" s="40"/>
      <c r="W4" s="39" t="s">
        <v>113</v>
      </c>
      <c r="X4" s="41" t="str">
        <f>S30</f>
        <v>CC91A</v>
      </c>
      <c r="Y4" t="str">
        <f t="shared" si="0"/>
        <v>0x000CC91A,</v>
      </c>
      <c r="Z4" s="39"/>
    </row>
    <row r="5" spans="1:26">
      <c r="A5" s="11" t="s">
        <v>114</v>
      </c>
      <c r="B5" s="12" t="s">
        <v>115</v>
      </c>
      <c r="C5" s="9">
        <v>6</v>
      </c>
      <c r="D5" s="46">
        <v>63</v>
      </c>
      <c r="E5" s="46">
        <v>59</v>
      </c>
      <c r="F5" s="49">
        <v>59</v>
      </c>
      <c r="G5" s="49">
        <v>59</v>
      </c>
      <c r="H5" s="49">
        <v>54</v>
      </c>
      <c r="I5" s="49">
        <v>54</v>
      </c>
      <c r="J5" s="49">
        <v>36</v>
      </c>
      <c r="K5" s="49">
        <v>36</v>
      </c>
      <c r="L5" s="49">
        <v>36</v>
      </c>
      <c r="M5" s="49">
        <v>36</v>
      </c>
      <c r="N5" s="49">
        <v>36</v>
      </c>
      <c r="O5" s="49">
        <v>36</v>
      </c>
      <c r="P5" s="49">
        <v>36</v>
      </c>
      <c r="Q5" s="49">
        <v>36</v>
      </c>
      <c r="R5" s="49">
        <v>36</v>
      </c>
      <c r="S5" s="49">
        <v>36</v>
      </c>
      <c r="V5" s="40">
        <v>1</v>
      </c>
      <c r="W5" s="39" t="s">
        <v>106</v>
      </c>
      <c r="X5" s="41" t="str">
        <f>R32</f>
        <v>8770085</v>
      </c>
      <c r="Y5" t="str">
        <f t="shared" si="0"/>
        <v>0x08770085,</v>
      </c>
      <c r="Z5" s="39" t="s">
        <v>116</v>
      </c>
    </row>
    <row r="6" spans="1:26">
      <c r="A6" s="11" t="s">
        <v>117</v>
      </c>
      <c r="B6" s="12" t="s">
        <v>118</v>
      </c>
      <c r="C6" s="9">
        <v>6</v>
      </c>
      <c r="D6" s="46">
        <v>26</v>
      </c>
      <c r="E6" s="46">
        <v>26</v>
      </c>
      <c r="F6" s="46">
        <v>26</v>
      </c>
      <c r="G6" s="46">
        <v>26</v>
      </c>
      <c r="H6" s="46">
        <v>26</v>
      </c>
      <c r="I6" s="46">
        <v>26</v>
      </c>
      <c r="J6" s="46">
        <v>26</v>
      </c>
      <c r="K6" s="46">
        <v>26</v>
      </c>
      <c r="L6" s="46">
        <v>26</v>
      </c>
      <c r="M6" s="46">
        <v>26</v>
      </c>
      <c r="N6" s="46">
        <v>26</v>
      </c>
      <c r="O6" s="46">
        <v>26</v>
      </c>
      <c r="P6" s="46">
        <v>26</v>
      </c>
      <c r="Q6" s="46">
        <v>26</v>
      </c>
      <c r="R6" s="46">
        <v>26</v>
      </c>
      <c r="S6" s="46">
        <v>26</v>
      </c>
      <c r="V6" s="40"/>
      <c r="W6" s="39" t="s">
        <v>110</v>
      </c>
      <c r="X6" s="41" t="str">
        <f>R31</f>
        <v>A9ADDADB</v>
      </c>
      <c r="Y6" t="str">
        <f t="shared" si="0"/>
        <v>0xA9ADDADB,</v>
      </c>
      <c r="Z6" s="39"/>
    </row>
    <row r="7" spans="1:26">
      <c r="A7" s="7" t="s">
        <v>119</v>
      </c>
      <c r="B7" s="12" t="s">
        <v>120</v>
      </c>
      <c r="C7" s="9">
        <v>4</v>
      </c>
      <c r="D7" s="46">
        <v>10</v>
      </c>
      <c r="E7" s="46">
        <v>11</v>
      </c>
      <c r="F7" s="46">
        <v>11</v>
      </c>
      <c r="G7" s="46">
        <v>11</v>
      </c>
      <c r="H7" s="46">
        <v>11</v>
      </c>
      <c r="I7" s="46">
        <v>11</v>
      </c>
      <c r="J7" s="46">
        <v>10</v>
      </c>
      <c r="K7" s="46">
        <v>10</v>
      </c>
      <c r="L7" s="46">
        <v>10</v>
      </c>
      <c r="M7" s="46">
        <v>10</v>
      </c>
      <c r="N7" s="46">
        <v>10</v>
      </c>
      <c r="O7" s="46">
        <v>10</v>
      </c>
      <c r="P7" s="46">
        <v>10</v>
      </c>
      <c r="Q7" s="46">
        <v>10</v>
      </c>
      <c r="R7" s="46">
        <v>10</v>
      </c>
      <c r="S7" s="46">
        <v>10</v>
      </c>
      <c r="V7" s="40"/>
      <c r="W7" s="39" t="s">
        <v>113</v>
      </c>
      <c r="X7" s="41" t="str">
        <f>R30</f>
        <v>CC91A</v>
      </c>
      <c r="Y7" t="str">
        <f t="shared" si="0"/>
        <v>0x000CC91A,</v>
      </c>
      <c r="Z7" s="39"/>
    </row>
    <row r="8" spans="1:26">
      <c r="A8" s="7" t="s">
        <v>121</v>
      </c>
      <c r="B8" s="12" t="s">
        <v>122</v>
      </c>
      <c r="C8" s="9">
        <v>4</v>
      </c>
      <c r="D8" s="46">
        <v>14</v>
      </c>
      <c r="E8" s="46">
        <v>14</v>
      </c>
      <c r="F8" s="46">
        <v>14</v>
      </c>
      <c r="G8" s="46">
        <v>14</v>
      </c>
      <c r="H8" s="46">
        <v>6</v>
      </c>
      <c r="I8" s="46">
        <v>11</v>
      </c>
      <c r="J8" s="46">
        <v>9</v>
      </c>
      <c r="K8" s="46">
        <v>9</v>
      </c>
      <c r="L8" s="46">
        <v>9</v>
      </c>
      <c r="M8" s="46">
        <v>9</v>
      </c>
      <c r="N8" s="46">
        <v>9</v>
      </c>
      <c r="O8" s="46">
        <v>9</v>
      </c>
      <c r="P8" s="46">
        <v>9</v>
      </c>
      <c r="Q8" s="46">
        <v>9</v>
      </c>
      <c r="R8" s="46">
        <v>9</v>
      </c>
      <c r="S8" s="46">
        <v>9</v>
      </c>
      <c r="V8" s="40">
        <v>2</v>
      </c>
      <c r="W8" s="39" t="s">
        <v>106</v>
      </c>
      <c r="X8" s="41" t="str">
        <f>Q32</f>
        <v>87700A6</v>
      </c>
      <c r="Y8" t="str">
        <f t="shared" si="0"/>
        <v>0x087700A6,</v>
      </c>
      <c r="Z8" s="39" t="s">
        <v>123</v>
      </c>
    </row>
    <row r="9" spans="1:26">
      <c r="A9" s="14" t="s">
        <v>124</v>
      </c>
      <c r="B9" s="12" t="s">
        <v>125</v>
      </c>
      <c r="C9" s="9">
        <v>3</v>
      </c>
      <c r="D9" s="46">
        <v>2</v>
      </c>
      <c r="E9" s="46">
        <v>2</v>
      </c>
      <c r="F9" s="46">
        <v>2</v>
      </c>
      <c r="G9" s="46">
        <v>2</v>
      </c>
      <c r="H9" s="46">
        <v>4</v>
      </c>
      <c r="I9" s="46">
        <v>5</v>
      </c>
      <c r="J9" s="46">
        <v>5</v>
      </c>
      <c r="K9" s="46">
        <v>5</v>
      </c>
      <c r="L9" s="46">
        <v>5</v>
      </c>
      <c r="M9" s="46">
        <v>5</v>
      </c>
      <c r="N9" s="46">
        <v>5</v>
      </c>
      <c r="O9" s="46">
        <v>5</v>
      </c>
      <c r="P9" s="46">
        <v>5</v>
      </c>
      <c r="Q9" s="46">
        <v>5</v>
      </c>
      <c r="R9" s="46">
        <v>5</v>
      </c>
      <c r="S9" s="46">
        <v>5</v>
      </c>
      <c r="V9" s="40"/>
      <c r="W9" s="39" t="s">
        <v>110</v>
      </c>
      <c r="X9" s="41" t="str">
        <f>Q31</f>
        <v>A9ADDADB</v>
      </c>
      <c r="Y9" t="str">
        <f t="shared" si="0"/>
        <v>0xA9ADDADB,</v>
      </c>
      <c r="Z9" s="39"/>
    </row>
    <row r="10" spans="1:26">
      <c r="A10" s="14" t="s">
        <v>126</v>
      </c>
      <c r="B10" s="12" t="s">
        <v>127</v>
      </c>
      <c r="C10" s="9">
        <v>4</v>
      </c>
      <c r="D10" s="46">
        <v>15</v>
      </c>
      <c r="E10" s="46">
        <v>15</v>
      </c>
      <c r="F10" s="46">
        <v>15</v>
      </c>
      <c r="G10" s="46">
        <v>15</v>
      </c>
      <c r="H10" s="46">
        <v>15</v>
      </c>
      <c r="I10" s="46">
        <v>15</v>
      </c>
      <c r="J10" s="46">
        <v>14</v>
      </c>
      <c r="K10" s="46">
        <v>12</v>
      </c>
      <c r="L10" s="46">
        <v>12</v>
      </c>
      <c r="M10" s="46">
        <v>9</v>
      </c>
      <c r="N10" s="46">
        <v>9</v>
      </c>
      <c r="O10" s="46">
        <v>8</v>
      </c>
      <c r="P10" s="46">
        <v>8</v>
      </c>
      <c r="Q10" s="46">
        <v>6</v>
      </c>
      <c r="R10" s="46">
        <v>6</v>
      </c>
      <c r="S10" s="46">
        <v>4</v>
      </c>
      <c r="V10" s="40"/>
      <c r="W10" s="39" t="s">
        <v>113</v>
      </c>
      <c r="X10" s="41" t="str">
        <f>Q30</f>
        <v>CC91A</v>
      </c>
      <c r="Y10" t="str">
        <f t="shared" si="0"/>
        <v>0x000CC91A,</v>
      </c>
      <c r="Z10" s="39"/>
    </row>
    <row r="11" spans="1:26">
      <c r="A11" s="14" t="s">
        <v>128</v>
      </c>
      <c r="B11" s="12" t="s">
        <v>129</v>
      </c>
      <c r="C11" s="9">
        <v>3</v>
      </c>
      <c r="D11" s="46">
        <v>7</v>
      </c>
      <c r="E11" s="46">
        <v>7</v>
      </c>
      <c r="F11" s="46">
        <v>7</v>
      </c>
      <c r="G11" s="46">
        <v>7</v>
      </c>
      <c r="H11" s="46">
        <v>7</v>
      </c>
      <c r="I11" s="46">
        <v>7</v>
      </c>
      <c r="J11" s="46">
        <v>7</v>
      </c>
      <c r="K11" s="46">
        <v>7</v>
      </c>
      <c r="L11" s="46">
        <v>7</v>
      </c>
      <c r="M11" s="46">
        <v>7</v>
      </c>
      <c r="N11" s="46">
        <v>7</v>
      </c>
      <c r="O11" s="46">
        <v>7</v>
      </c>
      <c r="P11" s="46">
        <v>7</v>
      </c>
      <c r="Q11" s="46">
        <v>7</v>
      </c>
      <c r="R11" s="46">
        <v>7</v>
      </c>
      <c r="S11" s="46">
        <v>7</v>
      </c>
      <c r="V11" s="40">
        <v>3</v>
      </c>
      <c r="W11" s="39" t="s">
        <v>106</v>
      </c>
      <c r="X11" s="41" t="str">
        <f>P32</f>
        <v>8770066</v>
      </c>
      <c r="Y11" t="str">
        <f t="shared" si="0"/>
        <v>0x08770066,</v>
      </c>
      <c r="Z11" s="39" t="s">
        <v>130</v>
      </c>
    </row>
    <row r="12" spans="1:26">
      <c r="A12" s="11" t="s">
        <v>131</v>
      </c>
      <c r="B12" s="12" t="s">
        <v>132</v>
      </c>
      <c r="C12" s="9">
        <v>1</v>
      </c>
      <c r="D12" s="46">
        <v>0</v>
      </c>
      <c r="E12" s="46">
        <v>0</v>
      </c>
      <c r="F12" s="46">
        <v>0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  <c r="M12" s="46">
        <v>0</v>
      </c>
      <c r="N12" s="46">
        <v>0</v>
      </c>
      <c r="O12" s="46">
        <v>0</v>
      </c>
      <c r="P12" s="46">
        <v>0</v>
      </c>
      <c r="Q12" s="46">
        <v>0</v>
      </c>
      <c r="R12" s="46">
        <v>0</v>
      </c>
      <c r="S12" s="46">
        <v>0</v>
      </c>
      <c r="V12" s="40"/>
      <c r="W12" s="39" t="s">
        <v>110</v>
      </c>
      <c r="X12" s="41" t="str">
        <f>P31</f>
        <v>A9B1DADB</v>
      </c>
      <c r="Y12" t="str">
        <f t="shared" si="0"/>
        <v>0xA9B1DADB,</v>
      </c>
      <c r="Z12" s="39"/>
    </row>
    <row r="13" spans="1:26">
      <c r="A13" s="14" t="s">
        <v>133</v>
      </c>
      <c r="B13" s="12" t="s">
        <v>134</v>
      </c>
      <c r="C13" s="9">
        <v>6</v>
      </c>
      <c r="D13" s="46">
        <v>53</v>
      </c>
      <c r="E13" s="46">
        <v>53</v>
      </c>
      <c r="F13" s="46">
        <v>53</v>
      </c>
      <c r="G13" s="46">
        <v>53</v>
      </c>
      <c r="H13" s="46">
        <v>53</v>
      </c>
      <c r="I13" s="46">
        <v>53</v>
      </c>
      <c r="J13" s="46">
        <v>53</v>
      </c>
      <c r="K13" s="46">
        <v>53</v>
      </c>
      <c r="L13" s="46">
        <v>53</v>
      </c>
      <c r="M13" s="46">
        <v>53</v>
      </c>
      <c r="N13" s="46">
        <v>53</v>
      </c>
      <c r="O13" s="46">
        <v>53</v>
      </c>
      <c r="P13" s="46">
        <v>53</v>
      </c>
      <c r="Q13" s="46">
        <v>53</v>
      </c>
      <c r="R13" s="46">
        <v>53</v>
      </c>
      <c r="S13" s="46">
        <v>53</v>
      </c>
      <c r="V13" s="40"/>
      <c r="W13" s="39" t="s">
        <v>113</v>
      </c>
      <c r="X13" s="41" t="str">
        <f>P30</f>
        <v>CC91A</v>
      </c>
      <c r="Y13" t="str">
        <f t="shared" si="0"/>
        <v>0x000CC91A,</v>
      </c>
      <c r="Z13" s="39"/>
    </row>
    <row r="14" spans="1:26">
      <c r="A14" s="14" t="s">
        <v>135</v>
      </c>
      <c r="B14" s="12" t="s">
        <v>136</v>
      </c>
      <c r="C14" s="9">
        <v>6</v>
      </c>
      <c r="D14" s="46">
        <v>45</v>
      </c>
      <c r="E14" s="46">
        <v>41</v>
      </c>
      <c r="F14" s="46">
        <v>41</v>
      </c>
      <c r="G14" s="46">
        <v>41</v>
      </c>
      <c r="H14" s="46">
        <v>41</v>
      </c>
      <c r="I14" s="46">
        <v>41</v>
      </c>
      <c r="J14" s="46">
        <v>45</v>
      </c>
      <c r="K14" s="46">
        <v>45</v>
      </c>
      <c r="L14" s="46">
        <v>45</v>
      </c>
      <c r="M14" s="46">
        <v>45</v>
      </c>
      <c r="N14" s="46">
        <v>45</v>
      </c>
      <c r="O14" s="46">
        <v>45</v>
      </c>
      <c r="P14" s="46">
        <v>45</v>
      </c>
      <c r="Q14" s="46">
        <v>45</v>
      </c>
      <c r="R14" s="46">
        <v>45</v>
      </c>
      <c r="S14" s="46">
        <v>45</v>
      </c>
      <c r="V14" s="40">
        <v>4</v>
      </c>
      <c r="W14" s="39" t="s">
        <v>106</v>
      </c>
      <c r="X14" s="41" t="str">
        <f>O32</f>
        <v>87700C7</v>
      </c>
      <c r="Y14" t="str">
        <f t="shared" si="0"/>
        <v>0x087700C7,</v>
      </c>
      <c r="Z14" s="39" t="s">
        <v>137</v>
      </c>
    </row>
    <row r="15" spans="1:26">
      <c r="A15" s="14" t="s">
        <v>138</v>
      </c>
      <c r="B15" s="12" t="s">
        <v>139</v>
      </c>
      <c r="C15" s="9">
        <v>3</v>
      </c>
      <c r="D15" s="46">
        <v>4</v>
      </c>
      <c r="E15" s="46">
        <v>4</v>
      </c>
      <c r="F15" s="46">
        <v>4</v>
      </c>
      <c r="G15" s="46">
        <v>4</v>
      </c>
      <c r="H15" s="46">
        <v>4</v>
      </c>
      <c r="I15" s="46">
        <v>4</v>
      </c>
      <c r="J15" s="46">
        <v>4</v>
      </c>
      <c r="K15" s="46">
        <v>4</v>
      </c>
      <c r="L15" s="46">
        <v>4</v>
      </c>
      <c r="M15" s="46">
        <v>4</v>
      </c>
      <c r="N15" s="46">
        <v>4</v>
      </c>
      <c r="O15" s="46">
        <v>4</v>
      </c>
      <c r="P15" s="46">
        <v>4</v>
      </c>
      <c r="Q15" s="46">
        <v>4</v>
      </c>
      <c r="R15" s="46">
        <v>4</v>
      </c>
      <c r="S15" s="46">
        <v>4</v>
      </c>
      <c r="V15" s="40"/>
      <c r="W15" s="39" t="s">
        <v>110</v>
      </c>
      <c r="X15" s="41" t="str">
        <f>O31</f>
        <v>A9B1DADB</v>
      </c>
      <c r="Y15" t="str">
        <f t="shared" si="0"/>
        <v>0xA9B1DADB,</v>
      </c>
      <c r="Z15" s="39"/>
    </row>
    <row r="16" spans="1:26">
      <c r="A16" s="14" t="s">
        <v>140</v>
      </c>
      <c r="B16" s="8" t="s">
        <v>141</v>
      </c>
      <c r="C16" s="9">
        <v>4</v>
      </c>
      <c r="D16" s="46">
        <v>2</v>
      </c>
      <c r="E16" s="46">
        <v>2</v>
      </c>
      <c r="F16" s="46">
        <v>2</v>
      </c>
      <c r="G16" s="46">
        <v>2</v>
      </c>
      <c r="H16" s="46">
        <v>2</v>
      </c>
      <c r="I16" s="46">
        <v>2</v>
      </c>
      <c r="J16" s="46">
        <v>2</v>
      </c>
      <c r="K16" s="46">
        <v>2</v>
      </c>
      <c r="L16" s="46">
        <v>2</v>
      </c>
      <c r="M16" s="46">
        <v>2</v>
      </c>
      <c r="N16" s="46">
        <v>2</v>
      </c>
      <c r="O16" s="46">
        <v>2</v>
      </c>
      <c r="P16" s="46">
        <v>2</v>
      </c>
      <c r="Q16" s="46">
        <v>2</v>
      </c>
      <c r="R16" s="46">
        <v>2</v>
      </c>
      <c r="S16" s="46">
        <v>2</v>
      </c>
      <c r="V16" s="40"/>
      <c r="W16" s="39" t="s">
        <v>113</v>
      </c>
      <c r="X16" s="41" t="str">
        <f>O30</f>
        <v>CC91A</v>
      </c>
      <c r="Y16" t="str">
        <f t="shared" si="0"/>
        <v>0x000CC91A,</v>
      </c>
      <c r="Z16" s="39"/>
    </row>
    <row r="17" spans="1:26">
      <c r="A17" s="14" t="s">
        <v>142</v>
      </c>
      <c r="B17" s="8" t="s">
        <v>143</v>
      </c>
      <c r="C17" s="9">
        <v>4</v>
      </c>
      <c r="D17" s="46">
        <v>3</v>
      </c>
      <c r="E17" s="46">
        <v>3</v>
      </c>
      <c r="F17" s="46">
        <v>3</v>
      </c>
      <c r="G17" s="46">
        <v>3</v>
      </c>
      <c r="H17" s="46">
        <v>3</v>
      </c>
      <c r="I17" s="46">
        <v>3</v>
      </c>
      <c r="J17" s="46">
        <v>1</v>
      </c>
      <c r="K17" s="46">
        <v>1</v>
      </c>
      <c r="L17" s="46">
        <v>1</v>
      </c>
      <c r="M17" s="46">
        <v>1</v>
      </c>
      <c r="N17" s="46">
        <v>1</v>
      </c>
      <c r="O17" s="46">
        <v>1</v>
      </c>
      <c r="P17" s="46">
        <v>1</v>
      </c>
      <c r="Q17" s="46">
        <v>1</v>
      </c>
      <c r="R17" s="46">
        <v>1</v>
      </c>
      <c r="S17" s="46">
        <v>1</v>
      </c>
      <c r="V17" s="40">
        <v>5</v>
      </c>
      <c r="W17" s="39" t="s">
        <v>106</v>
      </c>
      <c r="X17" s="41" t="str">
        <f>N32</f>
        <v>87700A7</v>
      </c>
      <c r="Y17" t="str">
        <f t="shared" si="0"/>
        <v>0x087700A7,</v>
      </c>
      <c r="Z17" s="39" t="s">
        <v>144</v>
      </c>
    </row>
    <row r="18" spans="1:26">
      <c r="A18" s="14" t="s">
        <v>145</v>
      </c>
      <c r="B18" s="8" t="s">
        <v>146</v>
      </c>
      <c r="C18" s="9">
        <v>1</v>
      </c>
      <c r="D18" s="46">
        <v>1</v>
      </c>
      <c r="E18" s="46">
        <v>1</v>
      </c>
      <c r="F18" s="46">
        <v>1</v>
      </c>
      <c r="G18" s="46">
        <v>1</v>
      </c>
      <c r="H18" s="46">
        <v>1</v>
      </c>
      <c r="I18" s="46">
        <v>1</v>
      </c>
      <c r="J18" s="46">
        <v>1</v>
      </c>
      <c r="K18" s="46">
        <v>1</v>
      </c>
      <c r="L18" s="46">
        <v>1</v>
      </c>
      <c r="M18" s="46">
        <v>1</v>
      </c>
      <c r="N18" s="46">
        <v>1</v>
      </c>
      <c r="O18" s="46">
        <v>1</v>
      </c>
      <c r="P18" s="46">
        <v>1</v>
      </c>
      <c r="Q18" s="46">
        <v>1</v>
      </c>
      <c r="R18" s="46">
        <v>1</v>
      </c>
      <c r="S18" s="46">
        <v>1</v>
      </c>
      <c r="V18" s="40"/>
      <c r="W18" s="39" t="s">
        <v>110</v>
      </c>
      <c r="X18" s="41" t="str">
        <f>N31</f>
        <v>A9B3DADB</v>
      </c>
      <c r="Y18" t="str">
        <f t="shared" si="0"/>
        <v>0xA9B3DADB,</v>
      </c>
      <c r="Z18" s="39"/>
    </row>
    <row r="19" spans="1:26">
      <c r="A19" s="14" t="s">
        <v>147</v>
      </c>
      <c r="B19" s="8" t="s">
        <v>148</v>
      </c>
      <c r="C19" s="9">
        <v>1</v>
      </c>
      <c r="D19" s="46">
        <v>1</v>
      </c>
      <c r="E19" s="46">
        <v>1</v>
      </c>
      <c r="F19" s="46">
        <v>1</v>
      </c>
      <c r="G19" s="46">
        <v>1</v>
      </c>
      <c r="H19" s="46">
        <v>1</v>
      </c>
      <c r="I19" s="46">
        <v>1</v>
      </c>
      <c r="J19" s="46">
        <v>1</v>
      </c>
      <c r="K19" s="46">
        <v>1</v>
      </c>
      <c r="L19" s="46">
        <v>1</v>
      </c>
      <c r="M19" s="46">
        <v>1</v>
      </c>
      <c r="N19" s="46">
        <v>1</v>
      </c>
      <c r="O19" s="46">
        <v>1</v>
      </c>
      <c r="P19" s="46">
        <v>1</v>
      </c>
      <c r="Q19" s="46">
        <v>1</v>
      </c>
      <c r="R19" s="46">
        <v>1</v>
      </c>
      <c r="S19" s="46">
        <v>1</v>
      </c>
      <c r="V19" s="40"/>
      <c r="W19" s="39" t="s">
        <v>113</v>
      </c>
      <c r="X19" s="41" t="str">
        <f>N30</f>
        <v>CC91A</v>
      </c>
      <c r="Y19" t="str">
        <f t="shared" si="0"/>
        <v>0x000CC91A,</v>
      </c>
      <c r="Z19" s="39"/>
    </row>
    <row r="20" spans="1:26">
      <c r="A20" s="14" t="s">
        <v>149</v>
      </c>
      <c r="B20" s="8" t="s">
        <v>150</v>
      </c>
      <c r="C20" s="9">
        <v>3</v>
      </c>
      <c r="D20" s="46">
        <v>3</v>
      </c>
      <c r="E20" s="46">
        <v>3</v>
      </c>
      <c r="F20" s="46">
        <v>3</v>
      </c>
      <c r="G20" s="46">
        <v>3</v>
      </c>
      <c r="H20" s="46">
        <v>3</v>
      </c>
      <c r="I20" s="46">
        <v>3</v>
      </c>
      <c r="J20" s="46">
        <v>3</v>
      </c>
      <c r="K20" s="46">
        <v>3</v>
      </c>
      <c r="L20" s="46">
        <v>3</v>
      </c>
      <c r="M20" s="46">
        <v>3</v>
      </c>
      <c r="N20" s="46">
        <v>3</v>
      </c>
      <c r="O20" s="46">
        <v>3</v>
      </c>
      <c r="P20" s="46">
        <v>3</v>
      </c>
      <c r="Q20" s="46">
        <v>3</v>
      </c>
      <c r="R20" s="46">
        <v>3</v>
      </c>
      <c r="S20" s="46">
        <v>3</v>
      </c>
      <c r="V20" s="40">
        <v>6</v>
      </c>
      <c r="W20" s="39" t="s">
        <v>106</v>
      </c>
      <c r="X20" s="41" t="str">
        <f>M32</f>
        <v>87701E7</v>
      </c>
      <c r="Y20" t="str">
        <f t="shared" si="0"/>
        <v>0x087701E7,</v>
      </c>
      <c r="Z20" s="39" t="s">
        <v>151</v>
      </c>
    </row>
    <row r="21" spans="1:26">
      <c r="A21" s="14" t="s">
        <v>152</v>
      </c>
      <c r="B21" s="8" t="s">
        <v>153</v>
      </c>
      <c r="C21" s="9">
        <v>4</v>
      </c>
      <c r="D21" s="46">
        <v>3</v>
      </c>
      <c r="E21" s="46">
        <v>3</v>
      </c>
      <c r="F21" s="46">
        <v>12</v>
      </c>
      <c r="G21" s="46">
        <v>12</v>
      </c>
      <c r="H21" s="46">
        <v>12</v>
      </c>
      <c r="I21" s="46">
        <v>12</v>
      </c>
      <c r="J21" s="46">
        <v>8</v>
      </c>
      <c r="K21" s="46">
        <v>8</v>
      </c>
      <c r="L21" s="46">
        <v>8</v>
      </c>
      <c r="M21" s="46">
        <v>8</v>
      </c>
      <c r="N21" s="46">
        <v>8</v>
      </c>
      <c r="O21" s="46">
        <v>8</v>
      </c>
      <c r="P21" s="46">
        <v>8</v>
      </c>
      <c r="Q21" s="46">
        <v>8</v>
      </c>
      <c r="R21" s="46">
        <v>8</v>
      </c>
      <c r="S21" s="46">
        <v>8</v>
      </c>
      <c r="V21" s="40"/>
      <c r="W21" s="39" t="s">
        <v>110</v>
      </c>
      <c r="X21" s="41" t="str">
        <f>M31</f>
        <v>A9B3DADB</v>
      </c>
      <c r="Y21" t="str">
        <f t="shared" si="0"/>
        <v>0xA9B3DADB,</v>
      </c>
      <c r="Z21" s="39"/>
    </row>
    <row r="22" spans="1:26">
      <c r="A22" s="11" t="s">
        <v>154</v>
      </c>
      <c r="B22" s="12" t="s">
        <v>155</v>
      </c>
      <c r="C22" s="9">
        <v>1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V22" s="40"/>
      <c r="W22" s="39" t="s">
        <v>113</v>
      </c>
      <c r="X22" s="41" t="str">
        <f>M30</f>
        <v>CC91A</v>
      </c>
      <c r="Y22" t="str">
        <f t="shared" si="0"/>
        <v>0x000CC91A,</v>
      </c>
      <c r="Z22" s="39"/>
    </row>
    <row r="23" spans="1:26">
      <c r="A23" s="11" t="s">
        <v>156</v>
      </c>
      <c r="B23" s="12" t="s">
        <v>12</v>
      </c>
      <c r="C23" s="9">
        <v>2</v>
      </c>
      <c r="D23" s="46">
        <v>0</v>
      </c>
      <c r="E23" s="46">
        <v>0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46">
        <v>0</v>
      </c>
      <c r="L23" s="46">
        <v>0</v>
      </c>
      <c r="M23" s="46">
        <v>0</v>
      </c>
      <c r="N23" s="46">
        <v>0</v>
      </c>
      <c r="O23" s="46">
        <v>0</v>
      </c>
      <c r="P23" s="46">
        <v>0</v>
      </c>
      <c r="Q23" s="46">
        <v>0</v>
      </c>
      <c r="R23" s="46">
        <v>0</v>
      </c>
      <c r="S23" s="46">
        <v>0</v>
      </c>
      <c r="V23" s="40">
        <v>7</v>
      </c>
      <c r="W23" s="39" t="s">
        <v>106</v>
      </c>
      <c r="X23" s="41" t="str">
        <f>L32</f>
        <v>8770227</v>
      </c>
      <c r="Y23" t="str">
        <f t="shared" si="0"/>
        <v>0x08770227,</v>
      </c>
      <c r="Z23" s="39" t="s">
        <v>157</v>
      </c>
    </row>
    <row r="24" spans="1:26">
      <c r="A24" s="11" t="s">
        <v>158</v>
      </c>
      <c r="B24" s="12" t="s">
        <v>159</v>
      </c>
      <c r="C24" s="9">
        <v>5</v>
      </c>
      <c r="D24" s="46">
        <v>31</v>
      </c>
      <c r="E24" s="46">
        <v>31</v>
      </c>
      <c r="F24" s="46">
        <v>18</v>
      </c>
      <c r="G24" s="46">
        <v>18</v>
      </c>
      <c r="H24" s="46">
        <v>18</v>
      </c>
      <c r="I24" s="46">
        <v>18</v>
      </c>
      <c r="J24" s="46">
        <v>19</v>
      </c>
      <c r="K24" s="46">
        <v>19</v>
      </c>
      <c r="L24" s="46">
        <v>17</v>
      </c>
      <c r="M24" s="46">
        <v>15</v>
      </c>
      <c r="N24" s="46">
        <v>5</v>
      </c>
      <c r="O24" s="46">
        <v>6</v>
      </c>
      <c r="P24" s="46">
        <v>3</v>
      </c>
      <c r="Q24" s="46">
        <v>5</v>
      </c>
      <c r="R24" s="46">
        <v>4</v>
      </c>
      <c r="S24" s="46">
        <v>14</v>
      </c>
      <c r="V24" s="40"/>
      <c r="W24" s="39" t="s">
        <v>110</v>
      </c>
      <c r="X24" s="41" t="str">
        <f>L31</f>
        <v>A9B9DADB</v>
      </c>
      <c r="Y24" t="str">
        <f t="shared" si="0"/>
        <v>0xA9B9DADB,</v>
      </c>
      <c r="Z24" s="39"/>
    </row>
    <row r="25" spans="1:26">
      <c r="A25" s="11" t="s">
        <v>160</v>
      </c>
      <c r="B25" s="12" t="s">
        <v>161</v>
      </c>
      <c r="C25" s="9">
        <v>5</v>
      </c>
      <c r="D25" s="46">
        <v>31</v>
      </c>
      <c r="E25" s="46">
        <v>31</v>
      </c>
      <c r="F25" s="46">
        <v>31</v>
      </c>
      <c r="G25" s="46">
        <v>17</v>
      </c>
      <c r="H25" s="46">
        <v>12</v>
      </c>
      <c r="I25" s="46">
        <v>8</v>
      </c>
      <c r="J25" s="46">
        <v>10</v>
      </c>
      <c r="K25" s="46">
        <v>9</v>
      </c>
      <c r="L25" s="46">
        <v>7</v>
      </c>
      <c r="M25" s="46">
        <v>7</v>
      </c>
      <c r="N25" s="46">
        <v>7</v>
      </c>
      <c r="O25" s="46">
        <v>7</v>
      </c>
      <c r="P25" s="46">
        <v>6</v>
      </c>
      <c r="Q25" s="46">
        <v>6</v>
      </c>
      <c r="R25" s="46">
        <v>5</v>
      </c>
      <c r="S25" s="46">
        <v>4</v>
      </c>
      <c r="V25" s="40"/>
      <c r="W25" s="39" t="s">
        <v>113</v>
      </c>
      <c r="X25" s="41" t="str">
        <f>L30</f>
        <v>CC91A</v>
      </c>
      <c r="Y25" t="str">
        <f t="shared" si="0"/>
        <v>0x000CC91A,</v>
      </c>
      <c r="Z25" s="39"/>
    </row>
    <row r="26" spans="1:26">
      <c r="A26" s="16" t="s">
        <v>162</v>
      </c>
      <c r="B26" s="16"/>
      <c r="C26" s="17">
        <f>SUM(C2:C25)</f>
        <v>96</v>
      </c>
      <c r="D26" s="18" t="s">
        <v>163</v>
      </c>
      <c r="E26" s="18" t="s">
        <v>164</v>
      </c>
      <c r="F26" s="18" t="s">
        <v>165</v>
      </c>
      <c r="G26" s="18" t="s">
        <v>148</v>
      </c>
      <c r="H26" s="18" t="s">
        <v>166</v>
      </c>
      <c r="I26" s="18" t="s">
        <v>167</v>
      </c>
      <c r="J26" s="18" t="s">
        <v>168</v>
      </c>
      <c r="K26" s="18" t="s">
        <v>155</v>
      </c>
      <c r="L26" s="18" t="s">
        <v>169</v>
      </c>
      <c r="M26" s="18" t="s">
        <v>73</v>
      </c>
      <c r="N26" s="18" t="s">
        <v>23</v>
      </c>
      <c r="O26" s="18" t="s">
        <v>32</v>
      </c>
      <c r="P26" s="18" t="s">
        <v>54</v>
      </c>
      <c r="Q26" s="18" t="s">
        <v>6</v>
      </c>
      <c r="R26" s="18" t="s">
        <v>170</v>
      </c>
      <c r="S26" s="18" t="s">
        <v>171</v>
      </c>
      <c r="V26" s="40">
        <v>8</v>
      </c>
      <c r="W26" s="39" t="s">
        <v>106</v>
      </c>
      <c r="X26" s="41" t="str">
        <f>K32</f>
        <v>8770269</v>
      </c>
      <c r="Y26" t="str">
        <f t="shared" si="0"/>
        <v>0x08770269,</v>
      </c>
      <c r="Z26" s="39" t="s">
        <v>172</v>
      </c>
    </row>
    <row r="27" spans="1:26">
      <c r="A27" s="16" t="s">
        <v>173</v>
      </c>
      <c r="B27" s="16"/>
      <c r="C27" s="19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V27" s="40"/>
      <c r="W27" s="39" t="s">
        <v>110</v>
      </c>
      <c r="X27" s="41" t="str">
        <f>K31</f>
        <v>A9B9DADB</v>
      </c>
      <c r="Y27" t="str">
        <f t="shared" si="0"/>
        <v>0xA9B9DADB,</v>
      </c>
      <c r="Z27" s="39"/>
    </row>
    <row r="28" spans="1:26">
      <c r="A28" s="16"/>
      <c r="B28" s="16"/>
      <c r="C28" s="19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V28" s="40"/>
      <c r="W28" s="39" t="s">
        <v>113</v>
      </c>
      <c r="X28" s="41" t="str">
        <f>K30</f>
        <v>CC91A</v>
      </c>
      <c r="Y28" t="str">
        <f t="shared" si="0"/>
        <v>0x000CC91A,</v>
      </c>
      <c r="Z28" s="39"/>
    </row>
    <row r="29" spans="1:26">
      <c r="A29" s="20" t="s">
        <v>174</v>
      </c>
      <c r="B29" s="20"/>
      <c r="C29" s="20"/>
      <c r="D29" s="20" t="s">
        <v>163</v>
      </c>
      <c r="E29" s="20" t="s">
        <v>164</v>
      </c>
      <c r="F29" s="20" t="s">
        <v>165</v>
      </c>
      <c r="G29" s="20" t="s">
        <v>148</v>
      </c>
      <c r="H29" s="20" t="s">
        <v>166</v>
      </c>
      <c r="I29" s="20" t="s">
        <v>167</v>
      </c>
      <c r="J29" s="20" t="s">
        <v>168</v>
      </c>
      <c r="K29" s="20" t="s">
        <v>155</v>
      </c>
      <c r="L29" s="20" t="s">
        <v>169</v>
      </c>
      <c r="M29" s="20" t="s">
        <v>73</v>
      </c>
      <c r="N29" s="20" t="s">
        <v>23</v>
      </c>
      <c r="O29" s="20" t="s">
        <v>32</v>
      </c>
      <c r="P29" s="20" t="s">
        <v>54</v>
      </c>
      <c r="Q29" s="20" t="s">
        <v>6</v>
      </c>
      <c r="R29" s="20" t="s">
        <v>170</v>
      </c>
      <c r="S29" s="20" t="s">
        <v>171</v>
      </c>
      <c r="V29" s="40">
        <v>9</v>
      </c>
      <c r="W29" s="39" t="s">
        <v>106</v>
      </c>
      <c r="X29" s="41" t="str">
        <f>J32</f>
        <v>877026A</v>
      </c>
      <c r="Y29" t="str">
        <f t="shared" si="0"/>
        <v>0x0877026A,</v>
      </c>
      <c r="Z29" s="39" t="s">
        <v>175</v>
      </c>
    </row>
    <row r="30" spans="1:26">
      <c r="A30" s="21" t="s">
        <v>176</v>
      </c>
      <c r="B30" s="22"/>
      <c r="C30" s="22"/>
      <c r="D30" s="23" t="str">
        <f>DEC2HEX(POWER(2,0)*D6+POWER(2,6)*D5+POWER(2,12)*D4+POWER(2,18)*D3+POWER(2,23)*D2)</f>
        <v>D2FDA</v>
      </c>
      <c r="E30" s="23" t="str">
        <f>DEC2HEX(POWER(2,0)*E6+POWER(2,6)*E5+POWER(2,12)*E4+POWER(2,18)*E3+POWER(2,23)*E2)</f>
        <v>CCEDA</v>
      </c>
      <c r="F30" s="23" t="str">
        <f t="shared" ref="F30:S30" si="1">DEC2HEX(POWER(2,0)*F6+POWER(2,6)*F5+POWER(2,12)*F4+POWER(2,18)*F3+POWER(2,23)*F2)</f>
        <v>CCEDA</v>
      </c>
      <c r="G30" s="23" t="str">
        <f t="shared" si="1"/>
        <v>CCEDA</v>
      </c>
      <c r="H30" s="23" t="str">
        <f t="shared" si="1"/>
        <v>CCD9A</v>
      </c>
      <c r="I30" s="23" t="str">
        <f t="shared" si="1"/>
        <v>CCD9A</v>
      </c>
      <c r="J30" s="23" t="str">
        <f t="shared" si="1"/>
        <v>CC91A</v>
      </c>
      <c r="K30" s="23" t="str">
        <f t="shared" si="1"/>
        <v>CC91A</v>
      </c>
      <c r="L30" s="23" t="str">
        <f t="shared" si="1"/>
        <v>CC91A</v>
      </c>
      <c r="M30" s="23" t="str">
        <f t="shared" si="1"/>
        <v>CC91A</v>
      </c>
      <c r="N30" s="23" t="str">
        <f t="shared" si="1"/>
        <v>CC91A</v>
      </c>
      <c r="O30" s="23" t="str">
        <f t="shared" si="1"/>
        <v>CC91A</v>
      </c>
      <c r="P30" s="23" t="str">
        <f t="shared" si="1"/>
        <v>CC91A</v>
      </c>
      <c r="Q30" s="23" t="str">
        <f t="shared" si="1"/>
        <v>CC91A</v>
      </c>
      <c r="R30" s="23" t="str">
        <f t="shared" si="1"/>
        <v>CC91A</v>
      </c>
      <c r="S30" s="23" t="str">
        <f t="shared" si="1"/>
        <v>CC91A</v>
      </c>
      <c r="V30" s="40"/>
      <c r="W30" s="39" t="s">
        <v>110</v>
      </c>
      <c r="X30" s="41" t="str">
        <f>J31</f>
        <v>A9BDDADB</v>
      </c>
      <c r="Y30" t="str">
        <f t="shared" si="0"/>
        <v>0xA9BDDADB,</v>
      </c>
      <c r="Z30" s="39"/>
    </row>
    <row r="31" spans="1:26">
      <c r="A31" s="21" t="s">
        <v>177</v>
      </c>
      <c r="B31" s="22"/>
      <c r="C31" s="22"/>
      <c r="D31" s="23" t="str">
        <f>DEC2HEX(POWER(2,0)*INT(D15/4)+POWER(2,1)*D14+POWER(2,7)*D13+POWER(2,13)*D12+POWER(2,14)*D11+POWER(2,17)*D10+POWER(2,21)*D9+POWER(2,24)*D8+POWER(2,28)*D7)</f>
        <v>AE5FDADB</v>
      </c>
      <c r="E31" s="23" t="str">
        <f>DEC2HEX(POWER(2,0)*INT(E15/4)+POWER(2,1)*E14+POWER(2,7)*E13+POWER(2,13)*E12+POWER(2,14)*E11+POWER(2,17)*E10+POWER(2,21)*E9+POWER(2,24)*E8+POWER(2,28)*E7)</f>
        <v>BE5FDAD3</v>
      </c>
      <c r="F31" s="23" t="str">
        <f t="shared" ref="F31:S31" si="2">DEC2HEX(POWER(2,0)*INT(F15/4)+POWER(2,1)*F14+POWER(2,7)*F13+POWER(2,13)*F12+POWER(2,14)*F11+POWER(2,17)*F10+POWER(2,21)*F9+POWER(2,24)*F8+POWER(2,28)*F7)</f>
        <v>BE5FDAD3</v>
      </c>
      <c r="G31" s="23" t="str">
        <f t="shared" si="2"/>
        <v>BE5FDAD3</v>
      </c>
      <c r="H31" s="23" t="str">
        <f t="shared" si="2"/>
        <v>B69FDAD3</v>
      </c>
      <c r="I31" s="23" t="str">
        <f t="shared" si="2"/>
        <v>BBBFDAD3</v>
      </c>
      <c r="J31" s="23" t="str">
        <f t="shared" si="2"/>
        <v>A9BDDADB</v>
      </c>
      <c r="K31" s="23" t="str">
        <f t="shared" si="2"/>
        <v>A9B9DADB</v>
      </c>
      <c r="L31" s="23" t="str">
        <f t="shared" si="2"/>
        <v>A9B9DADB</v>
      </c>
      <c r="M31" s="23" t="str">
        <f t="shared" si="2"/>
        <v>A9B3DADB</v>
      </c>
      <c r="N31" s="23" t="str">
        <f t="shared" si="2"/>
        <v>A9B3DADB</v>
      </c>
      <c r="O31" s="23" t="str">
        <f t="shared" si="2"/>
        <v>A9B1DADB</v>
      </c>
      <c r="P31" s="23" t="str">
        <f t="shared" si="2"/>
        <v>A9B1DADB</v>
      </c>
      <c r="Q31" s="23" t="str">
        <f t="shared" si="2"/>
        <v>A9ADDADB</v>
      </c>
      <c r="R31" s="23" t="str">
        <f t="shared" si="2"/>
        <v>A9ADDADB</v>
      </c>
      <c r="S31" s="23" t="str">
        <f t="shared" si="2"/>
        <v>A9A9DADB</v>
      </c>
      <c r="V31" s="40"/>
      <c r="W31" s="39" t="s">
        <v>113</v>
      </c>
      <c r="X31" s="41" t="str">
        <f>J30</f>
        <v>CC91A</v>
      </c>
      <c r="Y31" t="str">
        <f t="shared" si="0"/>
        <v>0x000CC91A,</v>
      </c>
      <c r="Z31" s="39"/>
    </row>
    <row r="32" spans="1:26">
      <c r="A32" s="21" t="s">
        <v>178</v>
      </c>
      <c r="B32" s="22"/>
      <c r="C32" s="22"/>
      <c r="D32" s="23" t="str">
        <f>DEC2HEX(POWER(2,0)*D25+POWER(2,5)*D24+POWER(2,10)*D23+POWER(2,12)*D22+POWER(2,13)*D21+POWER(2,17)*D20+POWER(2,20)*D19+POWER(2,21)*D18+POWER(2,22)*D17+POWER(2,26)*D16+POWER(2,30)*MOD(D15,4))</f>
        <v>8F663FF</v>
      </c>
      <c r="E32" s="23" t="str">
        <f>DEC2HEX(POWER(2,0)*E25+POWER(2,5)*E24+POWER(2,10)*E23+POWER(2,12)*E22+POWER(2,13)*E21+POWER(2,17)*E20+POWER(2,20)*E19+POWER(2,21)*E18+POWER(2,22)*E17+POWER(2,26)*E16+POWER(2,30)*MOD(E15,4))</f>
        <v>8F663FF</v>
      </c>
      <c r="F32" s="23" t="str">
        <f t="shared" ref="F32:S32" si="3">DEC2HEX(POWER(2,0)*F25+POWER(2,5)*F24+POWER(2,10)*F23+POWER(2,12)*F22+POWER(2,13)*F21+POWER(2,17)*F20+POWER(2,20)*F19+POWER(2,21)*F18+POWER(2,22)*F17+POWER(2,26)*F16+POWER(2,30)*MOD(F15,4))</f>
        <v>8F7825F</v>
      </c>
      <c r="G32" s="23" t="str">
        <f t="shared" si="3"/>
        <v>8F78251</v>
      </c>
      <c r="H32" s="23" t="str">
        <f t="shared" si="3"/>
        <v>8F7824C</v>
      </c>
      <c r="I32" s="23" t="str">
        <f t="shared" si="3"/>
        <v>8F78248</v>
      </c>
      <c r="J32" s="23" t="str">
        <f t="shared" si="3"/>
        <v>877026A</v>
      </c>
      <c r="K32" s="23" t="str">
        <f t="shared" si="3"/>
        <v>8770269</v>
      </c>
      <c r="L32" s="23" t="str">
        <f t="shared" si="3"/>
        <v>8770227</v>
      </c>
      <c r="M32" s="23" t="str">
        <f t="shared" si="3"/>
        <v>87701E7</v>
      </c>
      <c r="N32" s="23" t="str">
        <f t="shared" si="3"/>
        <v>87700A7</v>
      </c>
      <c r="O32" s="23" t="str">
        <f t="shared" si="3"/>
        <v>87700C7</v>
      </c>
      <c r="P32" s="23" t="str">
        <f t="shared" si="3"/>
        <v>8770066</v>
      </c>
      <c r="Q32" s="23" t="str">
        <f t="shared" si="3"/>
        <v>87700A6</v>
      </c>
      <c r="R32" s="23" t="str">
        <f t="shared" si="3"/>
        <v>8770085</v>
      </c>
      <c r="S32" s="23" t="str">
        <f t="shared" si="3"/>
        <v>87701C4</v>
      </c>
      <c r="V32" s="40" t="s">
        <v>179</v>
      </c>
      <c r="W32" s="39" t="s">
        <v>106</v>
      </c>
      <c r="X32" s="41" t="str">
        <f>I32</f>
        <v>8F78248</v>
      </c>
      <c r="Y32" t="str">
        <f t="shared" si="0"/>
        <v>0x08F78248,</v>
      </c>
      <c r="Z32" s="39" t="s">
        <v>180</v>
      </c>
    </row>
    <row r="33" spans="1:26">
      <c r="A33" s="16"/>
      <c r="B33" s="16"/>
      <c r="C33" s="19"/>
      <c r="D33" s="24"/>
      <c r="E33" s="24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V33" s="40"/>
      <c r="W33" s="39" t="s">
        <v>110</v>
      </c>
      <c r="X33" s="41" t="str">
        <f>I31</f>
        <v>BBBFDAD3</v>
      </c>
      <c r="Y33" t="str">
        <f t="shared" si="0"/>
        <v>0xBBBFDAD3,</v>
      </c>
      <c r="Z33" s="39"/>
    </row>
    <row r="34" spans="1:26">
      <c r="A34" s="16"/>
      <c r="B34" s="16"/>
      <c r="C34" s="19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V34" s="40"/>
      <c r="W34" s="39" t="s">
        <v>113</v>
      </c>
      <c r="X34" s="41" t="str">
        <f>I30</f>
        <v>CCD9A</v>
      </c>
      <c r="Y34" t="str">
        <f t="shared" si="0"/>
        <v>0x000CCD9A,</v>
      </c>
      <c r="Z34" s="39"/>
    </row>
    <row r="35" spans="1:26">
      <c r="A35" s="16"/>
      <c r="B35" s="16"/>
      <c r="C35" s="19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V35" s="40" t="s">
        <v>181</v>
      </c>
      <c r="W35" s="39" t="s">
        <v>106</v>
      </c>
      <c r="X35" s="41" t="str">
        <f>H32</f>
        <v>8F7824C</v>
      </c>
      <c r="Y35" t="str">
        <f t="shared" si="0"/>
        <v>0x08F7824C,</v>
      </c>
      <c r="Z35" s="39" t="s">
        <v>182</v>
      </c>
    </row>
    <row r="36" spans="1:26">
      <c r="A36" s="16"/>
      <c r="B36" s="16"/>
      <c r="C36" s="1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V36" s="40"/>
      <c r="W36" s="39" t="s">
        <v>110</v>
      </c>
      <c r="X36" s="41" t="str">
        <f>H31</f>
        <v>B69FDAD3</v>
      </c>
      <c r="Y36" t="str">
        <f t="shared" si="0"/>
        <v>0xB69FDAD3,</v>
      </c>
      <c r="Z36" s="39"/>
    </row>
    <row r="37" spans="1:26">
      <c r="A37" s="16"/>
      <c r="B37" s="16"/>
      <c r="C37" s="19"/>
      <c r="D37" s="16"/>
      <c r="E37" s="16"/>
      <c r="F37" s="16"/>
      <c r="G37" s="16"/>
      <c r="H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V37" s="40"/>
      <c r="W37" s="39" t="s">
        <v>113</v>
      </c>
      <c r="X37" s="41" t="str">
        <f>H30</f>
        <v>CCD9A</v>
      </c>
      <c r="Y37" t="str">
        <f t="shared" si="0"/>
        <v>0x000CCD9A,</v>
      </c>
      <c r="Z37" s="39"/>
    </row>
    <row r="38" spans="1:26">
      <c r="A38" s="50"/>
      <c r="B38" s="16"/>
      <c r="C38" s="17"/>
      <c r="D38" s="33"/>
      <c r="V38" s="40" t="s">
        <v>183</v>
      </c>
      <c r="W38" s="39" t="s">
        <v>106</v>
      </c>
      <c r="X38" s="41" t="str">
        <f>G32</f>
        <v>8F78251</v>
      </c>
      <c r="Y38" t="str">
        <f t="shared" si="0"/>
        <v>0x08F78251,</v>
      </c>
      <c r="Z38" s="39" t="s">
        <v>184</v>
      </c>
    </row>
    <row r="39" spans="1:26">
      <c r="A39" s="50"/>
      <c r="B39" s="16"/>
      <c r="C39" s="51"/>
      <c r="D39" s="33"/>
      <c r="H39" s="28"/>
      <c r="J39" s="28"/>
      <c r="K39" s="28"/>
      <c r="L39" s="28"/>
      <c r="V39" s="40"/>
      <c r="W39" s="39" t="s">
        <v>110</v>
      </c>
      <c r="X39" s="41" t="str">
        <f>G31</f>
        <v>BE5FDAD3</v>
      </c>
      <c r="Y39" t="str">
        <f t="shared" si="0"/>
        <v>0xBE5FDAD3,</v>
      </c>
      <c r="Z39" s="39"/>
    </row>
    <row r="40" spans="1:26">
      <c r="A40" s="50"/>
      <c r="B40" s="16"/>
      <c r="C40" s="51"/>
      <c r="D40" s="33"/>
      <c r="H40" s="28"/>
      <c r="J40" s="28"/>
      <c r="K40" s="28"/>
      <c r="L40" s="28"/>
      <c r="V40" s="40"/>
      <c r="W40" s="39" t="s">
        <v>113</v>
      </c>
      <c r="X40" s="41" t="str">
        <f>G30</f>
        <v>CCEDA</v>
      </c>
      <c r="Y40" t="str">
        <f t="shared" si="0"/>
        <v>0x000CCEDA,</v>
      </c>
      <c r="Z40" s="39"/>
    </row>
    <row r="41" spans="1:26">
      <c r="A41" s="25"/>
      <c r="B41" s="26"/>
      <c r="D41" s="27"/>
      <c r="H41" s="28"/>
      <c r="J41" s="28"/>
      <c r="K41" s="28"/>
      <c r="L41" s="28"/>
      <c r="V41" s="40" t="s">
        <v>185</v>
      </c>
      <c r="W41" s="39" t="s">
        <v>106</v>
      </c>
      <c r="X41" s="41" t="str">
        <f>F32</f>
        <v>8F7825F</v>
      </c>
      <c r="Y41" t="str">
        <f t="shared" si="0"/>
        <v>0x08F7825F,</v>
      </c>
      <c r="Z41" s="39" t="s">
        <v>186</v>
      </c>
    </row>
    <row r="42" spans="1:26">
      <c r="A42" s="25"/>
      <c r="B42" s="26"/>
      <c r="C42" s="26"/>
      <c r="D42" s="27"/>
      <c r="H42" s="28"/>
      <c r="J42" s="28"/>
      <c r="K42" s="28"/>
      <c r="L42" s="28"/>
      <c r="V42" s="40"/>
      <c r="W42" s="39" t="s">
        <v>110</v>
      </c>
      <c r="X42" s="41" t="str">
        <f>F31</f>
        <v>BE5FDAD3</v>
      </c>
      <c r="Y42" t="str">
        <f t="shared" si="0"/>
        <v>0xBE5FDAD3,</v>
      </c>
      <c r="Z42" s="39"/>
    </row>
    <row r="43" spans="1:26">
      <c r="A43" s="25"/>
      <c r="B43" s="26"/>
      <c r="C43" s="26"/>
      <c r="D43" s="29"/>
      <c r="H43" s="28"/>
      <c r="J43" s="28"/>
      <c r="K43" s="28"/>
      <c r="L43" s="28"/>
      <c r="V43" s="40"/>
      <c r="W43" s="39" t="s">
        <v>113</v>
      </c>
      <c r="X43" s="41" t="str">
        <f>F30</f>
        <v>CCEDA</v>
      </c>
      <c r="Y43" t="str">
        <f t="shared" si="0"/>
        <v>0x000CCEDA,</v>
      </c>
      <c r="Z43" s="39"/>
    </row>
    <row r="44" spans="1:26">
      <c r="A44" s="25"/>
      <c r="B44" s="26"/>
      <c r="C44" s="30"/>
      <c r="D44" s="29"/>
      <c r="E44" s="31"/>
      <c r="F44" s="31"/>
      <c r="G44" s="31"/>
      <c r="H44" s="32"/>
      <c r="J44" s="32"/>
      <c r="K44" s="32"/>
      <c r="L44" s="32"/>
      <c r="M44" s="31"/>
      <c r="N44" s="31"/>
      <c r="O44" s="31"/>
      <c r="P44" s="31"/>
      <c r="Q44" s="31"/>
      <c r="R44" s="31"/>
      <c r="S44" s="31"/>
      <c r="V44" s="40" t="s">
        <v>187</v>
      </c>
      <c r="W44" s="39" t="s">
        <v>106</v>
      </c>
      <c r="X44" s="41" t="str">
        <f>E32</f>
        <v>8F663FF</v>
      </c>
      <c r="Y44" t="str">
        <f t="shared" si="0"/>
        <v>0x08F663FF,</v>
      </c>
      <c r="Z44" s="39" t="s">
        <v>188</v>
      </c>
    </row>
    <row r="45" spans="1:26">
      <c r="A45" s="25"/>
      <c r="B45" s="26"/>
      <c r="C45" s="30"/>
      <c r="D45" s="28"/>
      <c r="E45" s="31"/>
      <c r="F45" s="31"/>
      <c r="G45" s="31"/>
      <c r="H45" s="32"/>
      <c r="J45" s="32"/>
      <c r="K45" s="32"/>
      <c r="L45" s="32"/>
      <c r="M45" s="31"/>
      <c r="N45" s="31"/>
      <c r="O45" s="31"/>
      <c r="P45" s="31"/>
      <c r="Q45" s="31"/>
      <c r="R45" s="31"/>
      <c r="S45" s="31"/>
      <c r="V45" s="40"/>
      <c r="W45" s="39" t="s">
        <v>110</v>
      </c>
      <c r="X45" s="41" t="str">
        <f>E31</f>
        <v>BE5FDAD3</v>
      </c>
      <c r="Y45" t="str">
        <f t="shared" si="0"/>
        <v>0xBE5FDAD3,</v>
      </c>
      <c r="Z45" s="39"/>
    </row>
    <row r="46" spans="1:26">
      <c r="A46" s="25"/>
      <c r="B46" s="26"/>
      <c r="C46" s="30"/>
      <c r="D46" s="27"/>
      <c r="E46" s="31"/>
      <c r="F46" s="31"/>
      <c r="G46" s="31"/>
      <c r="H46" s="32"/>
      <c r="J46" s="32"/>
      <c r="K46" s="32"/>
      <c r="L46" s="32"/>
      <c r="M46" s="31"/>
      <c r="N46" s="31"/>
      <c r="O46" s="31"/>
      <c r="P46" s="31"/>
      <c r="Q46" s="31"/>
      <c r="R46" s="31"/>
      <c r="S46" s="31"/>
      <c r="V46" s="40"/>
      <c r="W46" s="39" t="s">
        <v>113</v>
      </c>
      <c r="X46" s="41" t="str">
        <f>E30</f>
        <v>CCEDA</v>
      </c>
      <c r="Y46" t="str">
        <f t="shared" si="0"/>
        <v>0x000CCEDA,</v>
      </c>
      <c r="Z46" s="39"/>
    </row>
    <row r="47" spans="1:26">
      <c r="A47" s="25"/>
      <c r="B47" s="26"/>
      <c r="D47" s="28"/>
      <c r="E47" s="33"/>
      <c r="H47" s="32"/>
      <c r="J47" s="32"/>
      <c r="K47" s="32"/>
      <c r="L47" s="32"/>
      <c r="M47" s="31"/>
      <c r="N47" s="31"/>
      <c r="O47" s="31"/>
      <c r="P47" s="31"/>
      <c r="Q47" s="31"/>
      <c r="R47" s="31"/>
      <c r="S47" s="31"/>
      <c r="V47" s="40" t="s">
        <v>189</v>
      </c>
      <c r="W47" s="39" t="s">
        <v>106</v>
      </c>
      <c r="X47" s="41" t="str">
        <f>D32</f>
        <v>8F663FF</v>
      </c>
      <c r="Y47" t="str">
        <f t="shared" si="0"/>
        <v>0x08F663FF,</v>
      </c>
      <c r="Z47" s="39" t="s">
        <v>190</v>
      </c>
    </row>
    <row r="48" spans="1:26">
      <c r="A48" s="25"/>
      <c r="B48" s="26"/>
      <c r="C48" s="30"/>
      <c r="D48" s="17"/>
      <c r="E48" s="34"/>
      <c r="H48" s="32"/>
      <c r="J48" s="32"/>
      <c r="K48" s="32"/>
      <c r="L48" s="32"/>
      <c r="M48" s="31"/>
      <c r="N48" s="31"/>
      <c r="O48" s="31"/>
      <c r="P48" s="31"/>
      <c r="Q48" s="31"/>
      <c r="R48" s="31"/>
      <c r="S48" s="31"/>
      <c r="V48" s="39"/>
      <c r="W48" s="39" t="s">
        <v>110</v>
      </c>
      <c r="X48" s="41" t="str">
        <f>D31</f>
        <v>AE5FDADB</v>
      </c>
      <c r="Y48" t="str">
        <f t="shared" si="0"/>
        <v>0xAE5FDADB,</v>
      </c>
      <c r="Z48" s="39"/>
    </row>
    <row r="49" spans="1:26">
      <c r="A49" s="25"/>
      <c r="B49" s="26"/>
      <c r="C49" s="30"/>
      <c r="D49" s="17"/>
      <c r="E49" s="34"/>
      <c r="H49" s="32"/>
      <c r="J49" s="32"/>
      <c r="K49" s="32"/>
      <c r="L49" s="32"/>
      <c r="M49" s="31"/>
      <c r="N49" s="31"/>
      <c r="O49" s="31"/>
      <c r="P49" s="31"/>
      <c r="Q49" s="31"/>
      <c r="R49" s="31"/>
      <c r="S49" s="31"/>
      <c r="V49" s="39"/>
      <c r="W49" s="39" t="s">
        <v>113</v>
      </c>
      <c r="X49" s="41" t="str">
        <f>D30</f>
        <v>D2FDA</v>
      </c>
      <c r="Y49" t="str">
        <f t="shared" si="0"/>
        <v>0x000D2FDA,</v>
      </c>
      <c r="Z49" s="39"/>
    </row>
    <row r="50" spans="1:12">
      <c r="A50" s="25"/>
      <c r="B50" s="26"/>
      <c r="C50" s="30"/>
      <c r="D50" s="17"/>
      <c r="E50" s="34"/>
      <c r="H50" s="28"/>
      <c r="J50" s="28"/>
      <c r="K50" s="28"/>
      <c r="L50" s="28"/>
    </row>
    <row r="51" spans="1:12">
      <c r="A51" s="25"/>
      <c r="B51" s="29"/>
      <c r="C51" s="30"/>
      <c r="D51" s="16"/>
      <c r="H51" s="28"/>
      <c r="J51" s="28"/>
      <c r="K51" s="28"/>
      <c r="L51" s="28"/>
    </row>
    <row r="52" spans="1:12">
      <c r="A52" s="25"/>
      <c r="B52" s="29"/>
      <c r="C52" s="30"/>
      <c r="D52" s="31"/>
      <c r="E52" s="35"/>
      <c r="H52" s="28"/>
      <c r="J52" s="28"/>
      <c r="K52" s="28"/>
      <c r="L52" s="28"/>
    </row>
    <row r="53" spans="1:12">
      <c r="A53" s="25"/>
      <c r="B53" s="29"/>
      <c r="C53" s="30"/>
      <c r="D53" s="31"/>
      <c r="H53" s="28"/>
      <c r="J53" s="28"/>
      <c r="K53" s="28"/>
      <c r="L53" s="28"/>
    </row>
    <row r="54" spans="1:12">
      <c r="A54" s="25"/>
      <c r="B54" s="29"/>
      <c r="C54" s="30"/>
      <c r="D54" s="31"/>
      <c r="H54" s="28"/>
      <c r="J54" s="28"/>
      <c r="K54" s="28"/>
      <c r="L54" s="28"/>
    </row>
    <row r="55" spans="1:12">
      <c r="A55" s="25"/>
      <c r="B55" s="29"/>
      <c r="C55" s="30"/>
      <c r="H55" s="28"/>
      <c r="J55" s="28"/>
      <c r="K55" s="28"/>
      <c r="L55" s="28"/>
    </row>
    <row r="56" spans="1:12">
      <c r="A56" s="25"/>
      <c r="B56" s="29"/>
      <c r="C56" s="30"/>
      <c r="H56" s="28"/>
      <c r="J56" s="28"/>
      <c r="K56" s="28"/>
      <c r="L56" s="28"/>
    </row>
    <row r="57" spans="1:12">
      <c r="A57" s="25"/>
      <c r="B57" s="26"/>
      <c r="H57" s="28"/>
      <c r="J57" s="28"/>
      <c r="K57" s="28"/>
      <c r="L57" s="28"/>
    </row>
    <row r="58" spans="1:12">
      <c r="A58" s="25"/>
      <c r="B58" s="26"/>
      <c r="H58" s="28"/>
      <c r="J58" s="28"/>
      <c r="K58" s="28"/>
      <c r="L58" s="28"/>
    </row>
    <row r="59" spans="1:12">
      <c r="A59" s="25"/>
      <c r="B59" s="26"/>
      <c r="H59" s="28"/>
      <c r="J59" s="28"/>
      <c r="K59" s="28"/>
      <c r="L59" s="28"/>
    </row>
    <row r="60" spans="1:12">
      <c r="A60" s="25"/>
      <c r="B60" s="26"/>
      <c r="H60" s="28"/>
      <c r="J60" s="28"/>
      <c r="K60" s="28"/>
      <c r="L60" s="28"/>
    </row>
    <row r="61" spans="1:12">
      <c r="A61" s="27"/>
      <c r="C61" s="27"/>
      <c r="D61" s="27"/>
      <c r="H61" s="28"/>
      <c r="J61" s="28"/>
      <c r="K61" s="28"/>
      <c r="L61" s="28"/>
    </row>
    <row r="62" spans="1:12">
      <c r="A62" s="27"/>
      <c r="C62" s="27"/>
      <c r="D62" s="27"/>
      <c r="H62" s="28"/>
      <c r="J62" s="28"/>
      <c r="K62" s="28"/>
      <c r="L62" s="28"/>
    </row>
    <row r="63" spans="1:12">
      <c r="A63" s="27"/>
      <c r="C63" s="27"/>
      <c r="D63" s="27"/>
      <c r="H63" s="28"/>
      <c r="I63" s="28"/>
      <c r="J63" s="28"/>
      <c r="K63" s="28"/>
      <c r="L63" s="28"/>
    </row>
    <row r="64" spans="3:12">
      <c r="C64" s="32"/>
      <c r="D64" s="32"/>
      <c r="H64" s="28"/>
      <c r="I64" s="28"/>
      <c r="J64" s="28"/>
      <c r="K64" s="28"/>
      <c r="L64" s="28"/>
    </row>
    <row r="65" spans="3:12">
      <c r="C65" s="32"/>
      <c r="D65" s="32"/>
      <c r="H65" s="28"/>
      <c r="I65" s="28"/>
      <c r="J65" s="28"/>
      <c r="K65" s="28"/>
      <c r="L65" s="28"/>
    </row>
    <row r="66" spans="3:12">
      <c r="C66" s="32"/>
      <c r="D66" s="32"/>
      <c r="H66" s="28"/>
      <c r="I66" s="28"/>
      <c r="J66" s="28"/>
      <c r="K66" s="28"/>
      <c r="L66" s="28"/>
    </row>
    <row r="67" spans="3:12">
      <c r="C67" s="42"/>
      <c r="D67" s="29"/>
      <c r="H67" s="28"/>
      <c r="I67" s="28"/>
      <c r="J67" s="28"/>
      <c r="K67" s="28"/>
      <c r="L67" s="28"/>
    </row>
    <row r="68" spans="3:12">
      <c r="C68" s="32"/>
      <c r="D68" s="32"/>
      <c r="H68" s="28"/>
      <c r="I68" s="28"/>
      <c r="J68" s="28"/>
      <c r="K68" s="28"/>
      <c r="L68" s="28"/>
    </row>
    <row r="69" spans="3:12">
      <c r="C69" s="28"/>
      <c r="D69" s="28"/>
      <c r="H69" s="28"/>
      <c r="I69" s="28"/>
      <c r="J69" s="28"/>
      <c r="K69" s="28"/>
      <c r="L69" s="28"/>
    </row>
    <row r="70" spans="3:12">
      <c r="C70" s="27"/>
      <c r="D70" s="27"/>
      <c r="H70" s="28"/>
      <c r="I70" s="28"/>
      <c r="J70" s="28"/>
      <c r="K70" s="28"/>
      <c r="L70" s="28"/>
    </row>
    <row r="71" spans="3:12">
      <c r="C71" s="27"/>
      <c r="D71" s="43"/>
      <c r="H71" s="28"/>
      <c r="I71" s="28"/>
      <c r="J71" s="28"/>
      <c r="K71" s="28"/>
      <c r="L71" s="28"/>
    </row>
    <row r="72" spans="3:12">
      <c r="C72" s="27"/>
      <c r="D72" s="27"/>
      <c r="H72" s="28"/>
      <c r="I72" s="28"/>
      <c r="J72" s="28"/>
      <c r="K72" s="28"/>
      <c r="L72" s="28"/>
    </row>
    <row r="73" spans="3:12">
      <c r="C73" s="27"/>
      <c r="D73" s="27"/>
      <c r="H73" s="28"/>
      <c r="I73" s="28"/>
      <c r="J73" s="28"/>
      <c r="K73" s="28"/>
      <c r="L73" s="28"/>
    </row>
    <row r="74" spans="3:12">
      <c r="C74" s="27"/>
      <c r="D74" s="27"/>
      <c r="H74" s="28"/>
      <c r="I74" s="28"/>
      <c r="J74" s="28"/>
      <c r="K74" s="28"/>
      <c r="L74" s="28"/>
    </row>
    <row r="75" spans="2:12">
      <c r="B75" s="28"/>
      <c r="C75" s="27"/>
      <c r="D75" s="27"/>
      <c r="H75" s="28"/>
      <c r="I75" s="28"/>
      <c r="J75" s="28"/>
      <c r="K75" s="28"/>
      <c r="L75" s="28"/>
    </row>
    <row r="76" spans="2:12">
      <c r="B76" s="28"/>
      <c r="D76" s="28"/>
      <c r="H76" s="28"/>
      <c r="I76" s="28"/>
      <c r="J76" s="28"/>
      <c r="K76" s="28"/>
      <c r="L76" s="28"/>
    </row>
    <row r="77" spans="2:12">
      <c r="B77" s="28"/>
      <c r="D77" s="28"/>
      <c r="H77" s="28"/>
      <c r="I77" s="28"/>
      <c r="J77" s="28"/>
      <c r="K77" s="28"/>
      <c r="L77" s="28"/>
    </row>
    <row r="78" spans="8:12">
      <c r="H78" s="28"/>
      <c r="I78" s="28"/>
      <c r="J78" s="28"/>
      <c r="K78" s="28"/>
      <c r="L78" s="28"/>
    </row>
    <row r="79" spans="8:12">
      <c r="H79" s="28"/>
      <c r="I79" s="28"/>
      <c r="J79" s="28"/>
      <c r="K79" s="28"/>
      <c r="L79" s="28"/>
    </row>
    <row r="80" spans="2:12">
      <c r="B80" s="44"/>
      <c r="C80" s="44"/>
      <c r="D80" s="44"/>
      <c r="E80" s="44"/>
      <c r="F80" s="44"/>
      <c r="G80" s="44"/>
      <c r="H80" s="28"/>
      <c r="I80" s="28"/>
      <c r="J80" s="28"/>
      <c r="K80" s="28"/>
      <c r="L80" s="28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tabSelected="1" zoomScale="115" zoomScaleNormal="115" workbookViewId="0">
      <selection activeCell="O23" sqref="O23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6" t="s">
        <v>94</v>
      </c>
      <c r="B1" s="6" t="s">
        <v>95</v>
      </c>
      <c r="C1" s="6" t="s">
        <v>96</v>
      </c>
      <c r="D1" s="6" t="s">
        <v>97</v>
      </c>
      <c r="E1" s="6" t="s">
        <v>98</v>
      </c>
      <c r="F1" s="6" t="s">
        <v>99</v>
      </c>
      <c r="G1" s="45" t="s">
        <v>100</v>
      </c>
      <c r="H1" s="6" t="s">
        <v>101</v>
      </c>
      <c r="I1" s="6" t="s">
        <v>102</v>
      </c>
      <c r="J1" s="45">
        <v>9</v>
      </c>
      <c r="K1" s="45">
        <v>8</v>
      </c>
      <c r="L1" s="6">
        <v>7</v>
      </c>
      <c r="M1" s="6">
        <v>6</v>
      </c>
      <c r="N1" s="6">
        <v>5</v>
      </c>
      <c r="O1" s="6">
        <v>4</v>
      </c>
      <c r="P1" s="6">
        <v>3</v>
      </c>
      <c r="Q1" s="6">
        <v>2</v>
      </c>
      <c r="R1" s="6">
        <v>1</v>
      </c>
      <c r="S1" s="6">
        <v>0</v>
      </c>
      <c r="V1" s="39" t="s">
        <v>103</v>
      </c>
      <c r="W1" s="39"/>
      <c r="X1" s="39"/>
    </row>
    <row r="2" spans="1:26">
      <c r="A2" s="7" t="s">
        <v>104</v>
      </c>
      <c r="B2" s="8" t="s">
        <v>105</v>
      </c>
      <c r="C2" s="9">
        <v>9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V2" s="40">
        <v>0</v>
      </c>
      <c r="W2" s="39" t="s">
        <v>106</v>
      </c>
      <c r="X2" s="41" t="str">
        <f>S32</f>
        <v>D8770352</v>
      </c>
      <c r="Y2" t="str">
        <f>"0x"&amp;RIGHT("00000000"&amp;X2,8)&amp;","</f>
        <v>0xD8770352,</v>
      </c>
      <c r="Z2" s="39" t="s">
        <v>107</v>
      </c>
    </row>
    <row r="3" spans="1:26">
      <c r="A3" s="11" t="s">
        <v>108</v>
      </c>
      <c r="B3" s="12" t="s">
        <v>109</v>
      </c>
      <c r="C3" s="9">
        <v>5</v>
      </c>
      <c r="D3" s="46">
        <v>3</v>
      </c>
      <c r="E3" s="46">
        <v>3</v>
      </c>
      <c r="F3" s="46">
        <v>3</v>
      </c>
      <c r="G3" s="46">
        <v>0</v>
      </c>
      <c r="H3" s="46">
        <v>3</v>
      </c>
      <c r="I3" s="46">
        <v>3</v>
      </c>
      <c r="J3" s="46">
        <v>3</v>
      </c>
      <c r="K3" s="46">
        <v>3</v>
      </c>
      <c r="L3" s="46">
        <v>3</v>
      </c>
      <c r="M3" s="46">
        <v>3</v>
      </c>
      <c r="N3" s="46">
        <v>3</v>
      </c>
      <c r="O3" s="46">
        <v>3</v>
      </c>
      <c r="P3" s="46">
        <v>3</v>
      </c>
      <c r="Q3" s="46">
        <v>3</v>
      </c>
      <c r="R3" s="46">
        <v>3</v>
      </c>
      <c r="S3" s="46">
        <v>3</v>
      </c>
      <c r="V3" s="40"/>
      <c r="W3" s="39" t="s">
        <v>110</v>
      </c>
      <c r="X3" s="41" t="str">
        <f>S31</f>
        <v>A9A9DBDB</v>
      </c>
      <c r="Y3" t="str">
        <f t="shared" ref="Y3:Y49" si="0">"0x"&amp;RIGHT("00000000"&amp;X3,8)&amp;","</f>
        <v>0xA9A9DBDB,</v>
      </c>
      <c r="Z3" s="39"/>
    </row>
    <row r="4" spans="1:26">
      <c r="A4" s="11" t="s">
        <v>111</v>
      </c>
      <c r="B4" s="12" t="s">
        <v>112</v>
      </c>
      <c r="C4" s="9">
        <v>6</v>
      </c>
      <c r="D4" s="37">
        <v>39</v>
      </c>
      <c r="E4" s="37">
        <v>39</v>
      </c>
      <c r="F4" s="37">
        <v>39</v>
      </c>
      <c r="G4" s="37">
        <v>12</v>
      </c>
      <c r="H4" s="37">
        <v>37</v>
      </c>
      <c r="I4" s="37">
        <v>12</v>
      </c>
      <c r="J4" s="37">
        <v>12</v>
      </c>
      <c r="K4" s="37">
        <v>12</v>
      </c>
      <c r="L4" s="37">
        <v>12</v>
      </c>
      <c r="M4" s="37">
        <v>12</v>
      </c>
      <c r="N4" s="37">
        <v>12</v>
      </c>
      <c r="O4" s="37">
        <v>12</v>
      </c>
      <c r="P4" s="37">
        <v>12</v>
      </c>
      <c r="Q4" s="37">
        <v>12</v>
      </c>
      <c r="R4" s="37">
        <v>12</v>
      </c>
      <c r="S4" s="37">
        <v>12</v>
      </c>
      <c r="V4" s="40"/>
      <c r="W4" s="39" t="s">
        <v>113</v>
      </c>
      <c r="X4" s="41" t="str">
        <f>S30</f>
        <v>CC91A</v>
      </c>
      <c r="Y4" t="str">
        <f t="shared" si="0"/>
        <v>0x000CC91A,</v>
      </c>
      <c r="Z4" s="39"/>
    </row>
    <row r="5" spans="1:26">
      <c r="A5" s="11" t="s">
        <v>114</v>
      </c>
      <c r="B5" s="12" t="s">
        <v>115</v>
      </c>
      <c r="C5" s="9">
        <v>6</v>
      </c>
      <c r="D5" s="37">
        <v>36</v>
      </c>
      <c r="E5" s="37">
        <v>36</v>
      </c>
      <c r="F5" s="37">
        <v>36</v>
      </c>
      <c r="G5" s="37">
        <v>36</v>
      </c>
      <c r="H5" s="37">
        <v>36</v>
      </c>
      <c r="I5" s="37">
        <v>36</v>
      </c>
      <c r="J5" s="37">
        <v>36</v>
      </c>
      <c r="K5" s="37">
        <v>36</v>
      </c>
      <c r="L5" s="37">
        <v>36</v>
      </c>
      <c r="M5" s="37">
        <v>36</v>
      </c>
      <c r="N5" s="37">
        <v>36</v>
      </c>
      <c r="O5" s="37">
        <v>36</v>
      </c>
      <c r="P5" s="37">
        <v>36</v>
      </c>
      <c r="Q5" s="37">
        <v>36</v>
      </c>
      <c r="R5" s="37">
        <v>36</v>
      </c>
      <c r="S5" s="37">
        <v>36</v>
      </c>
      <c r="V5" s="40">
        <v>1</v>
      </c>
      <c r="W5" s="39" t="s">
        <v>106</v>
      </c>
      <c r="X5" s="41" t="str">
        <f>R32</f>
        <v>D8770357</v>
      </c>
      <c r="Y5" t="str">
        <f t="shared" si="0"/>
        <v>0xD8770357,</v>
      </c>
      <c r="Z5" s="39" t="s">
        <v>116</v>
      </c>
    </row>
    <row r="6" spans="1:26">
      <c r="A6" s="11" t="s">
        <v>117</v>
      </c>
      <c r="B6" s="12" t="s">
        <v>118</v>
      </c>
      <c r="C6" s="9">
        <v>6</v>
      </c>
      <c r="D6" s="46">
        <v>26</v>
      </c>
      <c r="E6" s="46">
        <v>26</v>
      </c>
      <c r="F6" s="46">
        <v>26</v>
      </c>
      <c r="G6" s="46">
        <v>26</v>
      </c>
      <c r="H6" s="46">
        <v>26</v>
      </c>
      <c r="I6" s="46">
        <v>26</v>
      </c>
      <c r="J6" s="46">
        <v>26</v>
      </c>
      <c r="K6" s="46">
        <v>26</v>
      </c>
      <c r="L6" s="46">
        <v>26</v>
      </c>
      <c r="M6" s="46">
        <v>26</v>
      </c>
      <c r="N6" s="46">
        <v>26</v>
      </c>
      <c r="O6" s="46">
        <v>26</v>
      </c>
      <c r="P6" s="46">
        <v>26</v>
      </c>
      <c r="Q6" s="46">
        <v>26</v>
      </c>
      <c r="R6" s="46">
        <v>26</v>
      </c>
      <c r="S6" s="46">
        <v>26</v>
      </c>
      <c r="V6" s="40"/>
      <c r="W6" s="39" t="s">
        <v>110</v>
      </c>
      <c r="X6" s="41" t="str">
        <f>R31</f>
        <v>A9A9DBDB</v>
      </c>
      <c r="Y6" t="str">
        <f t="shared" si="0"/>
        <v>0xA9A9DBDB,</v>
      </c>
      <c r="Z6" s="39"/>
    </row>
    <row r="7" spans="1:26">
      <c r="A7" s="7" t="s">
        <v>119</v>
      </c>
      <c r="B7" s="12" t="s">
        <v>120</v>
      </c>
      <c r="C7" s="9">
        <v>4</v>
      </c>
      <c r="D7" s="46">
        <v>10</v>
      </c>
      <c r="E7" s="46">
        <v>10</v>
      </c>
      <c r="F7" s="46">
        <v>10</v>
      </c>
      <c r="G7" s="46">
        <v>10</v>
      </c>
      <c r="H7" s="46">
        <v>10</v>
      </c>
      <c r="I7" s="46">
        <v>10</v>
      </c>
      <c r="J7" s="46">
        <v>10</v>
      </c>
      <c r="K7" s="46">
        <v>10</v>
      </c>
      <c r="L7" s="46">
        <v>10</v>
      </c>
      <c r="M7" s="46">
        <v>10</v>
      </c>
      <c r="N7" s="46">
        <v>10</v>
      </c>
      <c r="O7" s="46">
        <v>10</v>
      </c>
      <c r="P7" s="46">
        <v>10</v>
      </c>
      <c r="Q7" s="46">
        <v>10</v>
      </c>
      <c r="R7" s="46">
        <v>10</v>
      </c>
      <c r="S7" s="46">
        <v>10</v>
      </c>
      <c r="V7" s="40"/>
      <c r="W7" s="39" t="s">
        <v>113</v>
      </c>
      <c r="X7" s="41" t="str">
        <f>R30</f>
        <v>CC91A</v>
      </c>
      <c r="Y7" t="str">
        <f t="shared" si="0"/>
        <v>0x000CC91A,</v>
      </c>
      <c r="Z7" s="39"/>
    </row>
    <row r="8" spans="1:26">
      <c r="A8" s="7" t="s">
        <v>121</v>
      </c>
      <c r="B8" s="12" t="s">
        <v>122</v>
      </c>
      <c r="C8" s="9">
        <v>4</v>
      </c>
      <c r="D8" s="37">
        <v>9</v>
      </c>
      <c r="E8" s="37">
        <v>9</v>
      </c>
      <c r="F8" s="37">
        <v>9</v>
      </c>
      <c r="G8" s="37">
        <v>9</v>
      </c>
      <c r="H8" s="37">
        <v>9</v>
      </c>
      <c r="I8" s="37">
        <v>9</v>
      </c>
      <c r="J8" s="37">
        <v>9</v>
      </c>
      <c r="K8" s="37">
        <v>9</v>
      </c>
      <c r="L8" s="37">
        <v>9</v>
      </c>
      <c r="M8" s="37">
        <v>9</v>
      </c>
      <c r="N8" s="37">
        <v>9</v>
      </c>
      <c r="O8" s="37">
        <v>9</v>
      </c>
      <c r="P8" s="37">
        <v>9</v>
      </c>
      <c r="Q8" s="37">
        <v>9</v>
      </c>
      <c r="R8" s="37">
        <v>9</v>
      </c>
      <c r="S8" s="37">
        <v>9</v>
      </c>
      <c r="V8" s="40">
        <v>2</v>
      </c>
      <c r="W8" s="39" t="s">
        <v>106</v>
      </c>
      <c r="X8" s="41" t="str">
        <f>Q32</f>
        <v>D8770353</v>
      </c>
      <c r="Y8" t="str">
        <f t="shared" si="0"/>
        <v>0xD8770353,</v>
      </c>
      <c r="Z8" s="39" t="s">
        <v>123</v>
      </c>
    </row>
    <row r="9" spans="1:26">
      <c r="A9" s="14" t="s">
        <v>124</v>
      </c>
      <c r="B9" s="12" t="s">
        <v>125</v>
      </c>
      <c r="C9" s="9">
        <v>3</v>
      </c>
      <c r="D9" s="37">
        <v>5</v>
      </c>
      <c r="E9" s="37">
        <v>5</v>
      </c>
      <c r="F9" s="37">
        <v>5</v>
      </c>
      <c r="G9" s="37">
        <v>5</v>
      </c>
      <c r="H9" s="37">
        <v>5</v>
      </c>
      <c r="I9" s="37">
        <v>5</v>
      </c>
      <c r="J9" s="37">
        <v>5</v>
      </c>
      <c r="K9" s="37">
        <v>5</v>
      </c>
      <c r="L9" s="37">
        <v>5</v>
      </c>
      <c r="M9" s="37">
        <v>5</v>
      </c>
      <c r="N9" s="37">
        <v>5</v>
      </c>
      <c r="O9" s="37">
        <v>5</v>
      </c>
      <c r="P9" s="37">
        <v>5</v>
      </c>
      <c r="Q9" s="37">
        <v>5</v>
      </c>
      <c r="R9" s="37">
        <v>5</v>
      </c>
      <c r="S9" s="37">
        <v>5</v>
      </c>
      <c r="V9" s="40"/>
      <c r="W9" s="39" t="s">
        <v>110</v>
      </c>
      <c r="X9" s="41" t="str">
        <f>Q31</f>
        <v>A9ADDBDB</v>
      </c>
      <c r="Y9" t="str">
        <f t="shared" si="0"/>
        <v>0xA9ADDBDB,</v>
      </c>
      <c r="Z9" s="39"/>
    </row>
    <row r="10" spans="1:26">
      <c r="A10" s="14" t="s">
        <v>126</v>
      </c>
      <c r="B10" s="12" t="s">
        <v>127</v>
      </c>
      <c r="C10" s="9">
        <v>4</v>
      </c>
      <c r="D10" s="46">
        <v>15</v>
      </c>
      <c r="E10" s="46">
        <v>15</v>
      </c>
      <c r="F10" s="46">
        <v>15</v>
      </c>
      <c r="G10" s="46">
        <v>15</v>
      </c>
      <c r="H10" s="46">
        <v>15</v>
      </c>
      <c r="I10" s="46">
        <v>14</v>
      </c>
      <c r="J10" s="46">
        <v>13</v>
      </c>
      <c r="K10" s="46">
        <v>12</v>
      </c>
      <c r="L10" s="46">
        <v>9</v>
      </c>
      <c r="M10" s="46">
        <v>9</v>
      </c>
      <c r="N10" s="46">
        <v>8</v>
      </c>
      <c r="O10" s="46">
        <v>8</v>
      </c>
      <c r="P10" s="46">
        <v>6</v>
      </c>
      <c r="Q10" s="46">
        <v>6</v>
      </c>
      <c r="R10" s="46">
        <v>4</v>
      </c>
      <c r="S10" s="46">
        <v>4</v>
      </c>
      <c r="V10" s="40"/>
      <c r="W10" s="39" t="s">
        <v>113</v>
      </c>
      <c r="X10" s="41" t="str">
        <f>Q30</f>
        <v>CC91A</v>
      </c>
      <c r="Y10" t="str">
        <f t="shared" si="0"/>
        <v>0x000CC91A,</v>
      </c>
      <c r="Z10" s="39"/>
    </row>
    <row r="11" spans="1:26">
      <c r="A11" s="14" t="s">
        <v>128</v>
      </c>
      <c r="B11" s="12" t="s">
        <v>129</v>
      </c>
      <c r="C11" s="9">
        <v>3</v>
      </c>
      <c r="D11" s="46">
        <v>7</v>
      </c>
      <c r="E11" s="46">
        <v>7</v>
      </c>
      <c r="F11" s="46">
        <v>7</v>
      </c>
      <c r="G11" s="46">
        <v>7</v>
      </c>
      <c r="H11" s="46">
        <v>7</v>
      </c>
      <c r="I11" s="46">
        <v>7</v>
      </c>
      <c r="J11" s="46">
        <v>7</v>
      </c>
      <c r="K11" s="46">
        <v>7</v>
      </c>
      <c r="L11" s="46">
        <v>7</v>
      </c>
      <c r="M11" s="46">
        <v>7</v>
      </c>
      <c r="N11" s="46">
        <v>7</v>
      </c>
      <c r="O11" s="46">
        <v>7</v>
      </c>
      <c r="P11" s="46">
        <v>7</v>
      </c>
      <c r="Q11" s="46">
        <v>7</v>
      </c>
      <c r="R11" s="46">
        <v>7</v>
      </c>
      <c r="S11" s="46">
        <v>7</v>
      </c>
      <c r="V11" s="40">
        <v>3</v>
      </c>
      <c r="W11" s="39" t="s">
        <v>106</v>
      </c>
      <c r="X11" s="41" t="str">
        <f>P32</f>
        <v>CC77008C</v>
      </c>
      <c r="Y11" t="str">
        <f t="shared" si="0"/>
        <v>0xCC77008C,</v>
      </c>
      <c r="Z11" s="39" t="s">
        <v>130</v>
      </c>
    </row>
    <row r="12" spans="1:26">
      <c r="A12" s="11" t="s">
        <v>131</v>
      </c>
      <c r="B12" s="12" t="s">
        <v>132</v>
      </c>
      <c r="C12" s="9">
        <v>1</v>
      </c>
      <c r="D12" s="46">
        <v>0</v>
      </c>
      <c r="E12" s="46">
        <v>0</v>
      </c>
      <c r="F12" s="46">
        <v>0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  <c r="M12" s="46">
        <v>0</v>
      </c>
      <c r="N12" s="46">
        <v>0</v>
      </c>
      <c r="O12" s="46">
        <v>0</v>
      </c>
      <c r="P12" s="46">
        <v>0</v>
      </c>
      <c r="Q12" s="46">
        <v>0</v>
      </c>
      <c r="R12" s="46">
        <v>0</v>
      </c>
      <c r="S12" s="46">
        <v>0</v>
      </c>
      <c r="V12" s="40"/>
      <c r="W12" s="39" t="s">
        <v>110</v>
      </c>
      <c r="X12" s="41" t="str">
        <f>P31</f>
        <v>A9ADDBDB</v>
      </c>
      <c r="Y12" t="str">
        <f t="shared" si="0"/>
        <v>0xA9ADDBDB,</v>
      </c>
      <c r="Z12" s="39"/>
    </row>
    <row r="13" spans="1:26">
      <c r="A13" s="14" t="s">
        <v>133</v>
      </c>
      <c r="B13" s="12" t="s">
        <v>134</v>
      </c>
      <c r="C13" s="9">
        <v>6</v>
      </c>
      <c r="D13" s="37">
        <v>55</v>
      </c>
      <c r="E13" s="37">
        <v>55</v>
      </c>
      <c r="F13" s="37">
        <v>55</v>
      </c>
      <c r="G13" s="37">
        <v>55</v>
      </c>
      <c r="H13" s="37">
        <v>55</v>
      </c>
      <c r="I13" s="37">
        <v>55</v>
      </c>
      <c r="J13" s="37">
        <v>55</v>
      </c>
      <c r="K13" s="37">
        <v>55</v>
      </c>
      <c r="L13" s="37">
        <v>55</v>
      </c>
      <c r="M13" s="37">
        <v>55</v>
      </c>
      <c r="N13" s="37">
        <v>55</v>
      </c>
      <c r="O13" s="37">
        <v>55</v>
      </c>
      <c r="P13" s="37">
        <v>55</v>
      </c>
      <c r="Q13" s="37">
        <v>55</v>
      </c>
      <c r="R13" s="37">
        <v>55</v>
      </c>
      <c r="S13" s="37">
        <v>55</v>
      </c>
      <c r="V13" s="40"/>
      <c r="W13" s="39" t="s">
        <v>113</v>
      </c>
      <c r="X13" s="41" t="str">
        <f>P30</f>
        <v>CC91A</v>
      </c>
      <c r="Y13" t="str">
        <f t="shared" si="0"/>
        <v>0x000CC91A,</v>
      </c>
      <c r="Z13" s="39"/>
    </row>
    <row r="14" spans="1:26">
      <c r="A14" s="14" t="s">
        <v>135</v>
      </c>
      <c r="B14" s="12" t="s">
        <v>136</v>
      </c>
      <c r="C14" s="9">
        <v>6</v>
      </c>
      <c r="D14" s="46">
        <v>48</v>
      </c>
      <c r="E14" s="46">
        <v>48</v>
      </c>
      <c r="F14" s="46">
        <v>48</v>
      </c>
      <c r="G14" s="46">
        <v>45</v>
      </c>
      <c r="H14" s="46">
        <v>46</v>
      </c>
      <c r="I14" s="46">
        <v>45</v>
      </c>
      <c r="J14" s="46">
        <v>45</v>
      </c>
      <c r="K14" s="46">
        <v>45</v>
      </c>
      <c r="L14" s="46">
        <v>45</v>
      </c>
      <c r="M14" s="46">
        <v>45</v>
      </c>
      <c r="N14" s="46">
        <v>45</v>
      </c>
      <c r="O14" s="46">
        <v>45</v>
      </c>
      <c r="P14" s="46">
        <v>45</v>
      </c>
      <c r="Q14" s="46">
        <v>45</v>
      </c>
      <c r="R14" s="46">
        <v>45</v>
      </c>
      <c r="S14" s="46">
        <v>45</v>
      </c>
      <c r="V14" s="40">
        <v>4</v>
      </c>
      <c r="W14" s="39" t="s">
        <v>106</v>
      </c>
      <c r="X14" s="41" t="str">
        <f>O32</f>
        <v>D87703F6</v>
      </c>
      <c r="Y14" t="str">
        <f t="shared" si="0"/>
        <v>0xD87703F6,</v>
      </c>
      <c r="Z14" s="39" t="s">
        <v>137</v>
      </c>
    </row>
    <row r="15" spans="1:26">
      <c r="A15" s="14" t="s">
        <v>138</v>
      </c>
      <c r="B15" s="12" t="s">
        <v>139</v>
      </c>
      <c r="C15" s="9">
        <v>3</v>
      </c>
      <c r="D15" s="46">
        <v>7</v>
      </c>
      <c r="E15" s="46">
        <v>7</v>
      </c>
      <c r="F15" s="46">
        <v>7</v>
      </c>
      <c r="G15" s="46">
        <v>1</v>
      </c>
      <c r="H15" s="46">
        <v>7</v>
      </c>
      <c r="I15" s="46">
        <v>4</v>
      </c>
      <c r="J15" s="46">
        <v>7</v>
      </c>
      <c r="K15" s="46">
        <v>7</v>
      </c>
      <c r="L15" s="46">
        <v>7</v>
      </c>
      <c r="M15" s="46">
        <v>7</v>
      </c>
      <c r="N15" s="46">
        <v>7</v>
      </c>
      <c r="O15" s="46">
        <v>7</v>
      </c>
      <c r="P15" s="46">
        <v>7</v>
      </c>
      <c r="Q15" s="46">
        <v>7</v>
      </c>
      <c r="R15" s="46">
        <v>7</v>
      </c>
      <c r="S15" s="46">
        <v>7</v>
      </c>
      <c r="V15" s="40"/>
      <c r="W15" s="39" t="s">
        <v>110</v>
      </c>
      <c r="X15" s="41" t="str">
        <f>O31</f>
        <v>A9B1DBDB</v>
      </c>
      <c r="Y15" t="str">
        <f t="shared" si="0"/>
        <v>0xA9B1DBDB,</v>
      </c>
      <c r="Z15" s="39"/>
    </row>
    <row r="16" spans="1:26">
      <c r="A16" s="14" t="s">
        <v>140</v>
      </c>
      <c r="B16" s="15" t="s">
        <v>141</v>
      </c>
      <c r="C16" s="9">
        <v>4</v>
      </c>
      <c r="D16" s="46">
        <v>3</v>
      </c>
      <c r="E16" s="46">
        <v>3</v>
      </c>
      <c r="F16" s="46">
        <v>3</v>
      </c>
      <c r="G16" s="46">
        <v>3</v>
      </c>
      <c r="H16" s="46">
        <v>3</v>
      </c>
      <c r="I16" s="46">
        <v>4</v>
      </c>
      <c r="J16" s="46">
        <v>3</v>
      </c>
      <c r="K16" s="46">
        <v>5</v>
      </c>
      <c r="L16" s="46">
        <v>3</v>
      </c>
      <c r="M16" s="46">
        <v>6</v>
      </c>
      <c r="N16" s="46">
        <v>3</v>
      </c>
      <c r="O16" s="46">
        <v>6</v>
      </c>
      <c r="P16" s="46">
        <v>3</v>
      </c>
      <c r="Q16" s="46">
        <v>6</v>
      </c>
      <c r="R16" s="46">
        <v>6</v>
      </c>
      <c r="S16" s="46">
        <v>6</v>
      </c>
      <c r="V16" s="40"/>
      <c r="W16" s="39" t="s">
        <v>113</v>
      </c>
      <c r="X16" s="41" t="str">
        <f>O30</f>
        <v>CC91A</v>
      </c>
      <c r="Y16" t="str">
        <f t="shared" si="0"/>
        <v>0x000CC91A,</v>
      </c>
      <c r="Z16" s="39"/>
    </row>
    <row r="17" spans="1:26">
      <c r="A17" s="14" t="s">
        <v>142</v>
      </c>
      <c r="B17" s="15" t="s">
        <v>143</v>
      </c>
      <c r="C17" s="9">
        <v>4</v>
      </c>
      <c r="D17" s="46">
        <v>3</v>
      </c>
      <c r="E17" s="46">
        <v>3</v>
      </c>
      <c r="F17" s="46">
        <v>3</v>
      </c>
      <c r="G17" s="46">
        <v>1</v>
      </c>
      <c r="H17" s="46">
        <v>3</v>
      </c>
      <c r="I17" s="46">
        <v>1</v>
      </c>
      <c r="J17" s="46">
        <v>1</v>
      </c>
      <c r="K17" s="46">
        <v>1</v>
      </c>
      <c r="L17" s="46">
        <v>1</v>
      </c>
      <c r="M17" s="46">
        <v>1</v>
      </c>
      <c r="N17" s="46">
        <v>1</v>
      </c>
      <c r="O17" s="46">
        <v>1</v>
      </c>
      <c r="P17" s="46">
        <v>1</v>
      </c>
      <c r="Q17" s="46">
        <v>1</v>
      </c>
      <c r="R17" s="46">
        <v>1</v>
      </c>
      <c r="S17" s="46">
        <v>1</v>
      </c>
      <c r="V17" s="40">
        <v>5</v>
      </c>
      <c r="W17" s="39" t="s">
        <v>106</v>
      </c>
      <c r="X17" s="41" t="str">
        <f>N32</f>
        <v>CC77014E</v>
      </c>
      <c r="Y17" t="str">
        <f t="shared" si="0"/>
        <v>0xCC77014E,</v>
      </c>
      <c r="Z17" s="39" t="s">
        <v>144</v>
      </c>
    </row>
    <row r="18" spans="1:26">
      <c r="A18" s="14" t="s">
        <v>145</v>
      </c>
      <c r="B18" s="15" t="s">
        <v>146</v>
      </c>
      <c r="C18" s="9">
        <v>1</v>
      </c>
      <c r="D18" s="46">
        <v>1</v>
      </c>
      <c r="E18" s="46">
        <v>1</v>
      </c>
      <c r="F18" s="46">
        <v>1</v>
      </c>
      <c r="G18" s="46">
        <v>1</v>
      </c>
      <c r="H18" s="46">
        <v>1</v>
      </c>
      <c r="I18" s="46">
        <v>1</v>
      </c>
      <c r="J18" s="46">
        <v>1</v>
      </c>
      <c r="K18" s="46">
        <v>1</v>
      </c>
      <c r="L18" s="46">
        <v>1</v>
      </c>
      <c r="M18" s="46">
        <v>1</v>
      </c>
      <c r="N18" s="46">
        <v>1</v>
      </c>
      <c r="O18" s="46">
        <v>1</v>
      </c>
      <c r="P18" s="46">
        <v>1</v>
      </c>
      <c r="Q18" s="46">
        <v>1</v>
      </c>
      <c r="R18" s="46">
        <v>1</v>
      </c>
      <c r="S18" s="46">
        <v>1</v>
      </c>
      <c r="V18" s="40"/>
      <c r="W18" s="39" t="s">
        <v>110</v>
      </c>
      <c r="X18" s="41" t="str">
        <f>N31</f>
        <v>A9B1DBDB</v>
      </c>
      <c r="Y18" t="str">
        <f t="shared" si="0"/>
        <v>0xA9B1DBDB,</v>
      </c>
      <c r="Z18" s="39"/>
    </row>
    <row r="19" spans="1:26">
      <c r="A19" s="14" t="s">
        <v>147</v>
      </c>
      <c r="B19" s="15" t="s">
        <v>148</v>
      </c>
      <c r="C19" s="9">
        <v>1</v>
      </c>
      <c r="D19" s="46">
        <v>1</v>
      </c>
      <c r="E19" s="46">
        <v>1</v>
      </c>
      <c r="F19" s="46">
        <v>1</v>
      </c>
      <c r="G19" s="46">
        <v>1</v>
      </c>
      <c r="H19" s="46">
        <v>1</v>
      </c>
      <c r="I19" s="46">
        <v>1</v>
      </c>
      <c r="J19" s="46">
        <v>1</v>
      </c>
      <c r="K19" s="46">
        <v>1</v>
      </c>
      <c r="L19" s="46">
        <v>1</v>
      </c>
      <c r="M19" s="46">
        <v>1</v>
      </c>
      <c r="N19" s="46">
        <v>1</v>
      </c>
      <c r="O19" s="46">
        <v>1</v>
      </c>
      <c r="P19" s="46">
        <v>1</v>
      </c>
      <c r="Q19" s="46">
        <v>1</v>
      </c>
      <c r="R19" s="46">
        <v>1</v>
      </c>
      <c r="S19" s="46">
        <v>1</v>
      </c>
      <c r="V19" s="40"/>
      <c r="W19" s="39" t="s">
        <v>113</v>
      </c>
      <c r="X19" s="41" t="str">
        <f>N30</f>
        <v>CC91A</v>
      </c>
      <c r="Y19" t="str">
        <f t="shared" si="0"/>
        <v>0x000CC91A,</v>
      </c>
      <c r="Z19" s="39"/>
    </row>
    <row r="20" spans="1:26">
      <c r="A20" s="14" t="s">
        <v>149</v>
      </c>
      <c r="B20" s="15" t="s">
        <v>150</v>
      </c>
      <c r="C20" s="9">
        <v>3</v>
      </c>
      <c r="D20" s="46">
        <v>3</v>
      </c>
      <c r="E20" s="46">
        <v>3</v>
      </c>
      <c r="F20" s="46">
        <v>3</v>
      </c>
      <c r="G20" s="46">
        <v>3</v>
      </c>
      <c r="H20" s="46">
        <v>3</v>
      </c>
      <c r="I20" s="46">
        <v>3</v>
      </c>
      <c r="J20" s="46">
        <v>3</v>
      </c>
      <c r="K20" s="46">
        <v>3</v>
      </c>
      <c r="L20" s="46">
        <v>3</v>
      </c>
      <c r="M20" s="46">
        <v>3</v>
      </c>
      <c r="N20" s="46">
        <v>3</v>
      </c>
      <c r="O20" s="46">
        <v>3</v>
      </c>
      <c r="P20" s="46">
        <v>3</v>
      </c>
      <c r="Q20" s="46">
        <v>3</v>
      </c>
      <c r="R20" s="46">
        <v>3</v>
      </c>
      <c r="S20" s="46">
        <v>3</v>
      </c>
      <c r="V20" s="40">
        <v>6</v>
      </c>
      <c r="W20" s="39" t="s">
        <v>106</v>
      </c>
      <c r="X20" s="41" t="str">
        <f>M32</f>
        <v>D87703FE</v>
      </c>
      <c r="Y20" t="str">
        <f t="shared" si="0"/>
        <v>0xD87703FE,</v>
      </c>
      <c r="Z20" s="39" t="s">
        <v>151</v>
      </c>
    </row>
    <row r="21" spans="1:26">
      <c r="A21" s="14" t="s">
        <v>152</v>
      </c>
      <c r="B21" s="15" t="s">
        <v>153</v>
      </c>
      <c r="C21" s="9">
        <v>4</v>
      </c>
      <c r="D21" s="46">
        <v>4</v>
      </c>
      <c r="E21" s="46">
        <v>8</v>
      </c>
      <c r="F21" s="46">
        <v>10</v>
      </c>
      <c r="G21" s="46">
        <v>8</v>
      </c>
      <c r="H21" s="46">
        <v>11</v>
      </c>
      <c r="I21" s="46">
        <v>8</v>
      </c>
      <c r="J21" s="46">
        <v>7</v>
      </c>
      <c r="K21" s="46">
        <v>8</v>
      </c>
      <c r="L21" s="46">
        <v>8</v>
      </c>
      <c r="M21" s="46">
        <v>8</v>
      </c>
      <c r="N21" s="46">
        <v>8</v>
      </c>
      <c r="O21" s="46">
        <v>8</v>
      </c>
      <c r="P21" s="46">
        <v>8</v>
      </c>
      <c r="Q21" s="46">
        <v>8</v>
      </c>
      <c r="R21" s="46">
        <v>8</v>
      </c>
      <c r="S21" s="46">
        <v>8</v>
      </c>
      <c r="V21" s="40"/>
      <c r="W21" s="39" t="s">
        <v>110</v>
      </c>
      <c r="X21" s="41" t="str">
        <f>M31</f>
        <v>A9B3DBDB</v>
      </c>
      <c r="Y21" t="str">
        <f t="shared" si="0"/>
        <v>0xA9B3DBDB,</v>
      </c>
      <c r="Z21" s="39"/>
    </row>
    <row r="22" spans="1:26">
      <c r="A22" s="11" t="s">
        <v>154</v>
      </c>
      <c r="B22" s="12" t="s">
        <v>155</v>
      </c>
      <c r="C22" s="9">
        <v>1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V22" s="40"/>
      <c r="W22" s="39" t="s">
        <v>113</v>
      </c>
      <c r="X22" s="41" t="str">
        <f>M30</f>
        <v>CC91A</v>
      </c>
      <c r="Y22" t="str">
        <f t="shared" si="0"/>
        <v>0x000CC91A,</v>
      </c>
      <c r="Z22" s="39"/>
    </row>
    <row r="23" spans="1:26">
      <c r="A23" s="11" t="s">
        <v>156</v>
      </c>
      <c r="B23" s="12" t="s">
        <v>12</v>
      </c>
      <c r="C23" s="9">
        <v>2</v>
      </c>
      <c r="D23" s="46">
        <v>0</v>
      </c>
      <c r="E23" s="46">
        <v>0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46">
        <v>0</v>
      </c>
      <c r="L23" s="46">
        <v>0</v>
      </c>
      <c r="M23" s="46">
        <v>0</v>
      </c>
      <c r="N23" s="46">
        <v>0</v>
      </c>
      <c r="O23" s="46">
        <v>0</v>
      </c>
      <c r="P23" s="46">
        <v>0</v>
      </c>
      <c r="Q23" s="46">
        <v>0</v>
      </c>
      <c r="R23" s="46">
        <v>0</v>
      </c>
      <c r="S23" s="46">
        <v>0</v>
      </c>
      <c r="V23" s="40">
        <v>7</v>
      </c>
      <c r="W23" s="39" t="s">
        <v>106</v>
      </c>
      <c r="X23" s="41" t="str">
        <f>L32</f>
        <v>CC770291</v>
      </c>
      <c r="Y23" t="str">
        <f t="shared" si="0"/>
        <v>0xCC770291,</v>
      </c>
      <c r="Z23" s="39" t="s">
        <v>157</v>
      </c>
    </row>
    <row r="24" spans="1:26">
      <c r="A24" s="11" t="s">
        <v>158</v>
      </c>
      <c r="B24" s="12" t="s">
        <v>159</v>
      </c>
      <c r="C24" s="9">
        <v>5</v>
      </c>
      <c r="D24" s="46">
        <v>24</v>
      </c>
      <c r="E24" s="46">
        <v>24</v>
      </c>
      <c r="F24" s="46">
        <v>24</v>
      </c>
      <c r="G24" s="46">
        <v>31</v>
      </c>
      <c r="H24" s="46">
        <v>24</v>
      </c>
      <c r="I24" s="46">
        <v>31</v>
      </c>
      <c r="J24" s="46">
        <v>19</v>
      </c>
      <c r="K24" s="46">
        <v>31</v>
      </c>
      <c r="L24" s="46">
        <v>20</v>
      </c>
      <c r="M24" s="46">
        <v>31</v>
      </c>
      <c r="N24" s="46">
        <v>10</v>
      </c>
      <c r="O24" s="46">
        <v>31</v>
      </c>
      <c r="P24" s="46">
        <v>4</v>
      </c>
      <c r="Q24" s="46">
        <v>26</v>
      </c>
      <c r="R24" s="46">
        <v>26</v>
      </c>
      <c r="S24" s="46">
        <v>26</v>
      </c>
      <c r="V24" s="40"/>
      <c r="W24" s="39" t="s">
        <v>110</v>
      </c>
      <c r="X24" s="41" t="str">
        <f>L31</f>
        <v>A9B3DBDB</v>
      </c>
      <c r="Y24" t="str">
        <f t="shared" si="0"/>
        <v>0xA9B3DBDB,</v>
      </c>
      <c r="Z24" s="39"/>
    </row>
    <row r="25" spans="1:26">
      <c r="A25" s="11" t="s">
        <v>160</v>
      </c>
      <c r="B25" s="12" t="s">
        <v>161</v>
      </c>
      <c r="C25" s="9">
        <v>5</v>
      </c>
      <c r="D25" s="46">
        <v>31</v>
      </c>
      <c r="E25" s="46">
        <v>31</v>
      </c>
      <c r="F25" s="46">
        <v>24</v>
      </c>
      <c r="G25" s="46">
        <v>29</v>
      </c>
      <c r="H25" s="47">
        <v>15</v>
      </c>
      <c r="I25" s="46">
        <v>31</v>
      </c>
      <c r="J25" s="46">
        <v>15</v>
      </c>
      <c r="K25" s="46">
        <v>31</v>
      </c>
      <c r="L25" s="46">
        <v>17</v>
      </c>
      <c r="M25" s="46">
        <v>30</v>
      </c>
      <c r="N25" s="46">
        <v>14</v>
      </c>
      <c r="O25" s="46">
        <v>22</v>
      </c>
      <c r="P25" s="46">
        <v>12</v>
      </c>
      <c r="Q25" s="46">
        <v>19</v>
      </c>
      <c r="R25" s="46">
        <v>23</v>
      </c>
      <c r="S25" s="46">
        <v>18</v>
      </c>
      <c r="V25" s="40"/>
      <c r="W25" s="39" t="s">
        <v>113</v>
      </c>
      <c r="X25" s="41" t="str">
        <f>L30</f>
        <v>CC91A</v>
      </c>
      <c r="Y25" t="str">
        <f t="shared" si="0"/>
        <v>0x000CC91A,</v>
      </c>
      <c r="Z25" s="39"/>
    </row>
    <row r="26" spans="1:26">
      <c r="A26" s="16" t="s">
        <v>162</v>
      </c>
      <c r="B26" s="16"/>
      <c r="C26" s="17">
        <f>SUM(C2:C25)</f>
        <v>96</v>
      </c>
      <c r="D26" s="18" t="s">
        <v>191</v>
      </c>
      <c r="E26" s="18" t="s">
        <v>146</v>
      </c>
      <c r="F26" s="18" t="s">
        <v>192</v>
      </c>
      <c r="G26" s="18" t="s">
        <v>193</v>
      </c>
      <c r="H26" s="18" t="s">
        <v>194</v>
      </c>
      <c r="I26" s="18" t="s">
        <v>41</v>
      </c>
      <c r="J26" s="38" t="s">
        <v>195</v>
      </c>
      <c r="K26" s="38" t="s">
        <v>195</v>
      </c>
      <c r="L26" s="18" t="s">
        <v>196</v>
      </c>
      <c r="M26" s="18" t="s">
        <v>197</v>
      </c>
      <c r="N26" s="18" t="s">
        <v>198</v>
      </c>
      <c r="O26" s="18" t="s">
        <v>199</v>
      </c>
      <c r="P26" s="18" t="s">
        <v>200</v>
      </c>
      <c r="Q26" s="18" t="s">
        <v>201</v>
      </c>
      <c r="R26" s="18" t="s">
        <v>202</v>
      </c>
      <c r="S26" s="18" t="s">
        <v>203</v>
      </c>
      <c r="V26" s="40">
        <v>8</v>
      </c>
      <c r="W26" s="39" t="s">
        <v>106</v>
      </c>
      <c r="X26" s="41" t="str">
        <f>K32</f>
        <v>D47703FF</v>
      </c>
      <c r="Y26" t="str">
        <f t="shared" si="0"/>
        <v>0xD47703FF,</v>
      </c>
      <c r="Z26" s="39" t="s">
        <v>172</v>
      </c>
    </row>
    <row r="27" spans="1:26">
      <c r="A27" s="16" t="s">
        <v>173</v>
      </c>
      <c r="B27" s="16"/>
      <c r="C27" s="19"/>
      <c r="D27" s="18" t="s">
        <v>204</v>
      </c>
      <c r="E27" s="18" t="s">
        <v>205</v>
      </c>
      <c r="F27" s="18" t="s">
        <v>206</v>
      </c>
      <c r="G27" s="18" t="s">
        <v>207</v>
      </c>
      <c r="H27" s="18" t="s">
        <v>208</v>
      </c>
      <c r="I27" s="18" t="s">
        <v>209</v>
      </c>
      <c r="J27" s="18" t="s">
        <v>210</v>
      </c>
      <c r="K27" s="18" t="s">
        <v>210</v>
      </c>
      <c r="L27" s="18" t="s">
        <v>211</v>
      </c>
      <c r="M27" s="18" t="s">
        <v>208</v>
      </c>
      <c r="N27" s="18" t="s">
        <v>212</v>
      </c>
      <c r="O27" s="18" t="s">
        <v>213</v>
      </c>
      <c r="P27" s="18" t="s">
        <v>214</v>
      </c>
      <c r="Q27" s="18" t="s">
        <v>215</v>
      </c>
      <c r="R27" s="18" t="s">
        <v>216</v>
      </c>
      <c r="S27" s="18" t="s">
        <v>217</v>
      </c>
      <c r="V27" s="40"/>
      <c r="W27" s="39" t="s">
        <v>110</v>
      </c>
      <c r="X27" s="41" t="str">
        <f>K31</f>
        <v>A9B9DBDB</v>
      </c>
      <c r="Y27" t="str">
        <f t="shared" si="0"/>
        <v>0xA9B9DBDB,</v>
      </c>
      <c r="Z27" s="39"/>
    </row>
    <row r="28" spans="1:26">
      <c r="A28" s="16"/>
      <c r="B28" s="16"/>
      <c r="C28" s="19"/>
      <c r="D28" s="16" t="s">
        <v>218</v>
      </c>
      <c r="E28" s="16"/>
      <c r="F28" s="16" t="s">
        <v>218</v>
      </c>
      <c r="G28" s="48" t="s">
        <v>219</v>
      </c>
      <c r="H28" s="16" t="s">
        <v>218</v>
      </c>
      <c r="I28" s="16"/>
      <c r="J28" s="48" t="s">
        <v>220</v>
      </c>
      <c r="K28" s="16"/>
      <c r="L28" s="16" t="s">
        <v>218</v>
      </c>
      <c r="M28" s="16"/>
      <c r="N28" s="16" t="s">
        <v>218</v>
      </c>
      <c r="O28" s="16"/>
      <c r="P28" s="16"/>
      <c r="Q28" s="16"/>
      <c r="R28" s="16"/>
      <c r="S28" s="16"/>
      <c r="V28" s="40"/>
      <c r="W28" s="39" t="s">
        <v>113</v>
      </c>
      <c r="X28" s="41" t="str">
        <f>K30</f>
        <v>CC91A</v>
      </c>
      <c r="Y28" t="str">
        <f t="shared" si="0"/>
        <v>0x000CC91A,</v>
      </c>
      <c r="Z28" s="39"/>
    </row>
    <row r="29" spans="1:26">
      <c r="A29" s="20" t="s">
        <v>174</v>
      </c>
      <c r="B29" s="20"/>
      <c r="C29" s="20"/>
      <c r="D29" s="20" t="s">
        <v>191</v>
      </c>
      <c r="E29" s="20" t="s">
        <v>146</v>
      </c>
      <c r="F29" s="20" t="s">
        <v>192</v>
      </c>
      <c r="G29" s="20" t="s">
        <v>193</v>
      </c>
      <c r="H29" s="20" t="s">
        <v>194</v>
      </c>
      <c r="I29" s="20" t="s">
        <v>41</v>
      </c>
      <c r="J29" s="20" t="s">
        <v>221</v>
      </c>
      <c r="K29" s="20" t="s">
        <v>195</v>
      </c>
      <c r="L29" s="20" t="s">
        <v>196</v>
      </c>
      <c r="M29" s="20" t="s">
        <v>197</v>
      </c>
      <c r="N29" s="20" t="s">
        <v>198</v>
      </c>
      <c r="O29" s="20" t="s">
        <v>199</v>
      </c>
      <c r="P29" s="20" t="s">
        <v>200</v>
      </c>
      <c r="Q29" s="20" t="s">
        <v>201</v>
      </c>
      <c r="R29" s="20" t="s">
        <v>202</v>
      </c>
      <c r="S29" s="20">
        <v>-8</v>
      </c>
      <c r="V29" s="40">
        <v>9</v>
      </c>
      <c r="W29" s="39" t="s">
        <v>106</v>
      </c>
      <c r="X29" s="41" t="str">
        <f>J32</f>
        <v>CC76E26F</v>
      </c>
      <c r="Y29" t="str">
        <f t="shared" si="0"/>
        <v>0xCC76E26F,</v>
      </c>
      <c r="Z29" s="39" t="s">
        <v>175</v>
      </c>
    </row>
    <row r="30" spans="1:26">
      <c r="A30" s="21" t="s">
        <v>176</v>
      </c>
      <c r="B30" s="22"/>
      <c r="C30" s="22"/>
      <c r="D30" s="23" t="str">
        <f>DEC2HEX(POWER(2,0)*D6+POWER(2,6)*D5+POWER(2,12)*D4+POWER(2,18)*D3+POWER(2,23)*D2)</f>
        <v>E791A</v>
      </c>
      <c r="E30" s="23" t="str">
        <f>DEC2HEX(POWER(2,0)*E6+POWER(2,6)*E5+POWER(2,12)*E4+POWER(2,18)*E3+POWER(2,23)*E2)</f>
        <v>E791A</v>
      </c>
      <c r="F30" s="23" t="str">
        <f t="shared" ref="F30:S30" si="1">DEC2HEX(POWER(2,0)*F6+POWER(2,6)*F5+POWER(2,12)*F4+POWER(2,18)*F3+POWER(2,23)*F2)</f>
        <v>E791A</v>
      </c>
      <c r="G30" s="23" t="str">
        <f t="shared" si="1"/>
        <v>C91A</v>
      </c>
      <c r="H30" s="23" t="str">
        <f t="shared" si="1"/>
        <v>E591A</v>
      </c>
      <c r="I30" s="23" t="str">
        <f t="shared" si="1"/>
        <v>CC91A</v>
      </c>
      <c r="J30" s="23" t="str">
        <f t="shared" si="1"/>
        <v>CC91A</v>
      </c>
      <c r="K30" s="23" t="str">
        <f t="shared" si="1"/>
        <v>CC91A</v>
      </c>
      <c r="L30" s="23" t="str">
        <f t="shared" si="1"/>
        <v>CC91A</v>
      </c>
      <c r="M30" s="23" t="str">
        <f t="shared" si="1"/>
        <v>CC91A</v>
      </c>
      <c r="N30" s="23" t="str">
        <f t="shared" si="1"/>
        <v>CC91A</v>
      </c>
      <c r="O30" s="23" t="str">
        <f t="shared" si="1"/>
        <v>CC91A</v>
      </c>
      <c r="P30" s="23" t="str">
        <f t="shared" si="1"/>
        <v>CC91A</v>
      </c>
      <c r="Q30" s="23" t="str">
        <f t="shared" si="1"/>
        <v>CC91A</v>
      </c>
      <c r="R30" s="23" t="str">
        <f t="shared" si="1"/>
        <v>CC91A</v>
      </c>
      <c r="S30" s="23" t="str">
        <f t="shared" si="1"/>
        <v>CC91A</v>
      </c>
      <c r="V30" s="40"/>
      <c r="W30" s="39" t="s">
        <v>110</v>
      </c>
      <c r="X30" s="41" t="str">
        <f>J31</f>
        <v>A9BBDBDB</v>
      </c>
      <c r="Y30" t="str">
        <f t="shared" si="0"/>
        <v>0xA9BBDBDB,</v>
      </c>
      <c r="Z30" s="39"/>
    </row>
    <row r="31" spans="1:26">
      <c r="A31" s="21" t="s">
        <v>177</v>
      </c>
      <c r="B31" s="22"/>
      <c r="C31" s="22"/>
      <c r="D31" s="23" t="str">
        <f>DEC2HEX(POWER(2,0)*INT(D15/4)+POWER(2,1)*D14+POWER(2,7)*D13+POWER(2,13)*D12+POWER(2,14)*D11+POWER(2,17)*D10+POWER(2,21)*D9+POWER(2,24)*D8+POWER(2,28)*D7)</f>
        <v>A9BFDBE1</v>
      </c>
      <c r="E31" s="23" t="str">
        <f>DEC2HEX(POWER(2,0)*INT(E15/4)+POWER(2,1)*E14+POWER(2,7)*E13+POWER(2,13)*E12+POWER(2,14)*E11+POWER(2,17)*E10+POWER(2,21)*E9+POWER(2,24)*E8+POWER(2,28)*E7)</f>
        <v>A9BFDBE1</v>
      </c>
      <c r="F31" s="23" t="str">
        <f t="shared" ref="F31:S31" si="2">DEC2HEX(POWER(2,0)*INT(F15/4)+POWER(2,1)*F14+POWER(2,7)*F13+POWER(2,13)*F12+POWER(2,14)*F11+POWER(2,17)*F10+POWER(2,21)*F9+POWER(2,24)*F8+POWER(2,28)*F7)</f>
        <v>A9BFDBE1</v>
      </c>
      <c r="G31" s="23" t="str">
        <f t="shared" si="2"/>
        <v>A9BFDBDA</v>
      </c>
      <c r="H31" s="23" t="str">
        <f t="shared" si="2"/>
        <v>A9BFDBDD</v>
      </c>
      <c r="I31" s="23" t="str">
        <f t="shared" si="2"/>
        <v>A9BDDBDB</v>
      </c>
      <c r="J31" s="23" t="str">
        <f t="shared" si="2"/>
        <v>A9BBDBDB</v>
      </c>
      <c r="K31" s="23" t="str">
        <f t="shared" si="2"/>
        <v>A9B9DBDB</v>
      </c>
      <c r="L31" s="23" t="str">
        <f t="shared" si="2"/>
        <v>A9B3DBDB</v>
      </c>
      <c r="M31" s="23" t="str">
        <f t="shared" si="2"/>
        <v>A9B3DBDB</v>
      </c>
      <c r="N31" s="23" t="str">
        <f t="shared" si="2"/>
        <v>A9B1DBDB</v>
      </c>
      <c r="O31" s="23" t="str">
        <f t="shared" si="2"/>
        <v>A9B1DBDB</v>
      </c>
      <c r="P31" s="23" t="str">
        <f t="shared" si="2"/>
        <v>A9ADDBDB</v>
      </c>
      <c r="Q31" s="23" t="str">
        <f t="shared" si="2"/>
        <v>A9ADDBDB</v>
      </c>
      <c r="R31" s="23" t="str">
        <f t="shared" si="2"/>
        <v>A9A9DBDB</v>
      </c>
      <c r="S31" s="23" t="str">
        <f t="shared" si="2"/>
        <v>A9A9DBDB</v>
      </c>
      <c r="V31" s="40"/>
      <c r="W31" s="39" t="s">
        <v>113</v>
      </c>
      <c r="X31" s="41" t="str">
        <f>J30</f>
        <v>CC91A</v>
      </c>
      <c r="Y31" t="str">
        <f t="shared" si="0"/>
        <v>0x000CC91A,</v>
      </c>
      <c r="Z31" s="39"/>
    </row>
    <row r="32" spans="1:26">
      <c r="A32" s="21" t="s">
        <v>178</v>
      </c>
      <c r="B32" s="22"/>
      <c r="C32" s="22"/>
      <c r="D32" s="23" t="str">
        <f>DEC2HEX(POWER(2,0)*D25+POWER(2,5)*D24+POWER(2,10)*D23+POWER(2,12)*D22+POWER(2,13)*D21+POWER(2,17)*D20+POWER(2,20)*D19+POWER(2,21)*D18+POWER(2,22)*D17+POWER(2,26)*D16+POWER(2,30)*MOD(D15,4))</f>
        <v>CCF6831F</v>
      </c>
      <c r="E32" s="23" t="str">
        <f>DEC2HEX(POWER(2,0)*E25+POWER(2,5)*E24+POWER(2,10)*E23+POWER(2,12)*E22+POWER(2,13)*E21+POWER(2,17)*E20+POWER(2,20)*E19+POWER(2,21)*E18+POWER(2,22)*E17+POWER(2,26)*E16+POWER(2,30)*MOD(E15,4))</f>
        <v>CCF7031F</v>
      </c>
      <c r="F32" s="23" t="str">
        <f t="shared" ref="F32:S32" si="3">DEC2HEX(POWER(2,0)*F25+POWER(2,5)*F24+POWER(2,10)*F23+POWER(2,12)*F22+POWER(2,13)*F21+POWER(2,17)*F20+POWER(2,20)*F19+POWER(2,21)*F18+POWER(2,22)*F17+POWER(2,26)*F16+POWER(2,30)*MOD(F15,4))</f>
        <v>CCF74318</v>
      </c>
      <c r="G32" s="23" t="str">
        <f t="shared" si="3"/>
        <v>4C7703FD</v>
      </c>
      <c r="H32" s="23" t="str">
        <f t="shared" si="3"/>
        <v>CCF7630F</v>
      </c>
      <c r="I32" s="23" t="str">
        <f t="shared" si="3"/>
        <v>107703FF</v>
      </c>
      <c r="J32" s="23" t="str">
        <f t="shared" si="3"/>
        <v>CC76E26F</v>
      </c>
      <c r="K32" s="23" t="str">
        <f t="shared" si="3"/>
        <v>D47703FF</v>
      </c>
      <c r="L32" s="23" t="str">
        <f t="shared" si="3"/>
        <v>CC770291</v>
      </c>
      <c r="M32" s="23" t="str">
        <f t="shared" si="3"/>
        <v>D87703FE</v>
      </c>
      <c r="N32" s="23" t="str">
        <f t="shared" si="3"/>
        <v>CC77014E</v>
      </c>
      <c r="O32" s="23" t="str">
        <f t="shared" si="3"/>
        <v>D87703F6</v>
      </c>
      <c r="P32" s="23" t="str">
        <f t="shared" si="3"/>
        <v>CC77008C</v>
      </c>
      <c r="Q32" s="23" t="str">
        <f t="shared" si="3"/>
        <v>D8770353</v>
      </c>
      <c r="R32" s="23" t="str">
        <f t="shared" si="3"/>
        <v>D8770357</v>
      </c>
      <c r="S32" s="23" t="str">
        <f t="shared" si="3"/>
        <v>D8770352</v>
      </c>
      <c r="V32" s="40" t="s">
        <v>179</v>
      </c>
      <c r="W32" s="39" t="s">
        <v>106</v>
      </c>
      <c r="X32" s="41" t="str">
        <f>I32</f>
        <v>107703FF</v>
      </c>
      <c r="Y32" t="str">
        <f t="shared" si="0"/>
        <v>0x107703FF,</v>
      </c>
      <c r="Z32" s="39" t="s">
        <v>180</v>
      </c>
    </row>
    <row r="33" spans="1:26">
      <c r="A33" s="16"/>
      <c r="B33" s="16"/>
      <c r="C33" s="19"/>
      <c r="D33" s="24"/>
      <c r="E33" s="24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V33" s="40"/>
      <c r="W33" s="39" t="s">
        <v>110</v>
      </c>
      <c r="X33" s="41" t="str">
        <f>I31</f>
        <v>A9BDDBDB</v>
      </c>
      <c r="Y33" t="str">
        <f t="shared" si="0"/>
        <v>0xA9BDDBDB,</v>
      </c>
      <c r="Z33" s="39"/>
    </row>
    <row r="34" spans="1:26">
      <c r="A34" s="16"/>
      <c r="B34" s="16"/>
      <c r="C34" s="19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V34" s="40"/>
      <c r="W34" s="39" t="s">
        <v>113</v>
      </c>
      <c r="X34" s="41" t="str">
        <f>I30</f>
        <v>CC91A</v>
      </c>
      <c r="Y34" t="str">
        <f t="shared" si="0"/>
        <v>0x000CC91A,</v>
      </c>
      <c r="Z34" s="39"/>
    </row>
    <row r="35" spans="1:26">
      <c r="A35" s="16" t="s">
        <v>222</v>
      </c>
      <c r="B35" s="16"/>
      <c r="C35" s="19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V35" s="40" t="s">
        <v>181</v>
      </c>
      <c r="W35" s="39" t="s">
        <v>106</v>
      </c>
      <c r="X35" s="41" t="str">
        <f>H32</f>
        <v>CCF7630F</v>
      </c>
      <c r="Y35" t="str">
        <f t="shared" si="0"/>
        <v>0xCCF7630F,</v>
      </c>
      <c r="Z35" s="39" t="s">
        <v>182</v>
      </c>
    </row>
    <row r="36" spans="1:26">
      <c r="A36" s="16"/>
      <c r="B36" s="16"/>
      <c r="C36" s="1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V36" s="40"/>
      <c r="W36" s="39" t="s">
        <v>110</v>
      </c>
      <c r="X36" s="41" t="str">
        <f>H31</f>
        <v>A9BFDBDD</v>
      </c>
      <c r="Y36" t="str">
        <f t="shared" si="0"/>
        <v>0xA9BFDBDD,</v>
      </c>
      <c r="Z36" s="39"/>
    </row>
    <row r="37" spans="1:26">
      <c r="A37" s="16"/>
      <c r="B37" s="16"/>
      <c r="C37" s="19"/>
      <c r="D37" s="16"/>
      <c r="E37" s="16"/>
      <c r="F37" s="16"/>
      <c r="G37" s="16"/>
      <c r="H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V37" s="40"/>
      <c r="W37" s="39" t="s">
        <v>113</v>
      </c>
      <c r="X37" s="41" t="str">
        <f>H30</f>
        <v>E591A</v>
      </c>
      <c r="Y37" t="str">
        <f t="shared" si="0"/>
        <v>0x000E591A,</v>
      </c>
      <c r="Z37" s="39"/>
    </row>
    <row r="38" spans="22:26">
      <c r="V38" s="40" t="s">
        <v>183</v>
      </c>
      <c r="W38" s="39" t="s">
        <v>106</v>
      </c>
      <c r="X38" s="41" t="str">
        <f>G32</f>
        <v>4C7703FD</v>
      </c>
      <c r="Y38" t="str">
        <f t="shared" si="0"/>
        <v>0x4C7703FD,</v>
      </c>
      <c r="Z38" s="39" t="s">
        <v>184</v>
      </c>
    </row>
    <row r="39" spans="22:26">
      <c r="V39" s="40"/>
      <c r="W39" s="39" t="s">
        <v>110</v>
      </c>
      <c r="X39" s="41" t="str">
        <f>G31</f>
        <v>A9BFDBDA</v>
      </c>
      <c r="Y39" t="str">
        <f t="shared" si="0"/>
        <v>0xA9BFDBDA,</v>
      </c>
      <c r="Z39" s="39"/>
    </row>
    <row r="40" spans="22:26">
      <c r="V40" s="40"/>
      <c r="W40" s="39" t="s">
        <v>113</v>
      </c>
      <c r="X40" s="41" t="str">
        <f>G30</f>
        <v>C91A</v>
      </c>
      <c r="Y40" t="str">
        <f t="shared" si="0"/>
        <v>0x0000C91A,</v>
      </c>
      <c r="Z40" s="39"/>
    </row>
    <row r="41" spans="22:26">
      <c r="V41" s="40" t="s">
        <v>185</v>
      </c>
      <c r="W41" s="39" t="s">
        <v>106</v>
      </c>
      <c r="X41" s="41" t="str">
        <f>F32</f>
        <v>CCF74318</v>
      </c>
      <c r="Y41" t="str">
        <f t="shared" si="0"/>
        <v>0xCCF74318,</v>
      </c>
      <c r="Z41" s="39" t="s">
        <v>186</v>
      </c>
    </row>
    <row r="42" spans="1:26">
      <c r="A42" s="25"/>
      <c r="B42" s="26"/>
      <c r="C42" s="26"/>
      <c r="D42" s="27"/>
      <c r="H42" s="28"/>
      <c r="J42" s="28"/>
      <c r="K42" s="28"/>
      <c r="L42" s="28"/>
      <c r="V42" s="40"/>
      <c r="W42" s="39" t="s">
        <v>110</v>
      </c>
      <c r="X42" s="41" t="str">
        <f>F31</f>
        <v>A9BFDBE1</v>
      </c>
      <c r="Y42" t="str">
        <f t="shared" si="0"/>
        <v>0xA9BFDBE1,</v>
      </c>
      <c r="Z42" s="39"/>
    </row>
    <row r="43" spans="1:26">
      <c r="A43" s="25"/>
      <c r="B43" s="26"/>
      <c r="C43" s="26"/>
      <c r="D43" s="29"/>
      <c r="H43" s="28"/>
      <c r="J43" s="28"/>
      <c r="K43" s="28"/>
      <c r="L43" s="28"/>
      <c r="V43" s="40"/>
      <c r="W43" s="39" t="s">
        <v>113</v>
      </c>
      <c r="X43" s="41" t="str">
        <f>F30</f>
        <v>E791A</v>
      </c>
      <c r="Y43" t="str">
        <f t="shared" si="0"/>
        <v>0x000E791A,</v>
      </c>
      <c r="Z43" s="39"/>
    </row>
    <row r="44" spans="2:26">
      <c r="B44" s="26"/>
      <c r="C44" s="30"/>
      <c r="D44" s="29"/>
      <c r="E44" s="31"/>
      <c r="F44" s="31"/>
      <c r="G44" s="31"/>
      <c r="H44" s="32"/>
      <c r="J44" s="32"/>
      <c r="K44" s="32"/>
      <c r="L44" s="32"/>
      <c r="M44" s="31"/>
      <c r="N44" s="31"/>
      <c r="O44" s="31"/>
      <c r="P44" s="31"/>
      <c r="Q44" s="31"/>
      <c r="R44" s="31"/>
      <c r="S44" s="31"/>
      <c r="V44" s="40" t="s">
        <v>187</v>
      </c>
      <c r="W44" s="39" t="s">
        <v>106</v>
      </c>
      <c r="X44" s="41" t="str">
        <f>E32</f>
        <v>CCF7031F</v>
      </c>
      <c r="Y44" t="str">
        <f t="shared" si="0"/>
        <v>0xCCF7031F,</v>
      </c>
      <c r="Z44" s="39" t="s">
        <v>188</v>
      </c>
    </row>
    <row r="45" spans="2:26">
      <c r="B45" s="26"/>
      <c r="C45" s="30"/>
      <c r="D45" s="28"/>
      <c r="E45" s="31"/>
      <c r="F45" s="31"/>
      <c r="G45" s="31"/>
      <c r="H45" s="32"/>
      <c r="J45" s="32"/>
      <c r="K45" s="32"/>
      <c r="L45" s="32"/>
      <c r="M45" s="31"/>
      <c r="N45" s="31"/>
      <c r="O45" s="31"/>
      <c r="P45" s="31"/>
      <c r="Q45" s="31"/>
      <c r="R45" s="31"/>
      <c r="S45" s="31"/>
      <c r="V45" s="40"/>
      <c r="W45" s="39" t="s">
        <v>110</v>
      </c>
      <c r="X45" s="41" t="str">
        <f>E31</f>
        <v>A9BFDBE1</v>
      </c>
      <c r="Y45" t="str">
        <f t="shared" si="0"/>
        <v>0xA9BFDBE1,</v>
      </c>
      <c r="Z45" s="39"/>
    </row>
    <row r="46" spans="1:26">
      <c r="A46" s="25"/>
      <c r="B46" s="26"/>
      <c r="C46" s="30"/>
      <c r="D46" s="27"/>
      <c r="E46" s="31"/>
      <c r="F46" s="31"/>
      <c r="G46" s="31"/>
      <c r="H46" s="32"/>
      <c r="J46" s="32"/>
      <c r="K46" s="32"/>
      <c r="L46" s="32"/>
      <c r="M46" s="31"/>
      <c r="N46" s="31"/>
      <c r="O46" s="31"/>
      <c r="P46" s="31"/>
      <c r="Q46" s="31"/>
      <c r="R46" s="31"/>
      <c r="S46" s="31"/>
      <c r="V46" s="40"/>
      <c r="W46" s="39" t="s">
        <v>113</v>
      </c>
      <c r="X46" s="41" t="str">
        <f>E30</f>
        <v>E791A</v>
      </c>
      <c r="Y46" t="str">
        <f t="shared" si="0"/>
        <v>0x000E791A,</v>
      </c>
      <c r="Z46" s="39"/>
    </row>
    <row r="47" spans="1:26">
      <c r="A47" s="25"/>
      <c r="B47" s="26"/>
      <c r="D47" s="28"/>
      <c r="E47" s="33"/>
      <c r="H47" s="32"/>
      <c r="J47" s="32"/>
      <c r="K47" s="32"/>
      <c r="L47" s="32"/>
      <c r="M47" s="31"/>
      <c r="N47" s="31"/>
      <c r="O47" s="31"/>
      <c r="P47" s="31"/>
      <c r="Q47" s="31"/>
      <c r="R47" s="31"/>
      <c r="S47" s="31"/>
      <c r="V47" s="40" t="s">
        <v>189</v>
      </c>
      <c r="W47" s="39" t="s">
        <v>106</v>
      </c>
      <c r="X47" s="41" t="str">
        <f>D32</f>
        <v>CCF6831F</v>
      </c>
      <c r="Y47" t="str">
        <f t="shared" si="0"/>
        <v>0xCCF6831F,</v>
      </c>
      <c r="Z47" s="39" t="s">
        <v>190</v>
      </c>
    </row>
    <row r="48" spans="1:26">
      <c r="A48" s="25"/>
      <c r="B48" s="26"/>
      <c r="C48" s="30"/>
      <c r="D48" s="17"/>
      <c r="E48" s="34"/>
      <c r="H48" s="32"/>
      <c r="J48" s="32"/>
      <c r="K48" s="32"/>
      <c r="L48" s="32"/>
      <c r="M48" s="31"/>
      <c r="N48" s="31"/>
      <c r="O48" s="31"/>
      <c r="P48" s="31"/>
      <c r="Q48" s="31"/>
      <c r="R48" s="31"/>
      <c r="S48" s="31"/>
      <c r="V48" s="39"/>
      <c r="W48" s="39" t="s">
        <v>110</v>
      </c>
      <c r="X48" s="41" t="str">
        <f>D31</f>
        <v>A9BFDBE1</v>
      </c>
      <c r="Y48" t="str">
        <f t="shared" si="0"/>
        <v>0xA9BFDBE1,</v>
      </c>
      <c r="Z48" s="39"/>
    </row>
    <row r="49" spans="1:26">
      <c r="A49" s="25"/>
      <c r="B49" s="26"/>
      <c r="C49" s="30"/>
      <c r="D49" s="17"/>
      <c r="E49" s="34"/>
      <c r="H49" s="32"/>
      <c r="J49" s="32"/>
      <c r="K49" s="32"/>
      <c r="L49" s="32"/>
      <c r="M49" s="31"/>
      <c r="N49" s="31"/>
      <c r="O49" s="31"/>
      <c r="P49" s="31"/>
      <c r="Q49" s="31"/>
      <c r="R49" s="31"/>
      <c r="S49" s="31"/>
      <c r="V49" s="39"/>
      <c r="W49" s="39" t="s">
        <v>113</v>
      </c>
      <c r="X49" s="41" t="str">
        <f>D30</f>
        <v>E791A</v>
      </c>
      <c r="Y49" t="str">
        <f t="shared" si="0"/>
        <v>0x000E791A,</v>
      </c>
      <c r="Z49" s="39"/>
    </row>
    <row r="50" spans="1:12">
      <c r="A50" s="25"/>
      <c r="B50" s="26"/>
      <c r="C50" s="30"/>
      <c r="D50" s="17"/>
      <c r="E50" s="34"/>
      <c r="H50" s="28"/>
      <c r="J50" s="28"/>
      <c r="K50" s="28"/>
      <c r="L50" s="28"/>
    </row>
    <row r="51" spans="1:12">
      <c r="A51" s="25"/>
      <c r="B51" s="29"/>
      <c r="C51" s="30"/>
      <c r="D51" s="16"/>
      <c r="H51" s="28"/>
      <c r="J51" s="28"/>
      <c r="K51" s="28"/>
      <c r="L51" s="28"/>
    </row>
    <row r="52" spans="1:12">
      <c r="A52" s="25"/>
      <c r="B52" s="29"/>
      <c r="C52" s="30"/>
      <c r="D52" s="31"/>
      <c r="E52" s="35"/>
      <c r="H52" s="28"/>
      <c r="J52" s="28"/>
      <c r="K52" s="28"/>
      <c r="L52" s="28"/>
    </row>
    <row r="53" spans="1:12">
      <c r="A53" s="25"/>
      <c r="B53" s="29"/>
      <c r="C53" s="30"/>
      <c r="D53" s="31"/>
      <c r="H53" s="28"/>
      <c r="J53" s="28"/>
      <c r="K53" s="28"/>
      <c r="L53" s="28"/>
    </row>
    <row r="54" spans="1:12">
      <c r="A54" s="25"/>
      <c r="B54" s="29"/>
      <c r="C54" s="30"/>
      <c r="D54" s="31"/>
      <c r="H54" s="28"/>
      <c r="J54" s="28"/>
      <c r="K54" s="28"/>
      <c r="L54" s="28"/>
    </row>
    <row r="55" spans="1:12">
      <c r="A55" s="25"/>
      <c r="B55" s="29"/>
      <c r="C55" s="30"/>
      <c r="H55" s="28"/>
      <c r="J55" s="28"/>
      <c r="K55" s="28"/>
      <c r="L55" s="28"/>
    </row>
    <row r="56" spans="1:12">
      <c r="A56" s="25"/>
      <c r="B56" s="29"/>
      <c r="C56" s="30"/>
      <c r="H56" s="28"/>
      <c r="J56" s="28"/>
      <c r="K56" s="28"/>
      <c r="L56" s="28"/>
    </row>
    <row r="57" spans="1:12">
      <c r="A57" s="25"/>
      <c r="B57" s="26"/>
      <c r="H57" s="28"/>
      <c r="J57" s="28"/>
      <c r="K57" s="28"/>
      <c r="L57" s="28"/>
    </row>
    <row r="58" spans="1:12">
      <c r="A58" s="25"/>
      <c r="B58" s="26"/>
      <c r="H58" s="28"/>
      <c r="J58" s="28"/>
      <c r="K58" s="28"/>
      <c r="L58" s="28"/>
    </row>
    <row r="59" spans="1:12">
      <c r="A59" s="25"/>
      <c r="B59" s="26"/>
      <c r="H59" s="28"/>
      <c r="J59" s="28"/>
      <c r="K59" s="28"/>
      <c r="L59" s="28"/>
    </row>
    <row r="60" spans="1:12">
      <c r="A60" s="25"/>
      <c r="B60" s="26"/>
      <c r="H60" s="28"/>
      <c r="J60" s="28"/>
      <c r="K60" s="28"/>
      <c r="L60" s="28"/>
    </row>
    <row r="61" spans="1:12">
      <c r="A61" s="27"/>
      <c r="C61" s="27"/>
      <c r="D61" s="27"/>
      <c r="H61" s="28"/>
      <c r="J61" s="28"/>
      <c r="K61" s="28"/>
      <c r="L61" s="28"/>
    </row>
    <row r="62" spans="1:12">
      <c r="A62" s="27"/>
      <c r="C62" s="27"/>
      <c r="D62" s="27"/>
      <c r="H62" s="28"/>
      <c r="J62" s="28"/>
      <c r="K62" s="28"/>
      <c r="L62" s="28"/>
    </row>
    <row r="63" spans="1:12">
      <c r="A63" s="27"/>
      <c r="C63" s="27"/>
      <c r="D63" s="27"/>
      <c r="H63" s="28"/>
      <c r="I63" s="28"/>
      <c r="J63" s="28"/>
      <c r="K63" s="28"/>
      <c r="L63" s="28"/>
    </row>
    <row r="64" spans="3:12">
      <c r="C64" s="32"/>
      <c r="D64" s="32"/>
      <c r="H64" s="28"/>
      <c r="I64" s="28"/>
      <c r="J64" s="28"/>
      <c r="K64" s="28"/>
      <c r="L64" s="28"/>
    </row>
    <row r="65" spans="3:12">
      <c r="C65" s="32"/>
      <c r="D65" s="32"/>
      <c r="H65" s="28"/>
      <c r="I65" s="28"/>
      <c r="J65" s="28"/>
      <c r="K65" s="28"/>
      <c r="L65" s="28"/>
    </row>
    <row r="66" spans="3:12">
      <c r="C66" s="32"/>
      <c r="D66" s="32"/>
      <c r="H66" s="28"/>
      <c r="I66" s="28"/>
      <c r="J66" s="28"/>
      <c r="K66" s="28"/>
      <c r="L66" s="28"/>
    </row>
    <row r="67" spans="3:12">
      <c r="C67" s="42"/>
      <c r="D67" s="29"/>
      <c r="H67" s="28"/>
      <c r="I67" s="28"/>
      <c r="J67" s="28"/>
      <c r="K67" s="28"/>
      <c r="L67" s="28"/>
    </row>
    <row r="68" spans="3:12">
      <c r="C68" s="32"/>
      <c r="D68" s="32"/>
      <c r="H68" s="28"/>
      <c r="I68" s="28"/>
      <c r="J68" s="28"/>
      <c r="K68" s="28"/>
      <c r="L68" s="28"/>
    </row>
    <row r="69" spans="3:12">
      <c r="C69" s="28"/>
      <c r="D69" s="28"/>
      <c r="H69" s="28"/>
      <c r="I69" s="28"/>
      <c r="J69" s="28"/>
      <c r="K69" s="28"/>
      <c r="L69" s="28"/>
    </row>
    <row r="70" spans="3:12">
      <c r="C70" s="27"/>
      <c r="D70" s="27"/>
      <c r="H70" s="28"/>
      <c r="I70" s="28"/>
      <c r="J70" s="28"/>
      <c r="K70" s="28"/>
      <c r="L70" s="28"/>
    </row>
    <row r="71" spans="3:12">
      <c r="C71" s="27"/>
      <c r="D71" s="43"/>
      <c r="H71" s="28"/>
      <c r="I71" s="28"/>
      <c r="J71" s="28"/>
      <c r="K71" s="28"/>
      <c r="L71" s="28"/>
    </row>
    <row r="72" spans="3:12">
      <c r="C72" s="27"/>
      <c r="D72" s="27"/>
      <c r="H72" s="28"/>
      <c r="I72" s="28"/>
      <c r="J72" s="28"/>
      <c r="K72" s="28"/>
      <c r="L72" s="28"/>
    </row>
    <row r="73" spans="3:12">
      <c r="C73" s="27"/>
      <c r="D73" s="27"/>
      <c r="H73" s="28"/>
      <c r="I73" s="28"/>
      <c r="J73" s="28"/>
      <c r="K73" s="28"/>
      <c r="L73" s="28"/>
    </row>
    <row r="74" spans="3:12">
      <c r="C74" s="27"/>
      <c r="D74" s="27"/>
      <c r="H74" s="28"/>
      <c r="I74" s="28"/>
      <c r="J74" s="28"/>
      <c r="K74" s="28"/>
      <c r="L74" s="28"/>
    </row>
    <row r="75" spans="2:12">
      <c r="B75" s="28"/>
      <c r="C75" s="27"/>
      <c r="D75" s="27"/>
      <c r="H75" s="28"/>
      <c r="I75" s="28"/>
      <c r="J75" s="28"/>
      <c r="K75" s="28"/>
      <c r="L75" s="28"/>
    </row>
    <row r="76" spans="2:12">
      <c r="B76" s="28"/>
      <c r="D76" s="28"/>
      <c r="H76" s="28"/>
      <c r="I76" s="28"/>
      <c r="J76" s="28"/>
      <c r="K76" s="28"/>
      <c r="L76" s="28"/>
    </row>
    <row r="77" spans="2:12">
      <c r="B77" s="28"/>
      <c r="D77" s="28"/>
      <c r="H77" s="28"/>
      <c r="I77" s="28"/>
      <c r="J77" s="28"/>
      <c r="K77" s="28"/>
      <c r="L77" s="28"/>
    </row>
    <row r="78" spans="8:12">
      <c r="H78" s="28"/>
      <c r="I78" s="28"/>
      <c r="J78" s="28"/>
      <c r="K78" s="28"/>
      <c r="L78" s="28"/>
    </row>
    <row r="79" spans="8:12">
      <c r="H79" s="28"/>
      <c r="I79" s="28"/>
      <c r="J79" s="28"/>
      <c r="K79" s="28"/>
      <c r="L79" s="28"/>
    </row>
    <row r="80" spans="2:12">
      <c r="B80" s="44"/>
      <c r="C80" s="44"/>
      <c r="D80" s="44"/>
      <c r="E80" s="44"/>
      <c r="F80" s="44"/>
      <c r="G80" s="44"/>
      <c r="H80" s="28"/>
      <c r="I80" s="28"/>
      <c r="J80" s="28"/>
      <c r="K80" s="28"/>
      <c r="L80" s="28"/>
    </row>
  </sheetData>
  <sortState ref="A38:D60">
    <sortCondition ref="A38" descending="1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D22" sqref="D22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6" t="s">
        <v>94</v>
      </c>
      <c r="B1" s="6" t="s">
        <v>95</v>
      </c>
      <c r="C1" s="6" t="s">
        <v>96</v>
      </c>
      <c r="D1" s="6" t="s">
        <v>97</v>
      </c>
      <c r="E1" s="6" t="s">
        <v>98</v>
      </c>
      <c r="F1" s="6" t="s">
        <v>99</v>
      </c>
      <c r="G1" s="6" t="s">
        <v>100</v>
      </c>
      <c r="H1" s="6" t="s">
        <v>101</v>
      </c>
      <c r="I1" s="6" t="s">
        <v>102</v>
      </c>
      <c r="J1" s="6">
        <v>9</v>
      </c>
      <c r="K1" s="6">
        <v>8</v>
      </c>
      <c r="L1" s="6">
        <v>7</v>
      </c>
      <c r="M1" s="6">
        <v>6</v>
      </c>
      <c r="N1" s="6">
        <v>5</v>
      </c>
      <c r="O1" s="6">
        <v>4</v>
      </c>
      <c r="P1" s="6">
        <v>3</v>
      </c>
      <c r="Q1" s="6">
        <v>2</v>
      </c>
      <c r="R1" s="6">
        <v>1</v>
      </c>
      <c r="S1" s="6">
        <v>0</v>
      </c>
      <c r="V1" s="39" t="s">
        <v>103</v>
      </c>
      <c r="W1" s="39"/>
      <c r="X1" s="39"/>
    </row>
    <row r="2" spans="1:26">
      <c r="A2" s="7" t="s">
        <v>104</v>
      </c>
      <c r="B2" s="8" t="s">
        <v>105</v>
      </c>
      <c r="C2" s="9">
        <v>9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36">
        <v>0</v>
      </c>
      <c r="J2" s="36">
        <v>0</v>
      </c>
      <c r="K2" s="36">
        <v>0</v>
      </c>
      <c r="L2" s="36">
        <v>0</v>
      </c>
      <c r="M2" s="36">
        <v>0</v>
      </c>
      <c r="N2" s="36">
        <v>0</v>
      </c>
      <c r="O2" s="36">
        <v>0</v>
      </c>
      <c r="P2" s="36">
        <v>0</v>
      </c>
      <c r="Q2" s="36">
        <v>0</v>
      </c>
      <c r="R2" s="36">
        <v>0</v>
      </c>
      <c r="S2" s="36">
        <v>0</v>
      </c>
      <c r="V2" s="40">
        <v>0</v>
      </c>
      <c r="W2" s="39" t="s">
        <v>106</v>
      </c>
      <c r="X2" s="41" t="str">
        <f>S32</f>
        <v>D8770352</v>
      </c>
      <c r="Y2" t="str">
        <f t="shared" ref="Y2:Y49" si="0">"0x"&amp;RIGHT("00000000"&amp;X2,8)&amp;","</f>
        <v>0xD8770352,</v>
      </c>
      <c r="Z2" s="39" t="s">
        <v>107</v>
      </c>
    </row>
    <row r="3" spans="1:26">
      <c r="A3" s="11" t="s">
        <v>108</v>
      </c>
      <c r="B3" s="12" t="s">
        <v>109</v>
      </c>
      <c r="C3" s="9">
        <v>5</v>
      </c>
      <c r="D3" s="13">
        <v>5</v>
      </c>
      <c r="E3" s="13">
        <v>5</v>
      </c>
      <c r="F3" s="13">
        <v>5</v>
      </c>
      <c r="G3" s="13">
        <v>5</v>
      </c>
      <c r="H3" s="13">
        <v>5</v>
      </c>
      <c r="I3" s="36">
        <v>5</v>
      </c>
      <c r="J3" s="36">
        <v>5</v>
      </c>
      <c r="K3" s="36">
        <v>5</v>
      </c>
      <c r="L3" s="36">
        <v>5</v>
      </c>
      <c r="M3" s="36">
        <v>5</v>
      </c>
      <c r="N3" s="36">
        <v>5</v>
      </c>
      <c r="O3" s="36">
        <v>5</v>
      </c>
      <c r="P3" s="36">
        <v>5</v>
      </c>
      <c r="Q3" s="36">
        <v>5</v>
      </c>
      <c r="R3" s="36">
        <v>5</v>
      </c>
      <c r="S3" s="36">
        <v>5</v>
      </c>
      <c r="V3" s="40"/>
      <c r="W3" s="39" t="s">
        <v>110</v>
      </c>
      <c r="X3" s="41" t="str">
        <f>S31</f>
        <v>A9A9DBDB</v>
      </c>
      <c r="Y3" t="str">
        <f t="shared" si="0"/>
        <v>0xA9A9DBDB,</v>
      </c>
      <c r="Z3" s="39"/>
    </row>
    <row r="4" spans="1:26">
      <c r="A4" s="11" t="s">
        <v>111</v>
      </c>
      <c r="B4" s="12" t="s">
        <v>112</v>
      </c>
      <c r="C4" s="9">
        <v>6</v>
      </c>
      <c r="D4" s="13">
        <v>22</v>
      </c>
      <c r="E4" s="13">
        <v>18</v>
      </c>
      <c r="F4" s="13">
        <v>12</v>
      </c>
      <c r="G4" s="13">
        <v>12</v>
      </c>
      <c r="H4" s="13">
        <v>12</v>
      </c>
      <c r="I4" s="37">
        <v>12</v>
      </c>
      <c r="J4" s="37">
        <v>12</v>
      </c>
      <c r="K4" s="37">
        <v>12</v>
      </c>
      <c r="L4" s="37">
        <v>12</v>
      </c>
      <c r="M4" s="37">
        <v>12</v>
      </c>
      <c r="N4" s="37">
        <v>12</v>
      </c>
      <c r="O4" s="37">
        <v>12</v>
      </c>
      <c r="P4" s="37">
        <v>12</v>
      </c>
      <c r="Q4" s="37">
        <v>12</v>
      </c>
      <c r="R4" s="37">
        <v>12</v>
      </c>
      <c r="S4" s="37">
        <v>12</v>
      </c>
      <c r="V4" s="40"/>
      <c r="W4" s="39" t="s">
        <v>113</v>
      </c>
      <c r="X4" s="41" t="str">
        <f>S30</f>
        <v>14C91A</v>
      </c>
      <c r="Y4" t="str">
        <f t="shared" si="0"/>
        <v>0x0014C91A,</v>
      </c>
      <c r="Z4" s="39"/>
    </row>
    <row r="5" spans="1:26">
      <c r="A5" s="11" t="s">
        <v>114</v>
      </c>
      <c r="B5" s="12" t="s">
        <v>115</v>
      </c>
      <c r="C5" s="9">
        <v>6</v>
      </c>
      <c r="D5" s="13">
        <v>63</v>
      </c>
      <c r="E5" s="13">
        <v>63</v>
      </c>
      <c r="F5" s="13">
        <v>62</v>
      </c>
      <c r="G5" s="13">
        <v>62</v>
      </c>
      <c r="H5" s="13">
        <v>62</v>
      </c>
      <c r="I5" s="37">
        <v>36</v>
      </c>
      <c r="J5" s="37">
        <v>36</v>
      </c>
      <c r="K5" s="37">
        <v>36</v>
      </c>
      <c r="L5" s="37">
        <v>36</v>
      </c>
      <c r="M5" s="37">
        <v>36</v>
      </c>
      <c r="N5" s="37">
        <v>36</v>
      </c>
      <c r="O5" s="37">
        <v>36</v>
      </c>
      <c r="P5" s="37">
        <v>36</v>
      </c>
      <c r="Q5" s="37">
        <v>36</v>
      </c>
      <c r="R5" s="37">
        <v>36</v>
      </c>
      <c r="S5" s="37">
        <v>36</v>
      </c>
      <c r="V5" s="40">
        <v>1</v>
      </c>
      <c r="W5" s="39" t="s">
        <v>106</v>
      </c>
      <c r="X5" s="41" t="str">
        <f>R32</f>
        <v>D8770357</v>
      </c>
      <c r="Y5" t="str">
        <f t="shared" si="0"/>
        <v>0xD8770357,</v>
      </c>
      <c r="Z5" s="39" t="s">
        <v>116</v>
      </c>
    </row>
    <row r="6" spans="1:26">
      <c r="A6" s="11" t="s">
        <v>117</v>
      </c>
      <c r="B6" s="12" t="s">
        <v>118</v>
      </c>
      <c r="C6" s="9">
        <v>6</v>
      </c>
      <c r="D6" s="13">
        <v>26</v>
      </c>
      <c r="E6" s="13">
        <v>26</v>
      </c>
      <c r="F6" s="13">
        <v>26</v>
      </c>
      <c r="G6" s="13">
        <v>26</v>
      </c>
      <c r="H6" s="13">
        <v>26</v>
      </c>
      <c r="I6" s="37">
        <v>26</v>
      </c>
      <c r="J6" s="37">
        <v>26</v>
      </c>
      <c r="K6" s="37">
        <v>26</v>
      </c>
      <c r="L6" s="37">
        <v>26</v>
      </c>
      <c r="M6" s="37">
        <v>26</v>
      </c>
      <c r="N6" s="37">
        <v>26</v>
      </c>
      <c r="O6" s="37">
        <v>26</v>
      </c>
      <c r="P6" s="37">
        <v>26</v>
      </c>
      <c r="Q6" s="37">
        <v>26</v>
      </c>
      <c r="R6" s="37">
        <v>26</v>
      </c>
      <c r="S6" s="37">
        <v>26</v>
      </c>
      <c r="V6" s="40"/>
      <c r="W6" s="39" t="s">
        <v>110</v>
      </c>
      <c r="X6" s="41" t="str">
        <f>R31</f>
        <v>A9A9DBDB</v>
      </c>
      <c r="Y6" t="str">
        <f t="shared" si="0"/>
        <v>0xA9A9DBDB,</v>
      </c>
      <c r="Z6" s="39"/>
    </row>
    <row r="7" spans="1:26">
      <c r="A7" s="7" t="s">
        <v>119</v>
      </c>
      <c r="B7" s="12" t="s">
        <v>120</v>
      </c>
      <c r="C7" s="9">
        <v>4</v>
      </c>
      <c r="D7" s="13">
        <v>10</v>
      </c>
      <c r="E7" s="13">
        <v>10</v>
      </c>
      <c r="F7" s="13">
        <v>10</v>
      </c>
      <c r="G7" s="13">
        <v>10</v>
      </c>
      <c r="H7" s="13">
        <v>10</v>
      </c>
      <c r="I7" s="37">
        <v>10</v>
      </c>
      <c r="J7" s="37">
        <v>10</v>
      </c>
      <c r="K7" s="37">
        <v>10</v>
      </c>
      <c r="L7" s="37">
        <v>10</v>
      </c>
      <c r="M7" s="37">
        <v>10</v>
      </c>
      <c r="N7" s="37">
        <v>10</v>
      </c>
      <c r="O7" s="37">
        <v>10</v>
      </c>
      <c r="P7" s="37">
        <v>10</v>
      </c>
      <c r="Q7" s="37">
        <v>10</v>
      </c>
      <c r="R7" s="37">
        <v>10</v>
      </c>
      <c r="S7" s="37">
        <v>10</v>
      </c>
      <c r="V7" s="40"/>
      <c r="W7" s="39" t="s">
        <v>113</v>
      </c>
      <c r="X7" s="41" t="str">
        <f>R30</f>
        <v>14C91A</v>
      </c>
      <c r="Y7" t="str">
        <f t="shared" si="0"/>
        <v>0x0014C91A,</v>
      </c>
      <c r="Z7" s="39"/>
    </row>
    <row r="8" spans="1:26">
      <c r="A8" s="7" t="s">
        <v>121</v>
      </c>
      <c r="B8" s="12" t="s">
        <v>122</v>
      </c>
      <c r="C8" s="9">
        <v>4</v>
      </c>
      <c r="D8" s="13">
        <v>9</v>
      </c>
      <c r="E8" s="13">
        <v>9</v>
      </c>
      <c r="F8" s="13">
        <v>9</v>
      </c>
      <c r="G8" s="13">
        <v>9</v>
      </c>
      <c r="H8" s="13">
        <v>9</v>
      </c>
      <c r="I8" s="37">
        <v>9</v>
      </c>
      <c r="J8" s="37">
        <v>9</v>
      </c>
      <c r="K8" s="37">
        <v>9</v>
      </c>
      <c r="L8" s="37">
        <v>9</v>
      </c>
      <c r="M8" s="37">
        <v>9</v>
      </c>
      <c r="N8" s="37">
        <v>9</v>
      </c>
      <c r="O8" s="37">
        <v>9</v>
      </c>
      <c r="P8" s="37">
        <v>9</v>
      </c>
      <c r="Q8" s="37">
        <v>9</v>
      </c>
      <c r="R8" s="37">
        <v>9</v>
      </c>
      <c r="S8" s="37">
        <v>9</v>
      </c>
      <c r="V8" s="40">
        <v>2</v>
      </c>
      <c r="W8" s="39" t="s">
        <v>106</v>
      </c>
      <c r="X8" s="41" t="str">
        <f>Q32</f>
        <v>D8770353</v>
      </c>
      <c r="Y8" t="str">
        <f t="shared" si="0"/>
        <v>0xD8770353,</v>
      </c>
      <c r="Z8" s="39" t="s">
        <v>123</v>
      </c>
    </row>
    <row r="9" spans="1:26">
      <c r="A9" s="14" t="s">
        <v>124</v>
      </c>
      <c r="B9" s="12" t="s">
        <v>125</v>
      </c>
      <c r="C9" s="9">
        <v>3</v>
      </c>
      <c r="D9" s="13">
        <v>5</v>
      </c>
      <c r="E9" s="13">
        <v>5</v>
      </c>
      <c r="F9" s="13">
        <v>5</v>
      </c>
      <c r="G9" s="13">
        <v>5</v>
      </c>
      <c r="H9" s="13">
        <v>5</v>
      </c>
      <c r="I9" s="37">
        <v>5</v>
      </c>
      <c r="J9" s="37">
        <v>5</v>
      </c>
      <c r="K9" s="37">
        <v>5</v>
      </c>
      <c r="L9" s="37">
        <v>5</v>
      </c>
      <c r="M9" s="37">
        <v>5</v>
      </c>
      <c r="N9" s="37">
        <v>5</v>
      </c>
      <c r="O9" s="37">
        <v>5</v>
      </c>
      <c r="P9" s="37">
        <v>5</v>
      </c>
      <c r="Q9" s="37">
        <v>5</v>
      </c>
      <c r="R9" s="37">
        <v>5</v>
      </c>
      <c r="S9" s="37">
        <v>5</v>
      </c>
      <c r="V9" s="40"/>
      <c r="W9" s="39" t="s">
        <v>110</v>
      </c>
      <c r="X9" s="41" t="str">
        <f>Q31</f>
        <v>A9ADDBDB</v>
      </c>
      <c r="Y9" t="str">
        <f t="shared" si="0"/>
        <v>0xA9ADDBDB,</v>
      </c>
      <c r="Z9" s="39"/>
    </row>
    <row r="10" spans="1:26">
      <c r="A10" s="14" t="s">
        <v>126</v>
      </c>
      <c r="B10" s="12" t="s">
        <v>127</v>
      </c>
      <c r="C10" s="9">
        <v>4</v>
      </c>
      <c r="D10" s="13">
        <v>15</v>
      </c>
      <c r="E10" s="13">
        <v>15</v>
      </c>
      <c r="F10" s="13">
        <v>15</v>
      </c>
      <c r="G10" s="13">
        <v>15</v>
      </c>
      <c r="H10" s="13">
        <v>14</v>
      </c>
      <c r="I10" s="37">
        <v>14</v>
      </c>
      <c r="J10" s="37">
        <v>12</v>
      </c>
      <c r="K10" s="37">
        <v>12</v>
      </c>
      <c r="L10" s="37">
        <v>9</v>
      </c>
      <c r="M10" s="37">
        <v>9</v>
      </c>
      <c r="N10" s="37">
        <v>8</v>
      </c>
      <c r="O10" s="37">
        <v>8</v>
      </c>
      <c r="P10" s="37">
        <v>6</v>
      </c>
      <c r="Q10" s="37">
        <v>6</v>
      </c>
      <c r="R10" s="37">
        <v>4</v>
      </c>
      <c r="S10" s="37">
        <v>4</v>
      </c>
      <c r="V10" s="40"/>
      <c r="W10" s="39" t="s">
        <v>113</v>
      </c>
      <c r="X10" s="41" t="str">
        <f>Q30</f>
        <v>14C91A</v>
      </c>
      <c r="Y10" t="str">
        <f t="shared" si="0"/>
        <v>0x0014C91A,</v>
      </c>
      <c r="Z10" s="39"/>
    </row>
    <row r="11" spans="1:26">
      <c r="A11" s="14" t="s">
        <v>128</v>
      </c>
      <c r="B11" s="12" t="s">
        <v>129</v>
      </c>
      <c r="C11" s="9">
        <v>3</v>
      </c>
      <c r="D11" s="13">
        <v>7</v>
      </c>
      <c r="E11" s="13">
        <v>7</v>
      </c>
      <c r="F11" s="13">
        <v>7</v>
      </c>
      <c r="G11" s="13">
        <v>7</v>
      </c>
      <c r="H11" s="13">
        <v>7</v>
      </c>
      <c r="I11" s="37">
        <v>7</v>
      </c>
      <c r="J11" s="37">
        <v>7</v>
      </c>
      <c r="K11" s="37">
        <v>7</v>
      </c>
      <c r="L11" s="37">
        <v>7</v>
      </c>
      <c r="M11" s="37">
        <v>7</v>
      </c>
      <c r="N11" s="37">
        <v>7</v>
      </c>
      <c r="O11" s="37">
        <v>7</v>
      </c>
      <c r="P11" s="37">
        <v>7</v>
      </c>
      <c r="Q11" s="37">
        <v>7</v>
      </c>
      <c r="R11" s="37">
        <v>7</v>
      </c>
      <c r="S11" s="37">
        <v>7</v>
      </c>
      <c r="V11" s="40">
        <v>3</v>
      </c>
      <c r="W11" s="39" t="s">
        <v>106</v>
      </c>
      <c r="X11" s="41" t="str">
        <f>P32</f>
        <v>D87703D8</v>
      </c>
      <c r="Y11" t="str">
        <f t="shared" si="0"/>
        <v>0xD87703D8,</v>
      </c>
      <c r="Z11" s="39" t="s">
        <v>130</v>
      </c>
    </row>
    <row r="12" spans="1:26">
      <c r="A12" s="11" t="s">
        <v>131</v>
      </c>
      <c r="B12" s="12" t="s">
        <v>132</v>
      </c>
      <c r="C12" s="9">
        <v>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V12" s="40"/>
      <c r="W12" s="39" t="s">
        <v>110</v>
      </c>
      <c r="X12" s="41" t="str">
        <f>P31</f>
        <v>A9ADDBDB</v>
      </c>
      <c r="Y12" t="str">
        <f t="shared" si="0"/>
        <v>0xA9ADDBDB,</v>
      </c>
      <c r="Z12" s="39"/>
    </row>
    <row r="13" spans="1:26">
      <c r="A13" s="14" t="s">
        <v>133</v>
      </c>
      <c r="B13" s="12" t="s">
        <v>134</v>
      </c>
      <c r="C13" s="9">
        <v>6</v>
      </c>
      <c r="D13" s="13">
        <v>55</v>
      </c>
      <c r="E13" s="13">
        <v>55</v>
      </c>
      <c r="F13" s="13">
        <v>55</v>
      </c>
      <c r="G13" s="13">
        <v>55</v>
      </c>
      <c r="H13" s="13">
        <v>55</v>
      </c>
      <c r="I13" s="37">
        <v>55</v>
      </c>
      <c r="J13" s="37">
        <v>55</v>
      </c>
      <c r="K13" s="37">
        <v>55</v>
      </c>
      <c r="L13" s="37">
        <v>55</v>
      </c>
      <c r="M13" s="37">
        <v>55</v>
      </c>
      <c r="N13" s="37">
        <v>55</v>
      </c>
      <c r="O13" s="37">
        <v>55</v>
      </c>
      <c r="P13" s="37">
        <v>55</v>
      </c>
      <c r="Q13" s="37">
        <v>55</v>
      </c>
      <c r="R13" s="37">
        <v>55</v>
      </c>
      <c r="S13" s="37">
        <v>55</v>
      </c>
      <c r="V13" s="40"/>
      <c r="W13" s="39" t="s">
        <v>113</v>
      </c>
      <c r="X13" s="41" t="str">
        <f>P30</f>
        <v>14C91A</v>
      </c>
      <c r="Y13" t="str">
        <f t="shared" si="0"/>
        <v>0x0014C91A,</v>
      </c>
      <c r="Z13" s="39"/>
    </row>
    <row r="14" spans="1:26">
      <c r="A14" s="14" t="s">
        <v>135</v>
      </c>
      <c r="B14" s="12" t="s">
        <v>136</v>
      </c>
      <c r="C14" s="9">
        <v>6</v>
      </c>
      <c r="D14" s="13">
        <v>45</v>
      </c>
      <c r="E14" s="13">
        <v>45</v>
      </c>
      <c r="F14" s="13">
        <v>45</v>
      </c>
      <c r="G14" s="13">
        <v>45</v>
      </c>
      <c r="H14" s="13">
        <v>45</v>
      </c>
      <c r="I14" s="37">
        <v>45</v>
      </c>
      <c r="J14" s="37">
        <v>45</v>
      </c>
      <c r="K14" s="37">
        <v>45</v>
      </c>
      <c r="L14" s="37">
        <v>45</v>
      </c>
      <c r="M14" s="37">
        <v>45</v>
      </c>
      <c r="N14" s="37">
        <v>45</v>
      </c>
      <c r="O14" s="37">
        <v>45</v>
      </c>
      <c r="P14" s="37">
        <v>45</v>
      </c>
      <c r="Q14" s="37">
        <v>45</v>
      </c>
      <c r="R14" s="37">
        <v>45</v>
      </c>
      <c r="S14" s="37">
        <v>45</v>
      </c>
      <c r="V14" s="40">
        <v>4</v>
      </c>
      <c r="W14" s="39" t="s">
        <v>106</v>
      </c>
      <c r="X14" s="41" t="str">
        <f>O32</f>
        <v>D87703F6</v>
      </c>
      <c r="Y14" t="str">
        <f t="shared" si="0"/>
        <v>0xD87703F6,</v>
      </c>
      <c r="Z14" s="39" t="s">
        <v>137</v>
      </c>
    </row>
    <row r="15" spans="1:26">
      <c r="A15" s="14" t="s">
        <v>138</v>
      </c>
      <c r="B15" s="12" t="s">
        <v>139</v>
      </c>
      <c r="C15" s="9">
        <v>3</v>
      </c>
      <c r="D15" s="13">
        <v>7</v>
      </c>
      <c r="E15" s="13">
        <v>7</v>
      </c>
      <c r="F15" s="13">
        <v>1</v>
      </c>
      <c r="G15" s="13">
        <v>1</v>
      </c>
      <c r="H15" s="13">
        <v>7</v>
      </c>
      <c r="I15" s="37">
        <v>4</v>
      </c>
      <c r="J15" s="37">
        <v>7</v>
      </c>
      <c r="K15" s="37">
        <v>7</v>
      </c>
      <c r="L15" s="37">
        <v>7</v>
      </c>
      <c r="M15" s="37">
        <v>7</v>
      </c>
      <c r="N15" s="37">
        <v>7</v>
      </c>
      <c r="O15" s="37">
        <v>7</v>
      </c>
      <c r="P15" s="37">
        <v>7</v>
      </c>
      <c r="Q15" s="37">
        <v>7</v>
      </c>
      <c r="R15" s="37">
        <v>7</v>
      </c>
      <c r="S15" s="37">
        <v>7</v>
      </c>
      <c r="V15" s="40"/>
      <c r="W15" s="39" t="s">
        <v>110</v>
      </c>
      <c r="X15" s="41" t="str">
        <f>O31</f>
        <v>A9B1DBDB</v>
      </c>
      <c r="Y15" t="str">
        <f t="shared" si="0"/>
        <v>0xA9B1DBDB,</v>
      </c>
      <c r="Z15" s="39"/>
    </row>
    <row r="16" spans="1:26">
      <c r="A16" s="14" t="s">
        <v>140</v>
      </c>
      <c r="B16" s="15" t="s">
        <v>141</v>
      </c>
      <c r="C16" s="9">
        <v>4</v>
      </c>
      <c r="D16" s="13">
        <v>2</v>
      </c>
      <c r="E16" s="13">
        <v>3</v>
      </c>
      <c r="F16" s="13">
        <v>2</v>
      </c>
      <c r="G16" s="13">
        <v>3</v>
      </c>
      <c r="H16" s="13">
        <v>3</v>
      </c>
      <c r="I16" s="37">
        <v>4</v>
      </c>
      <c r="J16" s="37">
        <v>5</v>
      </c>
      <c r="K16" s="37">
        <v>5</v>
      </c>
      <c r="L16" s="37">
        <v>5</v>
      </c>
      <c r="M16" s="37">
        <v>6</v>
      </c>
      <c r="N16" s="37">
        <v>6</v>
      </c>
      <c r="O16" s="37">
        <v>6</v>
      </c>
      <c r="P16" s="37">
        <v>6</v>
      </c>
      <c r="Q16" s="37">
        <v>6</v>
      </c>
      <c r="R16" s="37">
        <v>6</v>
      </c>
      <c r="S16" s="37">
        <v>6</v>
      </c>
      <c r="V16" s="40"/>
      <c r="W16" s="39" t="s">
        <v>113</v>
      </c>
      <c r="X16" s="41" t="str">
        <f>O30</f>
        <v>14C91A</v>
      </c>
      <c r="Y16" t="str">
        <f t="shared" si="0"/>
        <v>0x0014C91A,</v>
      </c>
      <c r="Z16" s="39"/>
    </row>
    <row r="17" spans="1:26">
      <c r="A17" s="14" t="s">
        <v>142</v>
      </c>
      <c r="B17" s="15" t="s">
        <v>143</v>
      </c>
      <c r="C17" s="9">
        <v>4</v>
      </c>
      <c r="D17" s="13">
        <v>3</v>
      </c>
      <c r="E17" s="13">
        <v>3</v>
      </c>
      <c r="F17" s="13">
        <v>1</v>
      </c>
      <c r="G17" s="13">
        <v>1</v>
      </c>
      <c r="H17" s="13">
        <v>1</v>
      </c>
      <c r="I17" s="37">
        <v>1</v>
      </c>
      <c r="J17" s="37">
        <v>1</v>
      </c>
      <c r="K17" s="37">
        <v>1</v>
      </c>
      <c r="L17" s="37">
        <v>1</v>
      </c>
      <c r="M17" s="37">
        <v>1</v>
      </c>
      <c r="N17" s="37">
        <v>1</v>
      </c>
      <c r="O17" s="37">
        <v>1</v>
      </c>
      <c r="P17" s="37">
        <v>1</v>
      </c>
      <c r="Q17" s="37">
        <v>1</v>
      </c>
      <c r="R17" s="37">
        <v>1</v>
      </c>
      <c r="S17" s="37">
        <v>1</v>
      </c>
      <c r="V17" s="40">
        <v>5</v>
      </c>
      <c r="W17" s="39" t="s">
        <v>106</v>
      </c>
      <c r="X17" s="41" t="str">
        <f>N32</f>
        <v>D87703FD</v>
      </c>
      <c r="Y17" t="str">
        <f t="shared" si="0"/>
        <v>0xD87703FD,</v>
      </c>
      <c r="Z17" s="39" t="s">
        <v>144</v>
      </c>
    </row>
    <row r="18" spans="1:26">
      <c r="A18" s="14" t="s">
        <v>145</v>
      </c>
      <c r="B18" s="15" t="s">
        <v>146</v>
      </c>
      <c r="C18" s="9">
        <v>1</v>
      </c>
      <c r="D18" s="13">
        <v>1</v>
      </c>
      <c r="E18" s="13">
        <v>1</v>
      </c>
      <c r="F18" s="13">
        <v>1</v>
      </c>
      <c r="G18" s="13">
        <v>1</v>
      </c>
      <c r="H18" s="13">
        <v>1</v>
      </c>
      <c r="I18" s="37">
        <v>1</v>
      </c>
      <c r="J18" s="37">
        <v>1</v>
      </c>
      <c r="K18" s="37">
        <v>1</v>
      </c>
      <c r="L18" s="37">
        <v>1</v>
      </c>
      <c r="M18" s="37">
        <v>1</v>
      </c>
      <c r="N18" s="37">
        <v>1</v>
      </c>
      <c r="O18" s="37">
        <v>1</v>
      </c>
      <c r="P18" s="37">
        <v>1</v>
      </c>
      <c r="Q18" s="37">
        <v>1</v>
      </c>
      <c r="R18" s="37">
        <v>1</v>
      </c>
      <c r="S18" s="37">
        <v>1</v>
      </c>
      <c r="V18" s="40"/>
      <c r="W18" s="39" t="s">
        <v>110</v>
      </c>
      <c r="X18" s="41" t="str">
        <f>N31</f>
        <v>A9B1DBDB</v>
      </c>
      <c r="Y18" t="str">
        <f t="shared" si="0"/>
        <v>0xA9B1DBDB,</v>
      </c>
      <c r="Z18" s="39"/>
    </row>
    <row r="19" spans="1:26">
      <c r="A19" s="14" t="s">
        <v>147</v>
      </c>
      <c r="B19" s="15" t="s">
        <v>148</v>
      </c>
      <c r="C19" s="9">
        <v>1</v>
      </c>
      <c r="D19" s="13">
        <v>1</v>
      </c>
      <c r="E19" s="13">
        <v>1</v>
      </c>
      <c r="F19" s="13">
        <v>1</v>
      </c>
      <c r="G19" s="13">
        <v>1</v>
      </c>
      <c r="H19" s="13">
        <v>1</v>
      </c>
      <c r="I19" s="37">
        <v>1</v>
      </c>
      <c r="J19" s="37">
        <v>1</v>
      </c>
      <c r="K19" s="37">
        <v>1</v>
      </c>
      <c r="L19" s="37">
        <v>1</v>
      </c>
      <c r="M19" s="37">
        <v>1</v>
      </c>
      <c r="N19" s="37">
        <v>1</v>
      </c>
      <c r="O19" s="37">
        <v>1</v>
      </c>
      <c r="P19" s="37">
        <v>1</v>
      </c>
      <c r="Q19" s="37">
        <v>1</v>
      </c>
      <c r="R19" s="37">
        <v>1</v>
      </c>
      <c r="S19" s="37">
        <v>1</v>
      </c>
      <c r="V19" s="40"/>
      <c r="W19" s="39" t="s">
        <v>113</v>
      </c>
      <c r="X19" s="41" t="str">
        <f>N30</f>
        <v>14C91A</v>
      </c>
      <c r="Y19" t="str">
        <f t="shared" si="0"/>
        <v>0x0014C91A,</v>
      </c>
      <c r="Z19" s="39"/>
    </row>
    <row r="20" spans="1:26">
      <c r="A20" s="14" t="s">
        <v>149</v>
      </c>
      <c r="B20" s="15" t="s">
        <v>150</v>
      </c>
      <c r="C20" s="9">
        <v>3</v>
      </c>
      <c r="D20" s="13">
        <v>3</v>
      </c>
      <c r="E20" s="13">
        <v>3</v>
      </c>
      <c r="F20" s="13">
        <v>3</v>
      </c>
      <c r="G20" s="13">
        <v>3</v>
      </c>
      <c r="H20" s="13">
        <v>3</v>
      </c>
      <c r="I20" s="37">
        <v>3</v>
      </c>
      <c r="J20" s="37">
        <v>3</v>
      </c>
      <c r="K20" s="37">
        <v>3</v>
      </c>
      <c r="L20" s="37">
        <v>3</v>
      </c>
      <c r="M20" s="37">
        <v>3</v>
      </c>
      <c r="N20" s="37">
        <v>3</v>
      </c>
      <c r="O20" s="37">
        <v>3</v>
      </c>
      <c r="P20" s="37">
        <v>3</v>
      </c>
      <c r="Q20" s="37">
        <v>3</v>
      </c>
      <c r="R20" s="37">
        <v>3</v>
      </c>
      <c r="S20" s="37">
        <v>3</v>
      </c>
      <c r="V20" s="40">
        <v>6</v>
      </c>
      <c r="W20" s="39" t="s">
        <v>106</v>
      </c>
      <c r="X20" s="41" t="str">
        <f>M32</f>
        <v>D87703FE</v>
      </c>
      <c r="Y20" t="str">
        <f t="shared" si="0"/>
        <v>0xD87703FE,</v>
      </c>
      <c r="Z20" s="39" t="s">
        <v>151</v>
      </c>
    </row>
    <row r="21" spans="1:26">
      <c r="A21" s="14" t="s">
        <v>152</v>
      </c>
      <c r="B21" s="15" t="s">
        <v>153</v>
      </c>
      <c r="C21" s="9">
        <v>4</v>
      </c>
      <c r="D21" s="13">
        <v>8</v>
      </c>
      <c r="E21" s="13">
        <v>8</v>
      </c>
      <c r="F21" s="13">
        <v>8</v>
      </c>
      <c r="G21" s="13">
        <v>8</v>
      </c>
      <c r="H21" s="13">
        <v>8</v>
      </c>
      <c r="I21" s="37">
        <v>8</v>
      </c>
      <c r="J21" s="37">
        <v>8</v>
      </c>
      <c r="K21" s="37">
        <v>8</v>
      </c>
      <c r="L21" s="37">
        <v>8</v>
      </c>
      <c r="M21" s="37">
        <v>8</v>
      </c>
      <c r="N21" s="37">
        <v>8</v>
      </c>
      <c r="O21" s="37">
        <v>8</v>
      </c>
      <c r="P21" s="37">
        <v>8</v>
      </c>
      <c r="Q21" s="37">
        <v>8</v>
      </c>
      <c r="R21" s="37">
        <v>8</v>
      </c>
      <c r="S21" s="37">
        <v>8</v>
      </c>
      <c r="V21" s="40"/>
      <c r="W21" s="39" t="s">
        <v>110</v>
      </c>
      <c r="X21" s="41" t="str">
        <f>M31</f>
        <v>A9B3DBDB</v>
      </c>
      <c r="Y21" t="str">
        <f t="shared" si="0"/>
        <v>0xA9B3DBDB,</v>
      </c>
      <c r="Z21" s="39"/>
    </row>
    <row r="22" spans="1:26">
      <c r="A22" s="11" t="s">
        <v>154</v>
      </c>
      <c r="B22" s="12" t="s">
        <v>155</v>
      </c>
      <c r="C22" s="9">
        <v>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V22" s="40"/>
      <c r="W22" s="39" t="s">
        <v>113</v>
      </c>
      <c r="X22" s="41" t="str">
        <f>M30</f>
        <v>14C91A</v>
      </c>
      <c r="Y22" t="str">
        <f t="shared" si="0"/>
        <v>0x0014C91A,</v>
      </c>
      <c r="Z22" s="39"/>
    </row>
    <row r="23" spans="1:26">
      <c r="A23" s="11" t="s">
        <v>156</v>
      </c>
      <c r="B23" s="12" t="s">
        <v>12</v>
      </c>
      <c r="C23" s="9">
        <v>2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V23" s="40">
        <v>7</v>
      </c>
      <c r="W23" s="39" t="s">
        <v>106</v>
      </c>
      <c r="X23" s="41" t="str">
        <f>L32</f>
        <v>D47703FD</v>
      </c>
      <c r="Y23" t="str">
        <f t="shared" si="0"/>
        <v>0xD47703FD,</v>
      </c>
      <c r="Z23" s="39" t="s">
        <v>157</v>
      </c>
    </row>
    <row r="24" spans="1:26">
      <c r="A24" s="11" t="s">
        <v>158</v>
      </c>
      <c r="B24" s="12" t="s">
        <v>159</v>
      </c>
      <c r="C24" s="9">
        <v>5</v>
      </c>
      <c r="D24" s="13">
        <v>31</v>
      </c>
      <c r="E24" s="13">
        <v>31</v>
      </c>
      <c r="F24" s="13">
        <v>31</v>
      </c>
      <c r="G24" s="13">
        <v>31</v>
      </c>
      <c r="H24" s="13">
        <v>31</v>
      </c>
      <c r="I24" s="37">
        <v>31</v>
      </c>
      <c r="J24" s="37">
        <v>31</v>
      </c>
      <c r="K24" s="37">
        <v>31</v>
      </c>
      <c r="L24" s="37">
        <v>31</v>
      </c>
      <c r="M24" s="37">
        <v>31</v>
      </c>
      <c r="N24" s="37">
        <v>31</v>
      </c>
      <c r="O24" s="37">
        <v>31</v>
      </c>
      <c r="P24" s="37">
        <v>30</v>
      </c>
      <c r="Q24" s="37">
        <v>26</v>
      </c>
      <c r="R24" s="37">
        <v>26</v>
      </c>
      <c r="S24" s="37">
        <v>26</v>
      </c>
      <c r="V24" s="40"/>
      <c r="W24" s="39" t="s">
        <v>110</v>
      </c>
      <c r="X24" s="41" t="str">
        <f>L31</f>
        <v>A9B3DBDB</v>
      </c>
      <c r="Y24" t="str">
        <f t="shared" si="0"/>
        <v>0xA9B3DBDB,</v>
      </c>
      <c r="Z24" s="39"/>
    </row>
    <row r="25" spans="1:26">
      <c r="A25" s="11" t="s">
        <v>160</v>
      </c>
      <c r="B25" s="12" t="s">
        <v>161</v>
      </c>
      <c r="C25" s="9">
        <v>5</v>
      </c>
      <c r="D25" s="13">
        <v>31</v>
      </c>
      <c r="E25" s="13">
        <v>15</v>
      </c>
      <c r="F25" s="13">
        <v>20</v>
      </c>
      <c r="G25" s="13">
        <v>18</v>
      </c>
      <c r="H25" s="13">
        <v>19</v>
      </c>
      <c r="I25" s="37">
        <v>31</v>
      </c>
      <c r="J25" s="37">
        <v>31</v>
      </c>
      <c r="K25" s="37">
        <v>31</v>
      </c>
      <c r="L25" s="37">
        <v>29</v>
      </c>
      <c r="M25" s="37">
        <v>30</v>
      </c>
      <c r="N25" s="37">
        <v>29</v>
      </c>
      <c r="O25" s="37">
        <v>22</v>
      </c>
      <c r="P25" s="37">
        <v>24</v>
      </c>
      <c r="Q25" s="37">
        <v>19</v>
      </c>
      <c r="R25" s="37">
        <v>23</v>
      </c>
      <c r="S25" s="37">
        <v>18</v>
      </c>
      <c r="V25" s="40"/>
      <c r="W25" s="39" t="s">
        <v>113</v>
      </c>
      <c r="X25" s="41" t="str">
        <f>L30</f>
        <v>14C91A</v>
      </c>
      <c r="Y25" t="str">
        <f t="shared" si="0"/>
        <v>0x0014C91A,</v>
      </c>
      <c r="Z25" s="39"/>
    </row>
    <row r="26" spans="1:26">
      <c r="A26" s="16" t="s">
        <v>162</v>
      </c>
      <c r="B26" s="16"/>
      <c r="C26" s="17">
        <f>SUM(C2:C25)</f>
        <v>96</v>
      </c>
      <c r="D26" s="18" t="s">
        <v>191</v>
      </c>
      <c r="E26" s="18" t="s">
        <v>146</v>
      </c>
      <c r="F26" s="18" t="s">
        <v>192</v>
      </c>
      <c r="G26" s="18" t="s">
        <v>193</v>
      </c>
      <c r="H26" s="18" t="s">
        <v>194</v>
      </c>
      <c r="I26" s="18" t="s">
        <v>41</v>
      </c>
      <c r="J26" s="38" t="s">
        <v>195</v>
      </c>
      <c r="K26" s="38" t="s">
        <v>195</v>
      </c>
      <c r="L26" s="18" t="s">
        <v>196</v>
      </c>
      <c r="M26" s="18" t="s">
        <v>197</v>
      </c>
      <c r="N26" s="18" t="s">
        <v>198</v>
      </c>
      <c r="O26" s="18" t="s">
        <v>199</v>
      </c>
      <c r="P26" s="18" t="s">
        <v>200</v>
      </c>
      <c r="Q26" s="18" t="s">
        <v>201</v>
      </c>
      <c r="R26" s="18" t="s">
        <v>202</v>
      </c>
      <c r="S26" s="18" t="s">
        <v>203</v>
      </c>
      <c r="V26" s="40">
        <v>8</v>
      </c>
      <c r="W26" s="39" t="s">
        <v>106</v>
      </c>
      <c r="X26" s="41" t="str">
        <f>K32</f>
        <v>D47703FF</v>
      </c>
      <c r="Y26" t="str">
        <f t="shared" si="0"/>
        <v>0xD47703FF,</v>
      </c>
      <c r="Z26" s="39" t="s">
        <v>172</v>
      </c>
    </row>
    <row r="27" spans="1:26">
      <c r="A27" s="16" t="s">
        <v>173</v>
      </c>
      <c r="B27" s="16"/>
      <c r="C27" s="19"/>
      <c r="D27" s="18" t="s">
        <v>204</v>
      </c>
      <c r="E27" s="18" t="s">
        <v>205</v>
      </c>
      <c r="F27" s="18" t="s">
        <v>206</v>
      </c>
      <c r="G27" s="18" t="s">
        <v>207</v>
      </c>
      <c r="H27" s="18" t="s">
        <v>208</v>
      </c>
      <c r="I27" s="18" t="s">
        <v>209</v>
      </c>
      <c r="J27" s="18" t="s">
        <v>210</v>
      </c>
      <c r="K27" s="18" t="s">
        <v>210</v>
      </c>
      <c r="L27" s="18" t="s">
        <v>211</v>
      </c>
      <c r="M27" s="18" t="s">
        <v>208</v>
      </c>
      <c r="N27" s="18" t="s">
        <v>212</v>
      </c>
      <c r="O27" s="18" t="s">
        <v>213</v>
      </c>
      <c r="P27" s="18" t="s">
        <v>214</v>
      </c>
      <c r="Q27" s="18" t="s">
        <v>215</v>
      </c>
      <c r="R27" s="18" t="s">
        <v>216</v>
      </c>
      <c r="S27" s="18" t="s">
        <v>217</v>
      </c>
      <c r="V27" s="40"/>
      <c r="W27" s="39" t="s">
        <v>110</v>
      </c>
      <c r="X27" s="41" t="str">
        <f>K31</f>
        <v>A9B9DBDB</v>
      </c>
      <c r="Y27" t="str">
        <f t="shared" si="0"/>
        <v>0xA9B9DBDB,</v>
      </c>
      <c r="Z27" s="39"/>
    </row>
    <row r="28" spans="1:26">
      <c r="A28" s="16"/>
      <c r="B28" s="16"/>
      <c r="C28" s="19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V28" s="40"/>
      <c r="W28" s="39" t="s">
        <v>113</v>
      </c>
      <c r="X28" s="41" t="str">
        <f>K30</f>
        <v>14C91A</v>
      </c>
      <c r="Y28" t="str">
        <f t="shared" si="0"/>
        <v>0x0014C91A,</v>
      </c>
      <c r="Z28" s="39"/>
    </row>
    <row r="29" spans="1:26">
      <c r="A29" s="20" t="s">
        <v>174</v>
      </c>
      <c r="B29" s="20"/>
      <c r="C29" s="20"/>
      <c r="D29" s="20" t="s">
        <v>191</v>
      </c>
      <c r="E29" s="20" t="s">
        <v>146</v>
      </c>
      <c r="F29" s="20" t="s">
        <v>192</v>
      </c>
      <c r="G29" s="20" t="s">
        <v>193</v>
      </c>
      <c r="H29" s="20" t="s">
        <v>194</v>
      </c>
      <c r="I29" s="20" t="s">
        <v>41</v>
      </c>
      <c r="J29" s="20" t="s">
        <v>221</v>
      </c>
      <c r="K29" s="20" t="s">
        <v>195</v>
      </c>
      <c r="L29" s="20" t="s">
        <v>196</v>
      </c>
      <c r="M29" s="20" t="s">
        <v>197</v>
      </c>
      <c r="N29" s="20" t="s">
        <v>198</v>
      </c>
      <c r="O29" s="20" t="s">
        <v>199</v>
      </c>
      <c r="P29" s="20" t="s">
        <v>200</v>
      </c>
      <c r="Q29" s="20" t="s">
        <v>201</v>
      </c>
      <c r="R29" s="20" t="s">
        <v>202</v>
      </c>
      <c r="S29" s="20">
        <v>-8</v>
      </c>
      <c r="V29" s="40">
        <v>9</v>
      </c>
      <c r="W29" s="39" t="s">
        <v>106</v>
      </c>
      <c r="X29" s="41" t="str">
        <f>J32</f>
        <v>D47703FF</v>
      </c>
      <c r="Y29" t="str">
        <f t="shared" si="0"/>
        <v>0xD47703FF,</v>
      </c>
      <c r="Z29" s="39" t="s">
        <v>175</v>
      </c>
    </row>
    <row r="30" spans="1:26">
      <c r="A30" s="21" t="s">
        <v>176</v>
      </c>
      <c r="B30" s="22"/>
      <c r="C30" s="22"/>
      <c r="D30" s="23" t="str">
        <f t="shared" ref="D30:S30" si="1">DEC2HEX(POWER(2,0)*D6+POWER(2,6)*D5+POWER(2,12)*D4+POWER(2,18)*D3+POWER(2,23)*D2)</f>
        <v>156FDA</v>
      </c>
      <c r="E30" s="23" t="str">
        <f t="shared" si="1"/>
        <v>152FDA</v>
      </c>
      <c r="F30" s="23" t="str">
        <f t="shared" si="1"/>
        <v>14CF9A</v>
      </c>
      <c r="G30" s="23" t="str">
        <f t="shared" si="1"/>
        <v>14CF9A</v>
      </c>
      <c r="H30" s="23" t="str">
        <f t="shared" si="1"/>
        <v>14CF9A</v>
      </c>
      <c r="I30" s="23" t="str">
        <f t="shared" si="1"/>
        <v>14C91A</v>
      </c>
      <c r="J30" s="23" t="str">
        <f t="shared" si="1"/>
        <v>14C91A</v>
      </c>
      <c r="K30" s="23" t="str">
        <f t="shared" si="1"/>
        <v>14C91A</v>
      </c>
      <c r="L30" s="23" t="str">
        <f t="shared" si="1"/>
        <v>14C91A</v>
      </c>
      <c r="M30" s="23" t="str">
        <f t="shared" si="1"/>
        <v>14C91A</v>
      </c>
      <c r="N30" s="23" t="str">
        <f t="shared" si="1"/>
        <v>14C91A</v>
      </c>
      <c r="O30" s="23" t="str">
        <f t="shared" si="1"/>
        <v>14C91A</v>
      </c>
      <c r="P30" s="23" t="str">
        <f t="shared" si="1"/>
        <v>14C91A</v>
      </c>
      <c r="Q30" s="23" t="str">
        <f t="shared" si="1"/>
        <v>14C91A</v>
      </c>
      <c r="R30" s="23" t="str">
        <f t="shared" si="1"/>
        <v>14C91A</v>
      </c>
      <c r="S30" s="23" t="str">
        <f t="shared" si="1"/>
        <v>14C91A</v>
      </c>
      <c r="V30" s="40"/>
      <c r="W30" s="39" t="s">
        <v>110</v>
      </c>
      <c r="X30" s="41" t="str">
        <f>J31</f>
        <v>A9B9DBDB</v>
      </c>
      <c r="Y30" t="str">
        <f t="shared" si="0"/>
        <v>0xA9B9DBDB,</v>
      </c>
      <c r="Z30" s="39"/>
    </row>
    <row r="31" spans="1:26">
      <c r="A31" s="21" t="s">
        <v>177</v>
      </c>
      <c r="B31" s="22"/>
      <c r="C31" s="22"/>
      <c r="D31" s="23" t="str">
        <f t="shared" ref="D31:S31" si="2">DEC2HEX(POWER(2,0)*INT(D15/4)+POWER(2,1)*D14+POWER(2,7)*D13+POWER(2,13)*D12+POWER(2,14)*D11+POWER(2,17)*D10+POWER(2,21)*D9+POWER(2,24)*D8+POWER(2,28)*D7)</f>
        <v>A9BFDBDB</v>
      </c>
      <c r="E31" s="23" t="str">
        <f t="shared" si="2"/>
        <v>A9BFDBDB</v>
      </c>
      <c r="F31" s="23" t="str">
        <f t="shared" si="2"/>
        <v>A9BFDBDA</v>
      </c>
      <c r="G31" s="23" t="str">
        <f t="shared" si="2"/>
        <v>A9BFDBDA</v>
      </c>
      <c r="H31" s="23" t="str">
        <f t="shared" si="2"/>
        <v>A9BDDBDB</v>
      </c>
      <c r="I31" s="23" t="str">
        <f t="shared" si="2"/>
        <v>A9BDDBDB</v>
      </c>
      <c r="J31" s="23" t="str">
        <f t="shared" si="2"/>
        <v>A9B9DBDB</v>
      </c>
      <c r="K31" s="23" t="str">
        <f t="shared" si="2"/>
        <v>A9B9DBDB</v>
      </c>
      <c r="L31" s="23" t="str">
        <f t="shared" si="2"/>
        <v>A9B3DBDB</v>
      </c>
      <c r="M31" s="23" t="str">
        <f t="shared" si="2"/>
        <v>A9B3DBDB</v>
      </c>
      <c r="N31" s="23" t="str">
        <f t="shared" si="2"/>
        <v>A9B1DBDB</v>
      </c>
      <c r="O31" s="23" t="str">
        <f t="shared" si="2"/>
        <v>A9B1DBDB</v>
      </c>
      <c r="P31" s="23" t="str">
        <f t="shared" si="2"/>
        <v>A9ADDBDB</v>
      </c>
      <c r="Q31" s="23" t="str">
        <f t="shared" si="2"/>
        <v>A9ADDBDB</v>
      </c>
      <c r="R31" s="23" t="str">
        <f t="shared" si="2"/>
        <v>A9A9DBDB</v>
      </c>
      <c r="S31" s="23" t="str">
        <f t="shared" si="2"/>
        <v>A9A9DBDB</v>
      </c>
      <c r="V31" s="40"/>
      <c r="W31" s="39" t="s">
        <v>113</v>
      </c>
      <c r="X31" s="41" t="str">
        <f>J30</f>
        <v>14C91A</v>
      </c>
      <c r="Y31" t="str">
        <f t="shared" si="0"/>
        <v>0x0014C91A,</v>
      </c>
      <c r="Z31" s="39"/>
    </row>
    <row r="32" spans="1:26">
      <c r="A32" s="21" t="s">
        <v>178</v>
      </c>
      <c r="B32" s="22"/>
      <c r="C32" s="22"/>
      <c r="D32" s="23" t="str">
        <f t="shared" ref="D32:S32" si="3">DEC2HEX(POWER(2,0)*D25+POWER(2,5)*D24+POWER(2,10)*D23+POWER(2,12)*D22+POWER(2,13)*D21+POWER(2,17)*D20+POWER(2,20)*D19+POWER(2,21)*D18+POWER(2,22)*D17+POWER(2,26)*D16+POWER(2,30)*MOD(D15,4))</f>
        <v>C8F703FF</v>
      </c>
      <c r="E32" s="23" t="str">
        <f t="shared" si="3"/>
        <v>CCF703EF</v>
      </c>
      <c r="F32" s="23" t="str">
        <f t="shared" si="3"/>
        <v>487703F4</v>
      </c>
      <c r="G32" s="23" t="str">
        <f t="shared" si="3"/>
        <v>4C7703F2</v>
      </c>
      <c r="H32" s="23" t="str">
        <f t="shared" si="3"/>
        <v>CC7703F3</v>
      </c>
      <c r="I32" s="23" t="str">
        <f t="shared" si="3"/>
        <v>107703FF</v>
      </c>
      <c r="J32" s="23" t="str">
        <f t="shared" si="3"/>
        <v>D47703FF</v>
      </c>
      <c r="K32" s="23" t="str">
        <f t="shared" si="3"/>
        <v>D47703FF</v>
      </c>
      <c r="L32" s="23" t="str">
        <f t="shared" si="3"/>
        <v>D47703FD</v>
      </c>
      <c r="M32" s="23" t="str">
        <f t="shared" si="3"/>
        <v>D87703FE</v>
      </c>
      <c r="N32" s="23" t="str">
        <f t="shared" si="3"/>
        <v>D87703FD</v>
      </c>
      <c r="O32" s="23" t="str">
        <f t="shared" si="3"/>
        <v>D87703F6</v>
      </c>
      <c r="P32" s="23" t="str">
        <f t="shared" si="3"/>
        <v>D87703D8</v>
      </c>
      <c r="Q32" s="23" t="str">
        <f t="shared" si="3"/>
        <v>D8770353</v>
      </c>
      <c r="R32" s="23" t="str">
        <f t="shared" si="3"/>
        <v>D8770357</v>
      </c>
      <c r="S32" s="23" t="str">
        <f t="shared" si="3"/>
        <v>D8770352</v>
      </c>
      <c r="V32" s="40" t="s">
        <v>179</v>
      </c>
      <c r="W32" s="39" t="s">
        <v>106</v>
      </c>
      <c r="X32" s="41" t="str">
        <f>I32</f>
        <v>107703FF</v>
      </c>
      <c r="Y32" t="str">
        <f t="shared" si="0"/>
        <v>0x107703FF,</v>
      </c>
      <c r="Z32" s="39" t="s">
        <v>180</v>
      </c>
    </row>
    <row r="33" spans="1:26">
      <c r="A33" s="16"/>
      <c r="B33" s="16"/>
      <c r="C33" s="19"/>
      <c r="D33" s="24"/>
      <c r="E33" s="24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V33" s="40"/>
      <c r="W33" s="39" t="s">
        <v>110</v>
      </c>
      <c r="X33" s="41" t="str">
        <f>I31</f>
        <v>A9BDDBDB</v>
      </c>
      <c r="Y33" t="str">
        <f t="shared" si="0"/>
        <v>0xA9BDDBDB,</v>
      </c>
      <c r="Z33" s="39"/>
    </row>
    <row r="34" spans="1:26">
      <c r="A34" s="16"/>
      <c r="B34" s="16"/>
      <c r="C34" s="19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V34" s="40"/>
      <c r="W34" s="39" t="s">
        <v>113</v>
      </c>
      <c r="X34" s="41" t="str">
        <f>I30</f>
        <v>14C91A</v>
      </c>
      <c r="Y34" t="str">
        <f t="shared" si="0"/>
        <v>0x0014C91A,</v>
      </c>
      <c r="Z34" s="39"/>
    </row>
    <row r="35" spans="1:26">
      <c r="A35" s="16" t="s">
        <v>222</v>
      </c>
      <c r="B35" s="16"/>
      <c r="C35" s="19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V35" s="40" t="s">
        <v>181</v>
      </c>
      <c r="W35" s="39" t="s">
        <v>106</v>
      </c>
      <c r="X35" s="41" t="str">
        <f>H32</f>
        <v>CC7703F3</v>
      </c>
      <c r="Y35" t="str">
        <f t="shared" si="0"/>
        <v>0xCC7703F3,</v>
      </c>
      <c r="Z35" s="39" t="s">
        <v>182</v>
      </c>
    </row>
    <row r="36" spans="1:26">
      <c r="A36" s="16"/>
      <c r="B36" s="16"/>
      <c r="C36" s="1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V36" s="40"/>
      <c r="W36" s="39" t="s">
        <v>110</v>
      </c>
      <c r="X36" s="41" t="str">
        <f>H31</f>
        <v>A9BDDBDB</v>
      </c>
      <c r="Y36" t="str">
        <f t="shared" si="0"/>
        <v>0xA9BDDBDB,</v>
      </c>
      <c r="Z36" s="39"/>
    </row>
    <row r="37" spans="1:26">
      <c r="A37" s="16"/>
      <c r="B37" s="16"/>
      <c r="C37" s="19"/>
      <c r="D37" s="16"/>
      <c r="E37" s="16"/>
      <c r="F37" s="16"/>
      <c r="G37" s="16"/>
      <c r="H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V37" s="40"/>
      <c r="W37" s="39" t="s">
        <v>113</v>
      </c>
      <c r="X37" s="41" t="str">
        <f>H30</f>
        <v>14CF9A</v>
      </c>
      <c r="Y37" t="str">
        <f t="shared" si="0"/>
        <v>0x0014CF9A,</v>
      </c>
      <c r="Z37" s="39"/>
    </row>
    <row r="38" spans="22:26">
      <c r="V38" s="40" t="s">
        <v>183</v>
      </c>
      <c r="W38" s="39" t="s">
        <v>106</v>
      </c>
      <c r="X38" s="41" t="str">
        <f>G32</f>
        <v>4C7703F2</v>
      </c>
      <c r="Y38" t="str">
        <f t="shared" si="0"/>
        <v>0x4C7703F2,</v>
      </c>
      <c r="Z38" s="39" t="s">
        <v>184</v>
      </c>
    </row>
    <row r="39" spans="22:26">
      <c r="V39" s="40"/>
      <c r="W39" s="39" t="s">
        <v>110</v>
      </c>
      <c r="X39" s="41" t="str">
        <f>G31</f>
        <v>A9BFDBDA</v>
      </c>
      <c r="Y39" t="str">
        <f t="shared" si="0"/>
        <v>0xA9BFDBDA,</v>
      </c>
      <c r="Z39" s="39"/>
    </row>
    <row r="40" spans="22:26">
      <c r="V40" s="40"/>
      <c r="W40" s="39" t="s">
        <v>113</v>
      </c>
      <c r="X40" s="41" t="str">
        <f>G30</f>
        <v>14CF9A</v>
      </c>
      <c r="Y40" t="str">
        <f t="shared" si="0"/>
        <v>0x0014CF9A,</v>
      </c>
      <c r="Z40" s="39"/>
    </row>
    <row r="41" spans="22:26">
      <c r="V41" s="40" t="s">
        <v>185</v>
      </c>
      <c r="W41" s="39" t="s">
        <v>106</v>
      </c>
      <c r="X41" s="41" t="str">
        <f>F32</f>
        <v>487703F4</v>
      </c>
      <c r="Y41" t="str">
        <f t="shared" si="0"/>
        <v>0x487703F4,</v>
      </c>
      <c r="Z41" s="39" t="s">
        <v>186</v>
      </c>
    </row>
    <row r="42" spans="1:26">
      <c r="A42" s="25"/>
      <c r="B42" s="26"/>
      <c r="C42" s="26"/>
      <c r="D42" s="27"/>
      <c r="H42" s="28"/>
      <c r="J42" s="28"/>
      <c r="K42" s="28"/>
      <c r="L42" s="28"/>
      <c r="V42" s="40"/>
      <c r="W42" s="39" t="s">
        <v>110</v>
      </c>
      <c r="X42" s="41" t="str">
        <f>F31</f>
        <v>A9BFDBDA</v>
      </c>
      <c r="Y42" t="str">
        <f t="shared" si="0"/>
        <v>0xA9BFDBDA,</v>
      </c>
      <c r="Z42" s="39"/>
    </row>
    <row r="43" spans="1:26">
      <c r="A43" s="25"/>
      <c r="B43" s="26"/>
      <c r="C43" s="26"/>
      <c r="D43" s="29"/>
      <c r="H43" s="28"/>
      <c r="J43" s="28"/>
      <c r="K43" s="28"/>
      <c r="L43" s="28"/>
      <c r="V43" s="40"/>
      <c r="W43" s="39" t="s">
        <v>113</v>
      </c>
      <c r="X43" s="41" t="str">
        <f>F30</f>
        <v>14CF9A</v>
      </c>
      <c r="Y43" t="str">
        <f t="shared" si="0"/>
        <v>0x0014CF9A,</v>
      </c>
      <c r="Z43" s="39"/>
    </row>
    <row r="44" spans="2:26">
      <c r="B44" s="26"/>
      <c r="C44" s="30"/>
      <c r="D44" s="29"/>
      <c r="E44" s="31"/>
      <c r="F44" s="31"/>
      <c r="G44" s="31"/>
      <c r="H44" s="32"/>
      <c r="J44" s="32"/>
      <c r="K44" s="32"/>
      <c r="L44" s="32"/>
      <c r="M44" s="31"/>
      <c r="N44" s="31"/>
      <c r="O44" s="31"/>
      <c r="P44" s="31"/>
      <c r="Q44" s="31"/>
      <c r="R44" s="31"/>
      <c r="S44" s="31"/>
      <c r="V44" s="40" t="s">
        <v>187</v>
      </c>
      <c r="W44" s="39" t="s">
        <v>106</v>
      </c>
      <c r="X44" s="41" t="str">
        <f>E32</f>
        <v>CCF703EF</v>
      </c>
      <c r="Y44" t="str">
        <f t="shared" si="0"/>
        <v>0xCCF703EF,</v>
      </c>
      <c r="Z44" s="39" t="s">
        <v>188</v>
      </c>
    </row>
    <row r="45" spans="2:26">
      <c r="B45" s="26"/>
      <c r="C45" s="30"/>
      <c r="D45" s="28"/>
      <c r="E45" s="31"/>
      <c r="F45" s="31"/>
      <c r="G45" s="31"/>
      <c r="H45" s="32"/>
      <c r="J45" s="32"/>
      <c r="K45" s="32"/>
      <c r="L45" s="32"/>
      <c r="M45" s="31"/>
      <c r="N45" s="31"/>
      <c r="O45" s="31"/>
      <c r="P45" s="31"/>
      <c r="Q45" s="31"/>
      <c r="R45" s="31"/>
      <c r="S45" s="31"/>
      <c r="V45" s="40"/>
      <c r="W45" s="39" t="s">
        <v>110</v>
      </c>
      <c r="X45" s="41" t="str">
        <f>E31</f>
        <v>A9BFDBDB</v>
      </c>
      <c r="Y45" t="str">
        <f t="shared" si="0"/>
        <v>0xA9BFDBDB,</v>
      </c>
      <c r="Z45" s="39"/>
    </row>
    <row r="46" spans="1:26">
      <c r="A46" s="25"/>
      <c r="B46" s="26"/>
      <c r="C46" s="30"/>
      <c r="D46" s="27"/>
      <c r="E46" s="31"/>
      <c r="F46" s="31"/>
      <c r="G46" s="31"/>
      <c r="H46" s="32"/>
      <c r="J46" s="32"/>
      <c r="K46" s="32"/>
      <c r="L46" s="32"/>
      <c r="M46" s="31"/>
      <c r="N46" s="31"/>
      <c r="O46" s="31"/>
      <c r="P46" s="31"/>
      <c r="Q46" s="31"/>
      <c r="R46" s="31"/>
      <c r="S46" s="31"/>
      <c r="V46" s="40"/>
      <c r="W46" s="39" t="s">
        <v>113</v>
      </c>
      <c r="X46" s="41" t="str">
        <f>E30</f>
        <v>152FDA</v>
      </c>
      <c r="Y46" t="str">
        <f t="shared" si="0"/>
        <v>0x00152FDA,</v>
      </c>
      <c r="Z46" s="39"/>
    </row>
    <row r="47" spans="1:26">
      <c r="A47" s="25"/>
      <c r="B47" s="26"/>
      <c r="D47" s="28"/>
      <c r="E47" s="33"/>
      <c r="H47" s="32"/>
      <c r="J47" s="32"/>
      <c r="K47" s="32"/>
      <c r="L47" s="32"/>
      <c r="M47" s="31"/>
      <c r="N47" s="31"/>
      <c r="O47" s="31"/>
      <c r="P47" s="31"/>
      <c r="Q47" s="31"/>
      <c r="R47" s="31"/>
      <c r="S47" s="31"/>
      <c r="V47" s="40" t="s">
        <v>189</v>
      </c>
      <c r="W47" s="39" t="s">
        <v>106</v>
      </c>
      <c r="X47" s="41" t="str">
        <f>D32</f>
        <v>C8F703FF</v>
      </c>
      <c r="Y47" t="str">
        <f t="shared" si="0"/>
        <v>0xC8F703FF,</v>
      </c>
      <c r="Z47" s="39" t="s">
        <v>190</v>
      </c>
    </row>
    <row r="48" spans="1:26">
      <c r="A48" s="25"/>
      <c r="B48" s="26"/>
      <c r="C48" s="30"/>
      <c r="D48" s="17"/>
      <c r="E48" s="34"/>
      <c r="H48" s="32"/>
      <c r="J48" s="32"/>
      <c r="K48" s="32"/>
      <c r="L48" s="32"/>
      <c r="M48" s="31"/>
      <c r="N48" s="31"/>
      <c r="O48" s="31"/>
      <c r="P48" s="31"/>
      <c r="Q48" s="31"/>
      <c r="R48" s="31"/>
      <c r="S48" s="31"/>
      <c r="V48" s="39"/>
      <c r="W48" s="39" t="s">
        <v>110</v>
      </c>
      <c r="X48" s="41" t="str">
        <f>D31</f>
        <v>A9BFDBDB</v>
      </c>
      <c r="Y48" t="str">
        <f t="shared" si="0"/>
        <v>0xA9BFDBDB,</v>
      </c>
      <c r="Z48" s="39"/>
    </row>
    <row r="49" spans="1:26">
      <c r="A49" s="25"/>
      <c r="B49" s="26"/>
      <c r="C49" s="30"/>
      <c r="D49" s="17"/>
      <c r="E49" s="34"/>
      <c r="H49" s="32"/>
      <c r="J49" s="32"/>
      <c r="K49" s="32"/>
      <c r="L49" s="32"/>
      <c r="M49" s="31"/>
      <c r="N49" s="31"/>
      <c r="O49" s="31"/>
      <c r="P49" s="31"/>
      <c r="Q49" s="31"/>
      <c r="R49" s="31"/>
      <c r="S49" s="31"/>
      <c r="V49" s="39"/>
      <c r="W49" s="39" t="s">
        <v>113</v>
      </c>
      <c r="X49" s="41" t="str">
        <f>D30</f>
        <v>156FDA</v>
      </c>
      <c r="Y49" t="str">
        <f t="shared" si="0"/>
        <v>0x00156FDA,</v>
      </c>
      <c r="Z49" s="39"/>
    </row>
    <row r="50" spans="1:12">
      <c r="A50" s="25"/>
      <c r="B50" s="26"/>
      <c r="C50" s="30"/>
      <c r="D50" s="17"/>
      <c r="E50" s="34"/>
      <c r="H50" s="28"/>
      <c r="J50" s="28"/>
      <c r="K50" s="28"/>
      <c r="L50" s="28"/>
    </row>
    <row r="51" spans="1:12">
      <c r="A51" s="25"/>
      <c r="B51" s="29"/>
      <c r="C51" s="30"/>
      <c r="D51" s="16"/>
      <c r="H51" s="28"/>
      <c r="J51" s="28"/>
      <c r="K51" s="28"/>
      <c r="L51" s="28"/>
    </row>
    <row r="52" spans="1:12">
      <c r="A52" s="25"/>
      <c r="B52" s="29"/>
      <c r="C52" s="30"/>
      <c r="D52" s="31"/>
      <c r="E52" s="35"/>
      <c r="H52" s="28"/>
      <c r="J52" s="28"/>
      <c r="K52" s="28"/>
      <c r="L52" s="28"/>
    </row>
    <row r="53" spans="1:12">
      <c r="A53" s="25"/>
      <c r="B53" s="29"/>
      <c r="C53" s="30"/>
      <c r="D53" s="31"/>
      <c r="H53" s="28"/>
      <c r="J53" s="28"/>
      <c r="K53" s="28"/>
      <c r="L53" s="28"/>
    </row>
    <row r="54" spans="1:12">
      <c r="A54" s="25"/>
      <c r="B54" s="29"/>
      <c r="C54" s="30"/>
      <c r="D54" s="31"/>
      <c r="H54" s="28"/>
      <c r="J54" s="28"/>
      <c r="K54" s="28"/>
      <c r="L54" s="28"/>
    </row>
    <row r="55" spans="1:12">
      <c r="A55" s="25"/>
      <c r="B55" s="29"/>
      <c r="C55" s="30"/>
      <c r="H55" s="28"/>
      <c r="J55" s="28"/>
      <c r="K55" s="28"/>
      <c r="L55" s="28"/>
    </row>
    <row r="56" spans="1:12">
      <c r="A56" s="25"/>
      <c r="B56" s="29"/>
      <c r="C56" s="30"/>
      <c r="H56" s="28"/>
      <c r="J56" s="28"/>
      <c r="K56" s="28"/>
      <c r="L56" s="28"/>
    </row>
    <row r="57" spans="1:12">
      <c r="A57" s="25"/>
      <c r="B57" s="26"/>
      <c r="H57" s="28"/>
      <c r="J57" s="28"/>
      <c r="K57" s="28"/>
      <c r="L57" s="28"/>
    </row>
    <row r="58" spans="1:12">
      <c r="A58" s="25"/>
      <c r="B58" s="26"/>
      <c r="H58" s="28"/>
      <c r="J58" s="28"/>
      <c r="K58" s="28"/>
      <c r="L58" s="28"/>
    </row>
    <row r="59" spans="1:12">
      <c r="A59" s="25"/>
      <c r="B59" s="26"/>
      <c r="H59" s="28"/>
      <c r="J59" s="28"/>
      <c r="K59" s="28"/>
      <c r="L59" s="28"/>
    </row>
    <row r="60" spans="1:12">
      <c r="A60" s="25"/>
      <c r="B60" s="26"/>
      <c r="H60" s="28"/>
      <c r="J60" s="28"/>
      <c r="K60" s="28"/>
      <c r="L60" s="28"/>
    </row>
    <row r="61" spans="1:12">
      <c r="A61" s="27"/>
      <c r="C61" s="27"/>
      <c r="D61" s="27"/>
      <c r="H61" s="28"/>
      <c r="J61" s="28"/>
      <c r="K61" s="28"/>
      <c r="L61" s="28"/>
    </row>
    <row r="62" spans="1:12">
      <c r="A62" s="27"/>
      <c r="C62" s="27"/>
      <c r="D62" s="27"/>
      <c r="H62" s="28"/>
      <c r="J62" s="28"/>
      <c r="K62" s="28"/>
      <c r="L62" s="28"/>
    </row>
    <row r="63" spans="1:12">
      <c r="A63" s="27"/>
      <c r="C63" s="27"/>
      <c r="D63" s="27"/>
      <c r="H63" s="28"/>
      <c r="I63" s="28"/>
      <c r="J63" s="28"/>
      <c r="K63" s="28"/>
      <c r="L63" s="28"/>
    </row>
    <row r="64" spans="3:12">
      <c r="C64" s="32"/>
      <c r="D64" s="32"/>
      <c r="H64" s="28"/>
      <c r="I64" s="28"/>
      <c r="J64" s="28"/>
      <c r="K64" s="28"/>
      <c r="L64" s="28"/>
    </row>
    <row r="65" spans="3:12">
      <c r="C65" s="32"/>
      <c r="D65" s="32"/>
      <c r="H65" s="28"/>
      <c r="I65" s="28"/>
      <c r="J65" s="28"/>
      <c r="K65" s="28"/>
      <c r="L65" s="28"/>
    </row>
    <row r="66" spans="3:12">
      <c r="C66" s="32"/>
      <c r="D66" s="32"/>
      <c r="H66" s="28"/>
      <c r="I66" s="28"/>
      <c r="J66" s="28"/>
      <c r="K66" s="28"/>
      <c r="L66" s="28"/>
    </row>
    <row r="67" spans="3:12">
      <c r="C67" s="42"/>
      <c r="D67" s="29"/>
      <c r="H67" s="28"/>
      <c r="I67" s="28"/>
      <c r="J67" s="28"/>
      <c r="K67" s="28"/>
      <c r="L67" s="28"/>
    </row>
    <row r="68" spans="3:12">
      <c r="C68" s="32"/>
      <c r="D68" s="32"/>
      <c r="H68" s="28"/>
      <c r="I68" s="28"/>
      <c r="J68" s="28"/>
      <c r="K68" s="28"/>
      <c r="L68" s="28"/>
    </row>
    <row r="69" spans="3:12">
      <c r="C69" s="28"/>
      <c r="D69" s="28"/>
      <c r="H69" s="28"/>
      <c r="I69" s="28"/>
      <c r="J69" s="28"/>
      <c r="K69" s="28"/>
      <c r="L69" s="28"/>
    </row>
    <row r="70" spans="3:12">
      <c r="C70" s="27"/>
      <c r="D70" s="27"/>
      <c r="H70" s="28"/>
      <c r="I70" s="28"/>
      <c r="J70" s="28"/>
      <c r="K70" s="28"/>
      <c r="L70" s="28"/>
    </row>
    <row r="71" spans="3:12">
      <c r="C71" s="27"/>
      <c r="D71" s="43"/>
      <c r="H71" s="28"/>
      <c r="I71" s="28"/>
      <c r="J71" s="28"/>
      <c r="K71" s="28"/>
      <c r="L71" s="28"/>
    </row>
    <row r="72" spans="3:12">
      <c r="C72" s="27"/>
      <c r="D72" s="27"/>
      <c r="H72" s="28"/>
      <c r="I72" s="28"/>
      <c r="J72" s="28"/>
      <c r="K72" s="28"/>
      <c r="L72" s="28"/>
    </row>
    <row r="73" spans="3:12">
      <c r="C73" s="27"/>
      <c r="D73" s="27"/>
      <c r="H73" s="28"/>
      <c r="I73" s="28"/>
      <c r="J73" s="28"/>
      <c r="K73" s="28"/>
      <c r="L73" s="28"/>
    </row>
    <row r="74" spans="3:12">
      <c r="C74" s="27"/>
      <c r="D74" s="27"/>
      <c r="H74" s="28"/>
      <c r="I74" s="28"/>
      <c r="J74" s="28"/>
      <c r="K74" s="28"/>
      <c r="L74" s="28"/>
    </row>
    <row r="75" spans="2:12">
      <c r="B75" s="28"/>
      <c r="C75" s="27"/>
      <c r="D75" s="27"/>
      <c r="H75" s="28"/>
      <c r="I75" s="28"/>
      <c r="J75" s="28"/>
      <c r="K75" s="28"/>
      <c r="L75" s="28"/>
    </row>
    <row r="76" spans="2:12">
      <c r="B76" s="28"/>
      <c r="D76" s="28"/>
      <c r="H76" s="28"/>
      <c r="I76" s="28"/>
      <c r="J76" s="28"/>
      <c r="K76" s="28"/>
      <c r="L76" s="28"/>
    </row>
    <row r="77" spans="2:12">
      <c r="B77" s="28"/>
      <c r="D77" s="28"/>
      <c r="H77" s="28"/>
      <c r="I77" s="28"/>
      <c r="J77" s="28"/>
      <c r="K77" s="28"/>
      <c r="L77" s="28"/>
    </row>
    <row r="78" spans="8:12">
      <c r="H78" s="28"/>
      <c r="I78" s="28"/>
      <c r="J78" s="28"/>
      <c r="K78" s="28"/>
      <c r="L78" s="28"/>
    </row>
    <row r="79" spans="8:12">
      <c r="H79" s="28"/>
      <c r="I79" s="28"/>
      <c r="J79" s="28"/>
      <c r="K79" s="28"/>
      <c r="L79" s="28"/>
    </row>
    <row r="80" spans="2:12">
      <c r="B80" s="44"/>
      <c r="C80" s="44"/>
      <c r="D80" s="44"/>
      <c r="E80" s="44"/>
      <c r="F80" s="44"/>
      <c r="G80" s="44"/>
      <c r="H80" s="28"/>
      <c r="I80" s="28"/>
      <c r="J80" s="28"/>
      <c r="K80" s="28"/>
      <c r="L80" s="28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workbookViewId="0">
      <selection activeCell="C28" sqref="C28"/>
    </sheetView>
  </sheetViews>
  <sheetFormatPr defaultColWidth="9" defaultRowHeight="14.25" outlineLevelCol="2"/>
  <cols>
    <col min="1" max="1" width="28.375" customWidth="1"/>
    <col min="2" max="2" width="45.375" customWidth="1"/>
    <col min="3" max="3" width="27.875" customWidth="1"/>
  </cols>
  <sheetData>
    <row r="1" spans="1:1">
      <c r="A1" t="s">
        <v>223</v>
      </c>
    </row>
    <row r="2" spans="1:2">
      <c r="A2">
        <v>20240603</v>
      </c>
      <c r="B2" t="s">
        <v>224</v>
      </c>
    </row>
    <row r="3" spans="1:2">
      <c r="A3">
        <v>20240618</v>
      </c>
      <c r="B3" t="s">
        <v>225</v>
      </c>
    </row>
    <row r="4" spans="2:2">
      <c r="B4" t="s">
        <v>226</v>
      </c>
    </row>
    <row r="5" spans="2:3">
      <c r="B5" t="s">
        <v>227</v>
      </c>
      <c r="C5" t="s">
        <v>228</v>
      </c>
    </row>
    <row r="6" spans="2:3">
      <c r="B6" t="s">
        <v>229</v>
      </c>
      <c r="C6" t="s">
        <v>228</v>
      </c>
    </row>
    <row r="7" spans="1:3">
      <c r="A7">
        <v>20240711</v>
      </c>
      <c r="B7" t="s">
        <v>230</v>
      </c>
      <c r="C7" t="s">
        <v>231</v>
      </c>
    </row>
    <row r="9" spans="1:3">
      <c r="A9" s="1">
        <v>20240802</v>
      </c>
      <c r="B9" t="s">
        <v>232</v>
      </c>
      <c r="C9" t="s">
        <v>233</v>
      </c>
    </row>
    <row r="10" ht="114" customHeight="1" spans="1:3">
      <c r="A10" s="1"/>
      <c r="B10" s="2" t="s">
        <v>234</v>
      </c>
      <c r="C10" t="s">
        <v>235</v>
      </c>
    </row>
    <row r="11" spans="1:3">
      <c r="A11" s="1">
        <v>20240806</v>
      </c>
      <c r="B11" t="s">
        <v>236</v>
      </c>
      <c r="C11" t="s">
        <v>237</v>
      </c>
    </row>
    <row r="12" spans="1:3">
      <c r="A12" s="1"/>
      <c r="B12" t="s">
        <v>238</v>
      </c>
      <c r="C12" t="s">
        <v>237</v>
      </c>
    </row>
    <row r="13" spans="1:3">
      <c r="A13" s="1"/>
      <c r="B13" t="s">
        <v>239</v>
      </c>
      <c r="C13" t="s">
        <v>237</v>
      </c>
    </row>
    <row r="14" spans="1:3">
      <c r="A14" s="3">
        <v>20240815</v>
      </c>
      <c r="B14" t="s">
        <v>240</v>
      </c>
      <c r="C14" t="s">
        <v>241</v>
      </c>
    </row>
    <row r="15" spans="1:3">
      <c r="A15" s="3"/>
      <c r="B15" t="s">
        <v>242</v>
      </c>
      <c r="C15" t="s">
        <v>237</v>
      </c>
    </row>
    <row r="16" ht="28.5" spans="1:3">
      <c r="A16">
        <v>20240822</v>
      </c>
      <c r="B16" s="4" t="s">
        <v>243</v>
      </c>
      <c r="C16" t="s">
        <v>233</v>
      </c>
    </row>
    <row r="17" spans="1:3">
      <c r="A17" s="3">
        <v>20240830</v>
      </c>
      <c r="B17" t="s">
        <v>244</v>
      </c>
      <c r="C17" s="5" t="s">
        <v>233</v>
      </c>
    </row>
    <row r="18" spans="1:3">
      <c r="A18" s="3"/>
      <c r="B18" t="s">
        <v>245</v>
      </c>
      <c r="C18" s="5"/>
    </row>
    <row r="19" spans="1:3">
      <c r="A19" s="3"/>
      <c r="B19" t="s">
        <v>246</v>
      </c>
      <c r="C19" s="5"/>
    </row>
    <row r="20" spans="1:3">
      <c r="A20" s="3"/>
      <c r="B20" t="s">
        <v>247</v>
      </c>
      <c r="C20" s="5"/>
    </row>
    <row r="21" spans="1:3">
      <c r="A21">
        <v>20240903</v>
      </c>
      <c r="B21" t="s">
        <v>248</v>
      </c>
      <c r="C21" t="s">
        <v>233</v>
      </c>
    </row>
    <row r="22" spans="1:3">
      <c r="A22">
        <v>20240905</v>
      </c>
      <c r="B22" t="s">
        <v>249</v>
      </c>
      <c r="C22" t="s">
        <v>241</v>
      </c>
    </row>
    <row r="23" spans="1:2">
      <c r="A23">
        <v>20241009</v>
      </c>
      <c r="B23" t="s">
        <v>250</v>
      </c>
    </row>
  </sheetData>
  <mergeCells count="5">
    <mergeCell ref="A9:A10"/>
    <mergeCell ref="A11:A13"/>
    <mergeCell ref="A14:A15"/>
    <mergeCell ref="A17:A20"/>
    <mergeCell ref="C17:C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Register</vt:lpstr>
      <vt:lpstr>11B</vt:lpstr>
      <vt:lpstr>OFDM_H</vt:lpstr>
      <vt:lpstr>OFDM_L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2024-10-22T08:07:28Z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50D69ED29D964C5D9341A4374BAB3CE0</vt:lpwstr>
  </property>
  <property fmtid="{D5CDD505-2E9C-101B-9397-08002B2CF9AE}" pid="3" name="KSOProductBuildVer">
    <vt:lpwstr>2052-11.1.0.14309</vt:lpwstr>
  </property>
</Properties>
</file>