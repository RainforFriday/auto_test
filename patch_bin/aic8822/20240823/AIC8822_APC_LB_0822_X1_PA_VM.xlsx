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<sst xmlns="http://schemas.openxmlformats.org/spreadsheetml/2006/main" count="827" uniqueCount="241">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</sst>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47" t="s">
        <v>0</v>
      </c>
      <c r="B1" s="14" t="s">
        <v>1</v>
      </c>
      <c r="C1" s="15" t="s">
        <v>2</v>
      </c>
      <c r="D1" s="31" t="s">
        <v>3</v>
      </c>
      <c r="I1" s="47"/>
    </row>
    <row r="2" spans="1:9">
      <c r="A2" s="49" t="s">
        <v>4</v>
      </c>
      <c r="B2" s="10" t="s">
        <v>5</v>
      </c>
      <c r="C2" s="50">
        <v>0.634722222222222</v>
      </c>
      <c r="D2" s="6" t="s">
        <v>6</v>
      </c>
      <c r="H2" s="26"/>
      <c r="I2" s="47"/>
    </row>
    <row r="3" spans="1:12">
      <c r="A3" s="49" t="s">
        <v>7</v>
      </c>
      <c r="B3" s="10" t="s">
        <v>8</v>
      </c>
      <c r="C3" s="50">
        <v>0.465277777777778</v>
      </c>
      <c r="D3" s="6" t="s">
        <v>6</v>
      </c>
      <c r="H3" s="26"/>
      <c r="J3" s="26"/>
      <c r="K3" s="26"/>
      <c r="L3" s="26"/>
    </row>
    <row r="4" spans="1:12">
      <c r="A4" s="23"/>
      <c r="B4" s="24"/>
      <c r="D4" s="25"/>
      <c r="H4" s="26"/>
      <c r="J4" s="26"/>
      <c r="K4" s="26"/>
      <c r="L4" s="26"/>
    </row>
    <row r="5" spans="1:1">
      <c r="A5" t="s">
        <v>9</v>
      </c>
    </row>
    <row r="6" spans="1:4">
      <c r="A6" s="10" t="s">
        <v>10</v>
      </c>
      <c r="B6" s="10" t="s">
        <v>11</v>
      </c>
      <c r="C6" s="10" t="s">
        <v>12</v>
      </c>
      <c r="D6" s="10" t="s">
        <v>13</v>
      </c>
    </row>
    <row r="7" spans="1:4">
      <c r="A7" s="10" t="s">
        <v>14</v>
      </c>
      <c r="B7" s="10" t="s">
        <v>15</v>
      </c>
      <c r="C7" s="10" t="s">
        <v>12</v>
      </c>
      <c r="D7" s="10" t="s">
        <v>13</v>
      </c>
    </row>
    <row r="8" spans="1:4">
      <c r="A8" s="10" t="s">
        <v>16</v>
      </c>
      <c r="B8" s="10" t="s">
        <v>5</v>
      </c>
      <c r="C8" s="10" t="s">
        <v>17</v>
      </c>
      <c r="D8" s="10" t="s">
        <v>13</v>
      </c>
    </row>
    <row r="9" spans="1:4">
      <c r="A9" s="10" t="s">
        <v>18</v>
      </c>
      <c r="B9" s="10" t="s">
        <v>8</v>
      </c>
      <c r="C9" s="10" t="s">
        <v>19</v>
      </c>
      <c r="D9" s="10" t="s">
        <v>13</v>
      </c>
    </row>
    <row r="10" spans="1:4">
      <c r="A10" s="10" t="s">
        <v>20</v>
      </c>
      <c r="B10" s="10" t="s">
        <v>21</v>
      </c>
      <c r="C10" s="10" t="s">
        <v>22</v>
      </c>
      <c r="D10" s="10" t="s">
        <v>23</v>
      </c>
    </row>
    <row r="11" spans="1:4">
      <c r="A11" s="10" t="s">
        <v>24</v>
      </c>
      <c r="B11" s="10" t="s">
        <v>25</v>
      </c>
      <c r="C11" s="10" t="s">
        <v>26</v>
      </c>
      <c r="D11" s="10" t="s">
        <v>23</v>
      </c>
    </row>
    <row r="12" spans="1:4">
      <c r="A12" s="10" t="s">
        <v>27</v>
      </c>
      <c r="B12" s="10" t="s">
        <v>28</v>
      </c>
      <c r="C12" s="10" t="s">
        <v>29</v>
      </c>
      <c r="D12" s="10" t="s">
        <v>6</v>
      </c>
    </row>
    <row r="13" spans="1:4">
      <c r="A13" s="10" t="s">
        <v>30</v>
      </c>
      <c r="B13" s="10" t="s">
        <v>28</v>
      </c>
      <c r="C13" s="10" t="s">
        <v>31</v>
      </c>
      <c r="D13" s="10" t="s">
        <v>32</v>
      </c>
    </row>
    <row r="14" spans="1:4">
      <c r="A14" s="10" t="s">
        <v>33</v>
      </c>
      <c r="B14" s="10" t="s">
        <v>28</v>
      </c>
      <c r="C14" s="10" t="s">
        <v>22</v>
      </c>
      <c r="D14" s="10" t="s">
        <v>13</v>
      </c>
    </row>
    <row r="15" spans="1:4">
      <c r="A15" s="10" t="s">
        <v>34</v>
      </c>
      <c r="B15" s="10" t="s">
        <v>11</v>
      </c>
      <c r="C15" s="10" t="s">
        <v>35</v>
      </c>
      <c r="D15" s="10" t="s">
        <v>13</v>
      </c>
    </row>
    <row r="16" spans="1:4">
      <c r="A16" s="10" t="s">
        <v>36</v>
      </c>
      <c r="B16" s="10" t="s">
        <v>11</v>
      </c>
      <c r="C16" s="10" t="s">
        <v>37</v>
      </c>
      <c r="D16" s="10" t="s">
        <v>6</v>
      </c>
    </row>
    <row r="17" spans="1:4">
      <c r="A17" s="10" t="s">
        <v>38</v>
      </c>
      <c r="B17" s="10" t="s">
        <v>11</v>
      </c>
      <c r="C17" s="10" t="s">
        <v>39</v>
      </c>
      <c r="D17" s="10" t="s">
        <v>32</v>
      </c>
    </row>
    <row r="18" spans="1:4">
      <c r="A18" s="10" t="s">
        <v>40</v>
      </c>
      <c r="B18" s="10" t="s">
        <v>11</v>
      </c>
      <c r="C18" s="10" t="s">
        <v>41</v>
      </c>
      <c r="D18" s="10" t="s">
        <v>42</v>
      </c>
    </row>
    <row r="19" spans="1:4">
      <c r="A19" s="10" t="s">
        <v>43</v>
      </c>
      <c r="B19" s="10" t="s">
        <v>44</v>
      </c>
      <c r="C19" s="10" t="s">
        <v>29</v>
      </c>
      <c r="D19" s="10" t="s">
        <v>6</v>
      </c>
    </row>
    <row r="20" spans="1:4">
      <c r="A20" s="10" t="s">
        <v>45</v>
      </c>
      <c r="B20" s="10" t="s">
        <v>44</v>
      </c>
      <c r="C20" s="10" t="s">
        <v>31</v>
      </c>
      <c r="D20" s="10" t="s">
        <v>32</v>
      </c>
    </row>
    <row r="21" spans="1:4">
      <c r="A21" s="10" t="s">
        <v>46</v>
      </c>
      <c r="B21" s="10" t="s">
        <v>44</v>
      </c>
      <c r="C21" s="10" t="s">
        <v>22</v>
      </c>
      <c r="D21" s="10" t="s">
        <v>13</v>
      </c>
    </row>
    <row r="22" spans="1:4">
      <c r="A22" s="10" t="s">
        <v>47</v>
      </c>
      <c r="B22" s="10" t="s">
        <v>15</v>
      </c>
      <c r="C22" s="10" t="s">
        <v>35</v>
      </c>
      <c r="D22" s="10" t="s">
        <v>13</v>
      </c>
    </row>
    <row r="23" spans="1:4">
      <c r="A23" s="10" t="s">
        <v>48</v>
      </c>
      <c r="B23" s="10" t="s">
        <v>15</v>
      </c>
      <c r="C23" s="10" t="s">
        <v>37</v>
      </c>
      <c r="D23" s="10" t="s">
        <v>6</v>
      </c>
    </row>
    <row r="24" spans="1:4">
      <c r="A24" s="10" t="s">
        <v>49</v>
      </c>
      <c r="B24" s="10" t="s">
        <v>15</v>
      </c>
      <c r="C24" s="10" t="s">
        <v>39</v>
      </c>
      <c r="D24" s="10" t="s">
        <v>32</v>
      </c>
    </row>
    <row r="25" spans="1:4">
      <c r="A25" s="10" t="s">
        <v>50</v>
      </c>
      <c r="B25" s="10" t="s">
        <v>15</v>
      </c>
      <c r="C25" s="10" t="s">
        <v>41</v>
      </c>
      <c r="D25" s="10" t="s">
        <v>42</v>
      </c>
    </row>
    <row r="27" spans="1:1">
      <c r="A27" t="s">
        <v>51</v>
      </c>
    </row>
    <row r="28" spans="1:9">
      <c r="A28" s="51" t="s">
        <v>52</v>
      </c>
      <c r="B28" s="51" t="s">
        <v>5</v>
      </c>
      <c r="C28" s="51" t="s">
        <v>53</v>
      </c>
      <c r="D28" s="51" t="s">
        <v>54</v>
      </c>
      <c r="E28" s="26"/>
      <c r="F28" s="26"/>
      <c r="G28" s="26"/>
      <c r="H28" s="26"/>
      <c r="I28" s="26"/>
    </row>
    <row r="29" spans="1:9">
      <c r="A29" s="51" t="s">
        <v>55</v>
      </c>
      <c r="B29" s="51" t="s">
        <v>8</v>
      </c>
      <c r="C29" s="51" t="s">
        <v>56</v>
      </c>
      <c r="D29" s="51" t="s">
        <v>54</v>
      </c>
      <c r="E29" s="26"/>
      <c r="F29" s="26"/>
      <c r="G29" s="26"/>
      <c r="H29" s="26"/>
      <c r="I29" s="26"/>
    </row>
    <row r="30" spans="1:9">
      <c r="A30" s="51" t="s">
        <v>57</v>
      </c>
      <c r="B30" s="51" t="s">
        <v>58</v>
      </c>
      <c r="C30" s="51" t="s">
        <v>59</v>
      </c>
      <c r="D30" s="51" t="s">
        <v>54</v>
      </c>
      <c r="E30" s="26"/>
      <c r="F30" s="26"/>
      <c r="G30" s="26"/>
      <c r="H30" s="26"/>
      <c r="I30" s="26"/>
    </row>
    <row r="31" spans="1:9">
      <c r="A31" s="51" t="s">
        <v>60</v>
      </c>
      <c r="B31" s="51" t="s">
        <v>61</v>
      </c>
      <c r="C31" s="51" t="s">
        <v>59</v>
      </c>
      <c r="D31" s="51" t="s">
        <v>54</v>
      </c>
      <c r="E31" s="26"/>
      <c r="F31" s="26"/>
      <c r="G31" s="26"/>
      <c r="H31" s="26"/>
      <c r="I31" s="26"/>
    </row>
    <row r="32" spans="1:9">
      <c r="A32" s="26"/>
      <c r="B32" s="26"/>
      <c r="C32" s="26"/>
      <c r="D32" s="26"/>
      <c r="E32" s="26"/>
      <c r="F32" s="26"/>
      <c r="G32" s="26"/>
      <c r="H32" s="26"/>
      <c r="I32" s="26"/>
    </row>
    <row r="33" spans="1:9">
      <c r="A33" s="26"/>
      <c r="B33" s="26"/>
      <c r="C33" s="26"/>
      <c r="D33" s="26"/>
      <c r="E33" s="26"/>
      <c r="F33" s="26"/>
      <c r="G33" s="26"/>
      <c r="H33" s="26"/>
      <c r="I33" s="26"/>
    </row>
    <row r="34" spans="1:9">
      <c r="A34" s="52" t="s">
        <v>62</v>
      </c>
      <c r="B34" s="52"/>
      <c r="C34" s="52"/>
      <c r="D34" s="52"/>
      <c r="E34" s="26"/>
      <c r="F34" s="26"/>
      <c r="G34" s="26"/>
      <c r="H34" s="26"/>
      <c r="I34" s="26"/>
    </row>
    <row r="35" spans="1:9">
      <c r="A35" s="51" t="s">
        <v>63</v>
      </c>
      <c r="B35" s="51" t="s">
        <v>64</v>
      </c>
      <c r="C35" s="51" t="s">
        <v>65</v>
      </c>
      <c r="D35" s="51" t="s">
        <v>6</v>
      </c>
      <c r="E35" s="26"/>
      <c r="F35" s="26"/>
      <c r="G35" s="26"/>
      <c r="H35" s="26"/>
      <c r="I35" s="26"/>
    </row>
    <row r="36" spans="1:9">
      <c r="A36" s="51" t="s">
        <v>66</v>
      </c>
      <c r="B36" s="51" t="s">
        <v>67</v>
      </c>
      <c r="C36" s="51" t="s">
        <v>65</v>
      </c>
      <c r="D36" s="51" t="s">
        <v>6</v>
      </c>
      <c r="E36" s="26"/>
      <c r="F36" s="26"/>
      <c r="G36" s="26"/>
      <c r="H36" s="26"/>
      <c r="I36" s="26"/>
    </row>
    <row r="37" spans="1:9">
      <c r="A37" s="26"/>
      <c r="B37" s="26"/>
      <c r="C37" s="26"/>
      <c r="D37" s="26"/>
      <c r="E37" s="26"/>
      <c r="F37" s="26"/>
      <c r="G37" s="26"/>
      <c r="H37" s="26"/>
      <c r="I37" s="26"/>
    </row>
    <row r="38" spans="1:9">
      <c r="A38" s="52" t="s">
        <v>68</v>
      </c>
      <c r="B38" s="52"/>
      <c r="C38" s="52"/>
      <c r="D38" s="52"/>
      <c r="E38" s="26"/>
      <c r="F38" s="26"/>
      <c r="G38" s="26"/>
      <c r="H38" s="26"/>
      <c r="I38" s="26"/>
    </row>
    <row r="39" spans="1:9">
      <c r="A39" s="51" t="s">
        <v>38</v>
      </c>
      <c r="B39" s="51" t="s">
        <v>11</v>
      </c>
      <c r="C39" s="51" t="s">
        <v>39</v>
      </c>
      <c r="D39" s="51" t="s">
        <v>23</v>
      </c>
      <c r="E39" s="53" t="s">
        <v>69</v>
      </c>
      <c r="F39" s="26"/>
      <c r="G39" s="26"/>
      <c r="H39" s="26"/>
      <c r="I39" s="26"/>
    </row>
    <row r="40" spans="1:9">
      <c r="A40" s="51" t="s">
        <v>36</v>
      </c>
      <c r="B40" s="51" t="s">
        <v>11</v>
      </c>
      <c r="C40" s="51" t="s">
        <v>37</v>
      </c>
      <c r="D40" s="51" t="s">
        <v>6</v>
      </c>
      <c r="E40" s="54"/>
      <c r="F40" s="26"/>
      <c r="G40" s="26"/>
      <c r="H40" s="26"/>
      <c r="I40" s="26"/>
    </row>
    <row r="41" spans="1:9">
      <c r="A41" s="51" t="s">
        <v>33</v>
      </c>
      <c r="B41" s="51" t="s">
        <v>28</v>
      </c>
      <c r="C41" s="51" t="s">
        <v>22</v>
      </c>
      <c r="D41" s="51" t="s">
        <v>13</v>
      </c>
      <c r="E41" s="54"/>
      <c r="F41" s="26"/>
      <c r="G41" s="26"/>
      <c r="H41" s="26"/>
      <c r="I41" s="26"/>
    </row>
    <row r="42" spans="1:9">
      <c r="A42" s="51" t="s">
        <v>70</v>
      </c>
      <c r="B42" s="51" t="s">
        <v>71</v>
      </c>
      <c r="C42" s="51" t="s">
        <v>72</v>
      </c>
      <c r="D42" s="51" t="s">
        <v>73</v>
      </c>
      <c r="E42" s="54"/>
      <c r="F42" s="26"/>
      <c r="G42" s="26"/>
      <c r="H42" s="26"/>
      <c r="I42" s="26"/>
    </row>
    <row r="43" spans="1:9">
      <c r="A43" s="51" t="s">
        <v>74</v>
      </c>
      <c r="B43" s="51" t="s">
        <v>71</v>
      </c>
      <c r="C43" s="51" t="s">
        <v>75</v>
      </c>
      <c r="D43" s="51" t="s">
        <v>6</v>
      </c>
      <c r="E43" s="54"/>
      <c r="F43" s="26"/>
      <c r="G43" s="26"/>
      <c r="H43" s="26"/>
      <c r="I43" s="26"/>
    </row>
    <row r="44" spans="1:9">
      <c r="A44" s="51" t="s">
        <v>27</v>
      </c>
      <c r="B44" s="51" t="s">
        <v>28</v>
      </c>
      <c r="C44" s="51" t="s">
        <v>29</v>
      </c>
      <c r="D44" s="51" t="s">
        <v>54</v>
      </c>
      <c r="E44" s="54"/>
      <c r="F44" s="26"/>
      <c r="G44" s="26"/>
      <c r="H44" s="26"/>
      <c r="I44" s="26"/>
    </row>
    <row r="45" spans="1:9">
      <c r="A45" s="51" t="s">
        <v>30</v>
      </c>
      <c r="B45" s="51" t="s">
        <v>28</v>
      </c>
      <c r="C45" s="51" t="s">
        <v>31</v>
      </c>
      <c r="D45" s="51" t="s">
        <v>54</v>
      </c>
      <c r="E45" s="54"/>
      <c r="F45" s="26"/>
      <c r="G45" s="26"/>
      <c r="H45" s="26"/>
      <c r="I45" s="26"/>
    </row>
    <row r="46" spans="1:9">
      <c r="A46" s="51" t="s">
        <v>34</v>
      </c>
      <c r="B46" s="51" t="s">
        <v>11</v>
      </c>
      <c r="C46" s="51" t="s">
        <v>35</v>
      </c>
      <c r="D46" s="51" t="s">
        <v>13</v>
      </c>
      <c r="E46" s="54"/>
      <c r="F46" s="26"/>
      <c r="G46" s="26"/>
      <c r="H46" s="26"/>
      <c r="I46" s="26"/>
    </row>
    <row r="47" spans="1:9">
      <c r="A47" s="51" t="s">
        <v>49</v>
      </c>
      <c r="B47" s="51" t="s">
        <v>15</v>
      </c>
      <c r="C47" s="51" t="s">
        <v>39</v>
      </c>
      <c r="D47" s="51" t="s">
        <v>23</v>
      </c>
      <c r="E47" s="54"/>
      <c r="F47" s="26"/>
      <c r="G47" s="26"/>
      <c r="H47" s="26"/>
      <c r="I47" s="26"/>
    </row>
    <row r="48" spans="1:9">
      <c r="A48" s="51" t="s">
        <v>48</v>
      </c>
      <c r="B48" s="51" t="s">
        <v>15</v>
      </c>
      <c r="C48" s="51" t="s">
        <v>37</v>
      </c>
      <c r="D48" s="51" t="s">
        <v>6</v>
      </c>
      <c r="E48" s="54"/>
      <c r="F48" s="26"/>
      <c r="G48" s="26"/>
      <c r="H48" s="26"/>
      <c r="I48" s="26"/>
    </row>
    <row r="49" spans="1:9">
      <c r="A49" s="51" t="s">
        <v>46</v>
      </c>
      <c r="B49" s="51" t="s">
        <v>44</v>
      </c>
      <c r="C49" s="51" t="s">
        <v>22</v>
      </c>
      <c r="D49" s="51" t="s">
        <v>13</v>
      </c>
      <c r="E49" s="54"/>
      <c r="F49" s="26"/>
      <c r="G49" s="26"/>
      <c r="H49" s="26"/>
      <c r="I49" s="26"/>
    </row>
    <row r="50" spans="1:9">
      <c r="A50" s="51" t="s">
        <v>76</v>
      </c>
      <c r="B50" s="51" t="s">
        <v>77</v>
      </c>
      <c r="C50" s="51" t="s">
        <v>72</v>
      </c>
      <c r="D50" s="51" t="s">
        <v>73</v>
      </c>
      <c r="E50" s="54"/>
      <c r="F50" s="26"/>
      <c r="G50" s="26"/>
      <c r="H50" s="26"/>
      <c r="I50" s="26"/>
    </row>
    <row r="51" spans="1:9">
      <c r="A51" s="51" t="s">
        <v>78</v>
      </c>
      <c r="B51" s="51" t="s">
        <v>77</v>
      </c>
      <c r="C51" s="51" t="s">
        <v>75</v>
      </c>
      <c r="D51" s="51" t="s">
        <v>6</v>
      </c>
      <c r="E51" s="54"/>
      <c r="F51" s="26"/>
      <c r="G51" s="26"/>
      <c r="H51" s="26"/>
      <c r="I51" s="26"/>
    </row>
    <row r="52" spans="1:9">
      <c r="A52" s="51" t="s">
        <v>43</v>
      </c>
      <c r="B52" s="51" t="s">
        <v>44</v>
      </c>
      <c r="C52" s="51" t="s">
        <v>29</v>
      </c>
      <c r="D52" s="51" t="s">
        <v>54</v>
      </c>
      <c r="E52" s="54"/>
      <c r="F52" s="26"/>
      <c r="G52" s="26"/>
      <c r="H52" s="26"/>
      <c r="I52" s="26"/>
    </row>
    <row r="53" spans="1:9">
      <c r="A53" s="51" t="s">
        <v>45</v>
      </c>
      <c r="B53" s="51" t="s">
        <v>44</v>
      </c>
      <c r="C53" s="51" t="s">
        <v>31</v>
      </c>
      <c r="D53" s="51" t="s">
        <v>54</v>
      </c>
      <c r="E53" s="54"/>
      <c r="F53" s="26"/>
      <c r="G53" s="26"/>
      <c r="H53" s="26"/>
      <c r="I53" s="26"/>
    </row>
    <row r="54" spans="1:9">
      <c r="A54" s="51" t="s">
        <v>47</v>
      </c>
      <c r="B54" s="51" t="s">
        <v>15</v>
      </c>
      <c r="C54" s="51" t="s">
        <v>35</v>
      </c>
      <c r="D54" s="51" t="s">
        <v>13</v>
      </c>
      <c r="E54" s="54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52" t="s">
        <v>79</v>
      </c>
      <c r="B56" s="52"/>
      <c r="C56" s="52"/>
      <c r="D56" s="52"/>
      <c r="E56" s="52"/>
      <c r="F56" s="26"/>
      <c r="G56" s="26"/>
      <c r="H56" s="26"/>
      <c r="I56" s="26"/>
    </row>
    <row r="57" spans="1:9">
      <c r="A57" s="51" t="s">
        <v>63</v>
      </c>
      <c r="B57" s="51" t="s">
        <v>64</v>
      </c>
      <c r="C57" s="51" t="s">
        <v>65</v>
      </c>
      <c r="D57" s="51" t="s">
        <v>42</v>
      </c>
      <c r="E57" s="55" t="s">
        <v>80</v>
      </c>
      <c r="F57" s="26"/>
      <c r="G57" s="26"/>
      <c r="H57" s="26"/>
      <c r="I57" s="26"/>
    </row>
    <row r="58" spans="1:9">
      <c r="A58" s="51" t="s">
        <v>66</v>
      </c>
      <c r="B58" s="51" t="s">
        <v>67</v>
      </c>
      <c r="C58" s="51" t="s">
        <v>65</v>
      </c>
      <c r="D58" s="51" t="s">
        <v>42</v>
      </c>
      <c r="E58" s="55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56" t="s">
        <v>81</v>
      </c>
      <c r="B60" s="57"/>
      <c r="C60" s="57"/>
      <c r="D60" s="57"/>
      <c r="E60" s="26"/>
      <c r="F60" s="26"/>
      <c r="G60" s="26"/>
      <c r="H60" s="26"/>
      <c r="I60" s="26"/>
    </row>
    <row r="61" spans="1:12">
      <c r="A61" s="51" t="s">
        <v>82</v>
      </c>
      <c r="B61" s="51" t="s">
        <v>83</v>
      </c>
      <c r="C61" s="51" t="s">
        <v>65</v>
      </c>
      <c r="D61" s="51" t="s">
        <v>6</v>
      </c>
      <c r="E61" s="26" t="s">
        <v>84</v>
      </c>
      <c r="F61" s="26"/>
      <c r="G61" s="58" t="s">
        <v>85</v>
      </c>
      <c r="H61" s="59" t="s">
        <v>86</v>
      </c>
      <c r="I61" s="59" t="s">
        <v>87</v>
      </c>
      <c r="J61" s="59" t="s">
        <v>88</v>
      </c>
      <c r="K61" s="59">
        <v>2</v>
      </c>
      <c r="L61" s="58" t="s">
        <v>89</v>
      </c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60" t="s">
        <v>90</v>
      </c>
      <c r="B63" s="61"/>
      <c r="C63" s="61"/>
      <c r="D63" s="61"/>
      <c r="E63" s="52"/>
      <c r="F63" s="26"/>
      <c r="G63" s="26"/>
      <c r="H63" s="26"/>
      <c r="I63" s="26"/>
    </row>
    <row r="64" spans="1:9">
      <c r="A64" s="61" t="s">
        <v>70</v>
      </c>
      <c r="B64" s="61" t="s">
        <v>91</v>
      </c>
      <c r="C64" s="61" t="s">
        <v>72</v>
      </c>
      <c r="D64" s="61" t="s">
        <v>23</v>
      </c>
      <c r="E64" s="52"/>
      <c r="F64" s="26"/>
      <c r="G64" s="26"/>
      <c r="H64" s="26"/>
      <c r="I64" s="26"/>
    </row>
    <row r="65" spans="1:9">
      <c r="A65" s="61" t="s">
        <v>76</v>
      </c>
      <c r="B65" s="61" t="s">
        <v>92</v>
      </c>
      <c r="C65" s="61" t="s">
        <v>72</v>
      </c>
      <c r="D65" s="61" t="s">
        <v>23</v>
      </c>
      <c r="E65" s="52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62" t="s">
        <v>93</v>
      </c>
      <c r="B67" s="62"/>
      <c r="C67" s="62"/>
      <c r="D67" s="62"/>
      <c r="E67" s="53" t="s">
        <v>69</v>
      </c>
      <c r="F67" s="26"/>
      <c r="G67" s="26"/>
      <c r="H67" s="26"/>
      <c r="I67" s="26"/>
    </row>
    <row r="68" spans="1:9">
      <c r="A68" s="63" t="s">
        <v>27</v>
      </c>
      <c r="B68" s="63" t="s">
        <v>28</v>
      </c>
      <c r="C68" s="63" t="s">
        <v>29</v>
      </c>
      <c r="D68" s="63" t="s">
        <v>13</v>
      </c>
      <c r="E68" s="54"/>
      <c r="F68" s="26"/>
      <c r="G68" s="26"/>
      <c r="H68" s="26"/>
      <c r="I68" s="26"/>
    </row>
    <row r="69" spans="1:9">
      <c r="A69" s="63" t="s">
        <v>30</v>
      </c>
      <c r="B69" s="63" t="s">
        <v>28</v>
      </c>
      <c r="C69" s="63" t="s">
        <v>31</v>
      </c>
      <c r="D69" s="63" t="s">
        <v>42</v>
      </c>
      <c r="E69" s="54"/>
      <c r="F69" s="26"/>
      <c r="G69" s="26"/>
      <c r="H69" s="26"/>
      <c r="I69" s="26"/>
    </row>
    <row r="70" spans="1:9">
      <c r="A70" s="63" t="s">
        <v>33</v>
      </c>
      <c r="B70" s="63" t="s">
        <v>28</v>
      </c>
      <c r="C70" s="63" t="s">
        <v>22</v>
      </c>
      <c r="D70" s="63" t="s">
        <v>13</v>
      </c>
      <c r="E70" s="54"/>
      <c r="F70" s="26"/>
      <c r="G70" s="26"/>
      <c r="H70" s="26"/>
      <c r="I70" s="26"/>
    </row>
    <row r="71" spans="1:9">
      <c r="A71" s="63" t="s">
        <v>34</v>
      </c>
      <c r="B71" s="63" t="s">
        <v>11</v>
      </c>
      <c r="C71" s="63" t="s">
        <v>35</v>
      </c>
      <c r="D71" s="63" t="s">
        <v>54</v>
      </c>
      <c r="E71" s="54"/>
      <c r="F71" s="26"/>
      <c r="G71" s="26"/>
      <c r="H71" s="26"/>
      <c r="I71" s="26"/>
    </row>
    <row r="72" spans="1:9">
      <c r="A72" s="63" t="s">
        <v>36</v>
      </c>
      <c r="B72" s="63" t="s">
        <v>11</v>
      </c>
      <c r="C72" s="63" t="s">
        <v>37</v>
      </c>
      <c r="D72" s="63" t="s">
        <v>6</v>
      </c>
      <c r="E72" s="54"/>
      <c r="F72" s="26"/>
      <c r="G72" s="26"/>
      <c r="H72" s="26"/>
      <c r="I72" s="26"/>
    </row>
    <row r="73" spans="1:9">
      <c r="A73" s="63" t="s">
        <v>38</v>
      </c>
      <c r="B73" s="63" t="s">
        <v>11</v>
      </c>
      <c r="C73" s="63" t="s">
        <v>39</v>
      </c>
      <c r="D73" s="63" t="s">
        <v>23</v>
      </c>
      <c r="E73" s="54"/>
      <c r="F73" s="26"/>
      <c r="G73" s="26"/>
      <c r="H73" s="26"/>
      <c r="I73" s="26"/>
    </row>
    <row r="74" spans="1:9">
      <c r="A74" s="63" t="s">
        <v>40</v>
      </c>
      <c r="B74" s="63" t="s">
        <v>11</v>
      </c>
      <c r="C74" s="63" t="s">
        <v>41</v>
      </c>
      <c r="D74" s="63" t="s">
        <v>42</v>
      </c>
      <c r="E74" s="54"/>
      <c r="F74" s="26"/>
      <c r="G74" s="26"/>
      <c r="H74" s="26"/>
      <c r="I74" s="26"/>
    </row>
    <row r="75" spans="1:9">
      <c r="A75" s="63" t="s">
        <v>43</v>
      </c>
      <c r="B75" s="63" t="s">
        <v>44</v>
      </c>
      <c r="C75" s="63" t="s">
        <v>29</v>
      </c>
      <c r="D75" s="63" t="s">
        <v>13</v>
      </c>
      <c r="E75" s="54"/>
      <c r="F75" s="26"/>
      <c r="G75" s="26"/>
      <c r="H75" s="26"/>
      <c r="I75" s="26"/>
    </row>
    <row r="76" spans="1:9">
      <c r="A76" s="63" t="s">
        <v>45</v>
      </c>
      <c r="B76" s="63" t="s">
        <v>44</v>
      </c>
      <c r="C76" s="63" t="s">
        <v>31</v>
      </c>
      <c r="D76" s="63" t="s">
        <v>42</v>
      </c>
      <c r="E76" s="54"/>
      <c r="F76" s="26"/>
      <c r="G76" s="26"/>
      <c r="H76" s="26"/>
      <c r="I76" s="26"/>
    </row>
    <row r="77" spans="1:9">
      <c r="A77" s="63" t="s">
        <v>46</v>
      </c>
      <c r="B77" s="63" t="s">
        <v>44</v>
      </c>
      <c r="C77" s="63" t="s">
        <v>22</v>
      </c>
      <c r="D77" s="63" t="s">
        <v>13</v>
      </c>
      <c r="E77" s="54"/>
      <c r="F77" s="26"/>
      <c r="G77" s="26"/>
      <c r="H77" s="26"/>
      <c r="I77" s="26"/>
    </row>
    <row r="78" spans="1:9">
      <c r="A78" s="63" t="s">
        <v>47</v>
      </c>
      <c r="B78" s="63" t="s">
        <v>15</v>
      </c>
      <c r="C78" s="63" t="s">
        <v>35</v>
      </c>
      <c r="D78" s="63" t="s">
        <v>54</v>
      </c>
      <c r="E78" s="54"/>
      <c r="F78" s="26"/>
      <c r="G78" s="26"/>
      <c r="H78" s="26"/>
      <c r="I78" s="26"/>
    </row>
    <row r="79" spans="1:9">
      <c r="A79" s="63" t="s">
        <v>48</v>
      </c>
      <c r="B79" s="63" t="s">
        <v>15</v>
      </c>
      <c r="C79" s="63" t="s">
        <v>37</v>
      </c>
      <c r="D79" s="63" t="s">
        <v>6</v>
      </c>
      <c r="E79" s="54"/>
      <c r="F79" s="26"/>
      <c r="G79" s="26"/>
      <c r="H79" s="26"/>
      <c r="I79" s="26"/>
    </row>
    <row r="80" spans="1:9">
      <c r="A80" s="63" t="s">
        <v>49</v>
      </c>
      <c r="B80" s="63" t="s">
        <v>15</v>
      </c>
      <c r="C80" s="63" t="s">
        <v>39</v>
      </c>
      <c r="D80" s="63" t="s">
        <v>23</v>
      </c>
      <c r="E80" s="54"/>
      <c r="F80" s="26"/>
      <c r="G80" s="26"/>
      <c r="H80" s="26"/>
      <c r="I80" s="26"/>
    </row>
    <row r="81" spans="1:9">
      <c r="A81" s="63" t="s">
        <v>50</v>
      </c>
      <c r="B81" s="63" t="s">
        <v>15</v>
      </c>
      <c r="C81" s="63" t="s">
        <v>41</v>
      </c>
      <c r="D81" s="63" t="s">
        <v>42</v>
      </c>
      <c r="E81" s="54"/>
      <c r="F81" s="26"/>
      <c r="G81" s="26"/>
      <c r="H81" s="26"/>
      <c r="I81" s="26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34" sqref="D34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87701C4</v>
      </c>
      <c r="Y2" t="str">
        <f>"0x"&amp;RIGHT("00000000"&amp;X2,8)&amp;","</f>
        <v>0x087701C4,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3</v>
      </c>
      <c r="E3" s="43">
        <v>3</v>
      </c>
      <c r="F3" s="43">
        <v>3</v>
      </c>
      <c r="G3" s="43">
        <v>3</v>
      </c>
      <c r="H3" s="43">
        <v>3</v>
      </c>
      <c r="I3" s="43">
        <v>3</v>
      </c>
      <c r="J3" s="43">
        <v>3</v>
      </c>
      <c r="K3" s="43">
        <v>3</v>
      </c>
      <c r="L3" s="43">
        <v>3</v>
      </c>
      <c r="M3" s="43">
        <v>3</v>
      </c>
      <c r="N3" s="43">
        <v>3</v>
      </c>
      <c r="O3" s="43">
        <v>3</v>
      </c>
      <c r="P3" s="43">
        <v>3</v>
      </c>
      <c r="Q3" s="43">
        <v>3</v>
      </c>
      <c r="R3" s="43">
        <v>3</v>
      </c>
      <c r="S3" s="43">
        <v>3</v>
      </c>
      <c r="V3" s="38"/>
      <c r="W3" s="37" t="s">
        <v>110</v>
      </c>
      <c r="X3" s="39" t="str">
        <f>S31</f>
        <v>A9A9DADB</v>
      </c>
      <c r="Y3" t="str">
        <f t="shared" ref="Y3:Y49" si="0">"0x"&amp;RIGHT("00000000"&amp;X3,8)&amp;","</f>
        <v>0xA9A9DADB,</v>
      </c>
      <c r="Z3" s="37"/>
    </row>
    <row r="4" spans="1:26">
      <c r="A4" s="9" t="s">
        <v>111</v>
      </c>
      <c r="B4" s="10" t="s">
        <v>112</v>
      </c>
      <c r="C4" s="7">
        <v>6</v>
      </c>
      <c r="D4" s="43">
        <v>18</v>
      </c>
      <c r="E4" s="43">
        <v>12</v>
      </c>
      <c r="F4" s="46">
        <v>12</v>
      </c>
      <c r="G4" s="46">
        <v>12</v>
      </c>
      <c r="H4" s="46">
        <v>12</v>
      </c>
      <c r="I4" s="46">
        <v>12</v>
      </c>
      <c r="J4" s="46">
        <v>12</v>
      </c>
      <c r="K4" s="46">
        <v>12</v>
      </c>
      <c r="L4" s="46">
        <v>12</v>
      </c>
      <c r="M4" s="46">
        <v>12</v>
      </c>
      <c r="N4" s="46">
        <v>12</v>
      </c>
      <c r="O4" s="46">
        <v>12</v>
      </c>
      <c r="P4" s="46">
        <v>12</v>
      </c>
      <c r="Q4" s="46">
        <v>12</v>
      </c>
      <c r="R4" s="46">
        <v>12</v>
      </c>
      <c r="S4" s="46">
        <v>12</v>
      </c>
      <c r="V4" s="38"/>
      <c r="W4" s="37" t="s">
        <v>113</v>
      </c>
      <c r="X4" s="39" t="str">
        <f>S30</f>
        <v>CC91A</v>
      </c>
      <c r="Y4" t="str">
        <f t="shared" si="0"/>
        <v>0x000CC91A,</v>
      </c>
      <c r="Z4" s="37"/>
    </row>
    <row r="5" spans="1:26">
      <c r="A5" s="9" t="s">
        <v>114</v>
      </c>
      <c r="B5" s="10" t="s">
        <v>115</v>
      </c>
      <c r="C5" s="7">
        <v>6</v>
      </c>
      <c r="D5" s="43">
        <v>63</v>
      </c>
      <c r="E5" s="43">
        <v>63</v>
      </c>
      <c r="F5" s="46">
        <v>36</v>
      </c>
      <c r="G5" s="46">
        <v>36</v>
      </c>
      <c r="H5" s="46">
        <v>36</v>
      </c>
      <c r="I5" s="46">
        <v>36</v>
      </c>
      <c r="J5" s="46">
        <v>36</v>
      </c>
      <c r="K5" s="46">
        <v>36</v>
      </c>
      <c r="L5" s="46">
        <v>36</v>
      </c>
      <c r="M5" s="46">
        <v>36</v>
      </c>
      <c r="N5" s="46">
        <v>36</v>
      </c>
      <c r="O5" s="46">
        <v>36</v>
      </c>
      <c r="P5" s="46">
        <v>36</v>
      </c>
      <c r="Q5" s="46">
        <v>36</v>
      </c>
      <c r="R5" s="46">
        <v>36</v>
      </c>
      <c r="S5" s="46">
        <v>36</v>
      </c>
      <c r="V5" s="38">
        <v>1</v>
      </c>
      <c r="W5" s="37" t="s">
        <v>106</v>
      </c>
      <c r="X5" s="39" t="str">
        <f>R32</f>
        <v>8770085</v>
      </c>
      <c r="Y5" t="str">
        <f t="shared" si="0"/>
        <v>0x08770085,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A9ADDADB</v>
      </c>
      <c r="Y6" t="str">
        <f t="shared" si="0"/>
        <v>0xA9ADDADB,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CC91A</v>
      </c>
      <c r="Y7" t="str">
        <f t="shared" si="0"/>
        <v>0x000CC91A,</v>
      </c>
      <c r="Z7" s="37"/>
    </row>
    <row r="8" spans="1:26">
      <c r="A8" s="5" t="s">
        <v>121</v>
      </c>
      <c r="B8" s="10" t="s">
        <v>122</v>
      </c>
      <c r="C8" s="7">
        <v>4</v>
      </c>
      <c r="D8" s="43">
        <v>13</v>
      </c>
      <c r="E8" s="43">
        <v>13</v>
      </c>
      <c r="F8" s="43">
        <v>9</v>
      </c>
      <c r="G8" s="43">
        <v>9</v>
      </c>
      <c r="H8" s="43">
        <v>9</v>
      </c>
      <c r="I8" s="43">
        <v>9</v>
      </c>
      <c r="J8" s="43">
        <v>9</v>
      </c>
      <c r="K8" s="43">
        <v>9</v>
      </c>
      <c r="L8" s="43">
        <v>9</v>
      </c>
      <c r="M8" s="43">
        <v>9</v>
      </c>
      <c r="N8" s="43">
        <v>9</v>
      </c>
      <c r="O8" s="43">
        <v>9</v>
      </c>
      <c r="P8" s="43">
        <v>9</v>
      </c>
      <c r="Q8" s="43">
        <v>9</v>
      </c>
      <c r="R8" s="43">
        <v>9</v>
      </c>
      <c r="S8" s="43">
        <v>9</v>
      </c>
      <c r="V8" s="38">
        <v>2</v>
      </c>
      <c r="W8" s="37" t="s">
        <v>106</v>
      </c>
      <c r="X8" s="39" t="str">
        <f>Q32</f>
        <v>87700A6</v>
      </c>
      <c r="Y8" t="str">
        <f t="shared" si="0"/>
        <v>0x087700A6,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43">
        <v>5</v>
      </c>
      <c r="E9" s="43">
        <v>5</v>
      </c>
      <c r="F9" s="43">
        <v>5</v>
      </c>
      <c r="G9" s="43">
        <v>5</v>
      </c>
      <c r="H9" s="43">
        <v>5</v>
      </c>
      <c r="I9" s="43">
        <v>5</v>
      </c>
      <c r="J9" s="43">
        <v>5</v>
      </c>
      <c r="K9" s="43">
        <v>5</v>
      </c>
      <c r="L9" s="43">
        <v>5</v>
      </c>
      <c r="M9" s="43">
        <v>5</v>
      </c>
      <c r="N9" s="43">
        <v>5</v>
      </c>
      <c r="O9" s="43">
        <v>5</v>
      </c>
      <c r="P9" s="43">
        <v>5</v>
      </c>
      <c r="Q9" s="43">
        <v>5</v>
      </c>
      <c r="R9" s="43">
        <v>5</v>
      </c>
      <c r="S9" s="43">
        <v>5</v>
      </c>
      <c r="V9" s="38"/>
      <c r="W9" s="37" t="s">
        <v>110</v>
      </c>
      <c r="X9" s="39" t="str">
        <f>Q31</f>
        <v>A9ADDADB</v>
      </c>
      <c r="Y9" t="str">
        <f t="shared" si="0"/>
        <v>0xA9ADDADB,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14</v>
      </c>
      <c r="K10" s="43">
        <v>12</v>
      </c>
      <c r="L10" s="43">
        <v>12</v>
      </c>
      <c r="M10" s="43">
        <v>9</v>
      </c>
      <c r="N10" s="43">
        <v>9</v>
      </c>
      <c r="O10" s="43">
        <v>8</v>
      </c>
      <c r="P10" s="43">
        <v>8</v>
      </c>
      <c r="Q10" s="43">
        <v>6</v>
      </c>
      <c r="R10" s="43">
        <v>6</v>
      </c>
      <c r="S10" s="43">
        <v>4</v>
      </c>
      <c r="V10" s="38"/>
      <c r="W10" s="37" t="s">
        <v>113</v>
      </c>
      <c r="X10" s="39" t="str">
        <f>Q30</f>
        <v>CC91A</v>
      </c>
      <c r="Y10" t="str">
        <f t="shared" si="0"/>
        <v>0x000CC91A,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8770066</v>
      </c>
      <c r="Y11" t="str">
        <f t="shared" si="0"/>
        <v>0x08770066,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A9B1DADB</v>
      </c>
      <c r="Y12" t="str">
        <f t="shared" si="0"/>
        <v>0xA9B1DADB,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43">
        <v>53</v>
      </c>
      <c r="E13" s="43">
        <v>53</v>
      </c>
      <c r="F13" s="43">
        <v>53</v>
      </c>
      <c r="G13" s="43">
        <v>53</v>
      </c>
      <c r="H13" s="43">
        <v>53</v>
      </c>
      <c r="I13" s="43">
        <v>53</v>
      </c>
      <c r="J13" s="43">
        <v>53</v>
      </c>
      <c r="K13" s="43">
        <v>53</v>
      </c>
      <c r="L13" s="43">
        <v>53</v>
      </c>
      <c r="M13" s="43">
        <v>53</v>
      </c>
      <c r="N13" s="43">
        <v>53</v>
      </c>
      <c r="O13" s="43">
        <v>53</v>
      </c>
      <c r="P13" s="43">
        <v>53</v>
      </c>
      <c r="Q13" s="43">
        <v>53</v>
      </c>
      <c r="R13" s="43">
        <v>53</v>
      </c>
      <c r="S13" s="43">
        <v>53</v>
      </c>
      <c r="V13" s="38"/>
      <c r="W13" s="37" t="s">
        <v>113</v>
      </c>
      <c r="X13" s="39" t="str">
        <f>P30</f>
        <v>CC91A</v>
      </c>
      <c r="Y13" t="str">
        <f t="shared" si="0"/>
        <v>0x000CC91A,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87700C7</v>
      </c>
      <c r="Y14" t="str">
        <f t="shared" si="0"/>
        <v>0x087700C7,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4</v>
      </c>
      <c r="E15" s="43">
        <v>4</v>
      </c>
      <c r="F15" s="43">
        <v>4</v>
      </c>
      <c r="G15" s="43">
        <v>4</v>
      </c>
      <c r="H15" s="43">
        <v>4</v>
      </c>
      <c r="I15" s="43">
        <v>4</v>
      </c>
      <c r="J15" s="43">
        <v>4</v>
      </c>
      <c r="K15" s="43">
        <v>4</v>
      </c>
      <c r="L15" s="43">
        <v>4</v>
      </c>
      <c r="M15" s="43">
        <v>4</v>
      </c>
      <c r="N15" s="43">
        <v>4</v>
      </c>
      <c r="O15" s="43">
        <v>4</v>
      </c>
      <c r="P15" s="43">
        <v>4</v>
      </c>
      <c r="Q15" s="43">
        <v>4</v>
      </c>
      <c r="R15" s="43">
        <v>4</v>
      </c>
      <c r="S15" s="43">
        <v>4</v>
      </c>
      <c r="V15" s="38"/>
      <c r="W15" s="37" t="s">
        <v>110</v>
      </c>
      <c r="X15" s="39" t="str">
        <f>O31</f>
        <v>A9B1DADB</v>
      </c>
      <c r="Y15" t="str">
        <f t="shared" si="0"/>
        <v>0xA9B1DADB,</v>
      </c>
      <c r="Z15" s="37"/>
    </row>
    <row r="16" spans="1:26">
      <c r="A16" s="12" t="s">
        <v>140</v>
      </c>
      <c r="B16" s="6" t="s">
        <v>141</v>
      </c>
      <c r="C16" s="7">
        <v>4</v>
      </c>
      <c r="D16" s="43">
        <v>2</v>
      </c>
      <c r="E16" s="43">
        <v>2</v>
      </c>
      <c r="F16" s="43">
        <v>2</v>
      </c>
      <c r="G16" s="43">
        <v>2</v>
      </c>
      <c r="H16" s="43">
        <v>2</v>
      </c>
      <c r="I16" s="43">
        <v>2</v>
      </c>
      <c r="J16" s="43">
        <v>2</v>
      </c>
      <c r="K16" s="43">
        <v>2</v>
      </c>
      <c r="L16" s="43">
        <v>2</v>
      </c>
      <c r="M16" s="43">
        <v>2</v>
      </c>
      <c r="N16" s="43">
        <v>2</v>
      </c>
      <c r="O16" s="43">
        <v>2</v>
      </c>
      <c r="P16" s="43">
        <v>2</v>
      </c>
      <c r="Q16" s="43">
        <v>2</v>
      </c>
      <c r="R16" s="43">
        <v>2</v>
      </c>
      <c r="S16" s="43">
        <v>2</v>
      </c>
      <c r="V16" s="38"/>
      <c r="W16" s="37" t="s">
        <v>113</v>
      </c>
      <c r="X16" s="39" t="str">
        <f>O30</f>
        <v>CC91A</v>
      </c>
      <c r="Y16" t="str">
        <f t="shared" si="0"/>
        <v>0x000CC91A,</v>
      </c>
      <c r="Z16" s="37"/>
    </row>
    <row r="17" spans="1:26">
      <c r="A17" s="12" t="s">
        <v>142</v>
      </c>
      <c r="B17" s="6" t="s">
        <v>143</v>
      </c>
      <c r="C17" s="7">
        <v>4</v>
      </c>
      <c r="D17" s="43">
        <v>3</v>
      </c>
      <c r="E17" s="43">
        <v>2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87700A7</v>
      </c>
      <c r="Y17" t="str">
        <f t="shared" si="0"/>
        <v>0x087700A7,</v>
      </c>
      <c r="Z17" s="37" t="s">
        <v>144</v>
      </c>
    </row>
    <row r="18" spans="1:26">
      <c r="A18" s="12" t="s">
        <v>145</v>
      </c>
      <c r="B18" s="6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A9B3DADB</v>
      </c>
      <c r="Y18" t="str">
        <f t="shared" si="0"/>
        <v>0xA9B3DADB,</v>
      </c>
      <c r="Z18" s="37"/>
    </row>
    <row r="19" spans="1:26">
      <c r="A19" s="12" t="s">
        <v>147</v>
      </c>
      <c r="B19" s="6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CC91A</v>
      </c>
      <c r="Y19" t="str">
        <f t="shared" si="0"/>
        <v>0x000CC91A,</v>
      </c>
      <c r="Z19" s="37"/>
    </row>
    <row r="20" spans="1:26">
      <c r="A20" s="12" t="s">
        <v>149</v>
      </c>
      <c r="B20" s="6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87701E7</v>
      </c>
      <c r="Y20" t="str">
        <f t="shared" si="0"/>
        <v>0x087701E7,</v>
      </c>
      <c r="Z20" s="37" t="s">
        <v>151</v>
      </c>
    </row>
    <row r="21" spans="1:26">
      <c r="A21" s="12" t="s">
        <v>152</v>
      </c>
      <c r="B21" s="6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A9B3DADB</v>
      </c>
      <c r="Y21" t="str">
        <f t="shared" si="0"/>
        <v>0xA9B3DADB,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CC91A</v>
      </c>
      <c r="Y22" t="str">
        <f t="shared" si="0"/>
        <v>0x000CC91A,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8770227</v>
      </c>
      <c r="Y23" t="str">
        <f t="shared" si="0"/>
        <v>0x08770227,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25</v>
      </c>
      <c r="E24" s="43">
        <v>25</v>
      </c>
      <c r="F24" s="43">
        <v>30</v>
      </c>
      <c r="G24" s="43">
        <v>30</v>
      </c>
      <c r="H24" s="43">
        <v>24</v>
      </c>
      <c r="I24" s="43">
        <v>16</v>
      </c>
      <c r="J24" s="43">
        <v>19</v>
      </c>
      <c r="K24" s="43">
        <v>19</v>
      </c>
      <c r="L24" s="43">
        <v>17</v>
      </c>
      <c r="M24" s="43">
        <v>15</v>
      </c>
      <c r="N24" s="43">
        <v>5</v>
      </c>
      <c r="O24" s="43">
        <v>6</v>
      </c>
      <c r="P24" s="43">
        <v>3</v>
      </c>
      <c r="Q24" s="43">
        <v>5</v>
      </c>
      <c r="R24" s="43">
        <v>4</v>
      </c>
      <c r="S24" s="43">
        <v>14</v>
      </c>
      <c r="V24" s="38"/>
      <c r="W24" s="37" t="s">
        <v>110</v>
      </c>
      <c r="X24" s="39" t="str">
        <f>L31</f>
        <v>A9B9DADB</v>
      </c>
      <c r="Y24" t="str">
        <f t="shared" si="0"/>
        <v>0xA9B9DADB,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27</v>
      </c>
      <c r="E25" s="43">
        <v>27</v>
      </c>
      <c r="F25" s="43">
        <v>27</v>
      </c>
      <c r="G25" s="43">
        <v>20</v>
      </c>
      <c r="H25" s="43">
        <v>14</v>
      </c>
      <c r="I25" s="43">
        <v>14</v>
      </c>
      <c r="J25" s="43">
        <v>10</v>
      </c>
      <c r="K25" s="43">
        <v>9</v>
      </c>
      <c r="L25" s="43">
        <v>7</v>
      </c>
      <c r="M25" s="43">
        <v>7</v>
      </c>
      <c r="N25" s="43">
        <v>7</v>
      </c>
      <c r="O25" s="43">
        <v>7</v>
      </c>
      <c r="P25" s="43">
        <v>6</v>
      </c>
      <c r="Q25" s="43">
        <v>6</v>
      </c>
      <c r="R25" s="43">
        <v>5</v>
      </c>
      <c r="S25" s="43">
        <v>4</v>
      </c>
      <c r="V25" s="38"/>
      <c r="W25" s="37" t="s">
        <v>113</v>
      </c>
      <c r="X25" s="39" t="str">
        <f>L30</f>
        <v>CC91A</v>
      </c>
      <c r="Y25" t="str">
        <f t="shared" si="0"/>
        <v>0x000CC91A,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163</v>
      </c>
      <c r="E26" s="16" t="s">
        <v>164</v>
      </c>
      <c r="F26" s="16" t="s">
        <v>165</v>
      </c>
      <c r="G26" s="16" t="s">
        <v>148</v>
      </c>
      <c r="H26" s="16" t="s">
        <v>166</v>
      </c>
      <c r="I26" s="16" t="s">
        <v>167</v>
      </c>
      <c r="J26" s="16" t="s">
        <v>168</v>
      </c>
      <c r="K26" s="16" t="s">
        <v>155</v>
      </c>
      <c r="L26" s="16" t="s">
        <v>169</v>
      </c>
      <c r="M26" s="16" t="s">
        <v>73</v>
      </c>
      <c r="N26" s="16" t="s">
        <v>23</v>
      </c>
      <c r="O26" s="16" t="s">
        <v>32</v>
      </c>
      <c r="P26" s="16" t="s">
        <v>54</v>
      </c>
      <c r="Q26" s="16" t="s">
        <v>6</v>
      </c>
      <c r="R26" s="16" t="s">
        <v>170</v>
      </c>
      <c r="S26" s="16" t="s">
        <v>171</v>
      </c>
      <c r="V26" s="38">
        <v>8</v>
      </c>
      <c r="W26" s="37" t="s">
        <v>106</v>
      </c>
      <c r="X26" s="39" t="str">
        <f>K32</f>
        <v>8770269</v>
      </c>
      <c r="Y26" t="str">
        <f t="shared" si="0"/>
        <v>0x08770269,</v>
      </c>
      <c r="Z26" s="37" t="s">
        <v>172</v>
      </c>
    </row>
    <row r="27" spans="1:26">
      <c r="A27" s="14" t="s">
        <v>173</v>
      </c>
      <c r="B27" s="14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V27" s="38"/>
      <c r="W27" s="37" t="s">
        <v>110</v>
      </c>
      <c r="X27" s="39" t="str">
        <f>K31</f>
        <v>A9B9DADB</v>
      </c>
      <c r="Y27" t="str">
        <f t="shared" si="0"/>
        <v>0xA9B9DADB,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CC91A</v>
      </c>
      <c r="Y28" t="str">
        <f t="shared" si="0"/>
        <v>0x000CC91A,</v>
      </c>
      <c r="Z28" s="37"/>
    </row>
    <row r="29" spans="1:26">
      <c r="A29" s="18" t="s">
        <v>174</v>
      </c>
      <c r="B29" s="18"/>
      <c r="C29" s="18"/>
      <c r="D29" s="18" t="s">
        <v>163</v>
      </c>
      <c r="E29" s="18" t="s">
        <v>164</v>
      </c>
      <c r="F29" s="18" t="s">
        <v>165</v>
      </c>
      <c r="G29" s="18" t="s">
        <v>148</v>
      </c>
      <c r="H29" s="18" t="s">
        <v>166</v>
      </c>
      <c r="I29" s="18" t="s">
        <v>167</v>
      </c>
      <c r="J29" s="18" t="s">
        <v>168</v>
      </c>
      <c r="K29" s="18" t="s">
        <v>155</v>
      </c>
      <c r="L29" s="18" t="s">
        <v>169</v>
      </c>
      <c r="M29" s="18" t="s">
        <v>73</v>
      </c>
      <c r="N29" s="18" t="s">
        <v>23</v>
      </c>
      <c r="O29" s="18" t="s">
        <v>32</v>
      </c>
      <c r="P29" s="18" t="s">
        <v>54</v>
      </c>
      <c r="Q29" s="18" t="s">
        <v>6</v>
      </c>
      <c r="R29" s="18" t="s">
        <v>170</v>
      </c>
      <c r="S29" s="18" t="s">
        <v>171</v>
      </c>
      <c r="V29" s="38">
        <v>9</v>
      </c>
      <c r="W29" s="37" t="s">
        <v>106</v>
      </c>
      <c r="X29" s="39" t="str">
        <f>J32</f>
        <v>877026A</v>
      </c>
      <c r="Y29" t="str">
        <f t="shared" si="0"/>
        <v>0x0877026A,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D2FDA</v>
      </c>
      <c r="E30" s="21" t="str">
        <f>DEC2HEX(POWER(2,0)*E6+POWER(2,6)*E5+POWER(2,12)*E4+POWER(2,18)*E3+POWER(2,23)*E2)</f>
        <v>CCFDA</v>
      </c>
      <c r="F30" s="21" t="str">
        <f t="shared" ref="F30:S30" si="1">DEC2HEX(POWER(2,0)*F6+POWER(2,6)*F5+POWER(2,12)*F4+POWER(2,18)*F3+POWER(2,23)*F2)</f>
        <v>CC91A</v>
      </c>
      <c r="G30" s="21" t="str">
        <f t="shared" si="1"/>
        <v>CC91A</v>
      </c>
      <c r="H30" s="21" t="str">
        <f t="shared" si="1"/>
        <v>CC91A</v>
      </c>
      <c r="I30" s="21" t="str">
        <f t="shared" si="1"/>
        <v>CC91A</v>
      </c>
      <c r="J30" s="21" t="str">
        <f t="shared" si="1"/>
        <v>CC91A</v>
      </c>
      <c r="K30" s="21" t="str">
        <f t="shared" si="1"/>
        <v>CC91A</v>
      </c>
      <c r="L30" s="21" t="str">
        <f t="shared" si="1"/>
        <v>CC91A</v>
      </c>
      <c r="M30" s="21" t="str">
        <f t="shared" si="1"/>
        <v>CC91A</v>
      </c>
      <c r="N30" s="21" t="str">
        <f t="shared" si="1"/>
        <v>CC91A</v>
      </c>
      <c r="O30" s="21" t="str">
        <f t="shared" si="1"/>
        <v>CC91A</v>
      </c>
      <c r="P30" s="21" t="str">
        <f t="shared" si="1"/>
        <v>CC91A</v>
      </c>
      <c r="Q30" s="21" t="str">
        <f t="shared" si="1"/>
        <v>CC91A</v>
      </c>
      <c r="R30" s="21" t="str">
        <f t="shared" si="1"/>
        <v>CC91A</v>
      </c>
      <c r="S30" s="21" t="str">
        <f t="shared" si="1"/>
        <v>CC91A</v>
      </c>
      <c r="V30" s="38"/>
      <c r="W30" s="37" t="s">
        <v>110</v>
      </c>
      <c r="X30" s="39" t="str">
        <f>J31</f>
        <v>A9BDDADB</v>
      </c>
      <c r="Y30" t="str">
        <f t="shared" si="0"/>
        <v>0xA9BDDADB,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ADBFDADB</v>
      </c>
      <c r="E31" s="21" t="str">
        <f>DEC2HEX(POWER(2,0)*INT(E15/4)+POWER(2,1)*E14+POWER(2,7)*E13+POWER(2,13)*E12+POWER(2,14)*E11+POWER(2,17)*E10+POWER(2,21)*E9+POWER(2,24)*E8+POWER(2,28)*E7)</f>
        <v>ADBFDADB</v>
      </c>
      <c r="F31" s="21" t="str">
        <f t="shared" ref="F31:S31" si="2">DEC2HEX(POWER(2,0)*INT(F15/4)+POWER(2,1)*F14+POWER(2,7)*F13+POWER(2,13)*F12+POWER(2,14)*F11+POWER(2,17)*F10+POWER(2,21)*F9+POWER(2,24)*F8+POWER(2,28)*F7)</f>
        <v>A9BFDADB</v>
      </c>
      <c r="G31" s="21" t="str">
        <f t="shared" si="2"/>
        <v>A9BFDADB</v>
      </c>
      <c r="H31" s="21" t="str">
        <f t="shared" si="2"/>
        <v>A9BFDADB</v>
      </c>
      <c r="I31" s="21" t="str">
        <f t="shared" si="2"/>
        <v>A9BDDADB</v>
      </c>
      <c r="J31" s="21" t="str">
        <f t="shared" si="2"/>
        <v>A9BDDADB</v>
      </c>
      <c r="K31" s="21" t="str">
        <f t="shared" si="2"/>
        <v>A9B9DADB</v>
      </c>
      <c r="L31" s="21" t="str">
        <f t="shared" si="2"/>
        <v>A9B9DADB</v>
      </c>
      <c r="M31" s="21" t="str">
        <f t="shared" si="2"/>
        <v>A9B3DADB</v>
      </c>
      <c r="N31" s="21" t="str">
        <f t="shared" si="2"/>
        <v>A9B3DADB</v>
      </c>
      <c r="O31" s="21" t="str">
        <f t="shared" si="2"/>
        <v>A9B1DADB</v>
      </c>
      <c r="P31" s="21" t="str">
        <f t="shared" si="2"/>
        <v>A9B1DADB</v>
      </c>
      <c r="Q31" s="21" t="str">
        <f t="shared" si="2"/>
        <v>A9ADDADB</v>
      </c>
      <c r="R31" s="21" t="str">
        <f t="shared" si="2"/>
        <v>A9ADDADB</v>
      </c>
      <c r="S31" s="21" t="str">
        <f t="shared" si="2"/>
        <v>A9A9DADB</v>
      </c>
      <c r="V31" s="38"/>
      <c r="W31" s="37" t="s">
        <v>113</v>
      </c>
      <c r="X31" s="39" t="str">
        <f>J30</f>
        <v>CC91A</v>
      </c>
      <c r="Y31" t="str">
        <f t="shared" si="0"/>
        <v>0x000CC91A,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8F7033B</v>
      </c>
      <c r="E32" s="21" t="str">
        <f>DEC2HEX(POWER(2,0)*E25+POWER(2,5)*E24+POWER(2,10)*E23+POWER(2,12)*E22+POWER(2,13)*E21+POWER(2,17)*E20+POWER(2,20)*E19+POWER(2,21)*E18+POWER(2,22)*E17+POWER(2,26)*E16+POWER(2,30)*MOD(E15,4))</f>
        <v>8B7033B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21" t="str">
        <f t="shared" si="3"/>
        <v>87703D4</v>
      </c>
      <c r="H32" s="21" t="str">
        <f t="shared" si="3"/>
        <v>877030E</v>
      </c>
      <c r="I32" s="21" t="str">
        <f t="shared" si="3"/>
        <v>877020E</v>
      </c>
      <c r="J32" s="21" t="str">
        <f t="shared" si="3"/>
        <v>877026A</v>
      </c>
      <c r="K32" s="21" t="str">
        <f t="shared" si="3"/>
        <v>8770269</v>
      </c>
      <c r="L32" s="21" t="str">
        <f t="shared" si="3"/>
        <v>8770227</v>
      </c>
      <c r="M32" s="21" t="str">
        <f t="shared" si="3"/>
        <v>87701E7</v>
      </c>
      <c r="N32" s="21" t="str">
        <f t="shared" si="3"/>
        <v>87700A7</v>
      </c>
      <c r="O32" s="21" t="str">
        <f t="shared" si="3"/>
        <v>87700C7</v>
      </c>
      <c r="P32" s="21" t="str">
        <f t="shared" si="3"/>
        <v>8770066</v>
      </c>
      <c r="Q32" s="21" t="str">
        <f t="shared" si="3"/>
        <v>87700A6</v>
      </c>
      <c r="R32" s="21" t="str">
        <f t="shared" si="3"/>
        <v>8770085</v>
      </c>
      <c r="S32" s="21" t="str">
        <f t="shared" si="3"/>
        <v>87701C4</v>
      </c>
      <c r="V32" s="38" t="s">
        <v>179</v>
      </c>
      <c r="W32" s="37" t="s">
        <v>106</v>
      </c>
      <c r="X32" s="39" t="str">
        <f>I32</f>
        <v>877020E</v>
      </c>
      <c r="Y32" t="str">
        <f t="shared" si="0"/>
        <v>0x0877020E,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A9BDDADB</v>
      </c>
      <c r="Y33" t="str">
        <f t="shared" si="0"/>
        <v>0xA9BDDADB,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CC91A</v>
      </c>
      <c r="Y34" t="str">
        <f t="shared" si="0"/>
        <v>0x000CC91A,</v>
      </c>
      <c r="Z34" s="37"/>
    </row>
    <row r="35" spans="1:26">
      <c r="A35" s="14"/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877030E</v>
      </c>
      <c r="Y35" t="str">
        <f t="shared" si="0"/>
        <v>0x0877030E,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A9BFDADB</v>
      </c>
      <c r="Y36" t="str">
        <f t="shared" si="0"/>
        <v>0xA9BFDADB,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CC91A</v>
      </c>
      <c r="Y37" t="str">
        <f t="shared" si="0"/>
        <v>0x000CC91A,</v>
      </c>
      <c r="Z37" s="37"/>
    </row>
    <row r="38" spans="1:26">
      <c r="A38" s="47"/>
      <c r="B38" s="14"/>
      <c r="C38" s="15"/>
      <c r="D38" s="31"/>
      <c r="V38" s="38" t="s">
        <v>183</v>
      </c>
      <c r="W38" s="37" t="s">
        <v>106</v>
      </c>
      <c r="X38" s="39" t="str">
        <f>G32</f>
        <v>87703D4</v>
      </c>
      <c r="Y38" t="str">
        <f t="shared" si="0"/>
        <v>0x087703D4,</v>
      </c>
      <c r="Z38" s="37" t="s">
        <v>184</v>
      </c>
    </row>
    <row r="39" spans="1:26">
      <c r="A39" s="47"/>
      <c r="B39" s="14"/>
      <c r="C39" s="48"/>
      <c r="D39" s="31"/>
      <c r="H39" s="26"/>
      <c r="J39" s="26"/>
      <c r="K39" s="26"/>
      <c r="L39" s="26"/>
      <c r="V39" s="38"/>
      <c r="W39" s="37" t="s">
        <v>110</v>
      </c>
      <c r="X39" s="39" t="str">
        <f>G31</f>
        <v>A9BFDADB</v>
      </c>
      <c r="Y39" t="str">
        <f t="shared" si="0"/>
        <v>0xA9BFDADB,</v>
      </c>
      <c r="Z39" s="37"/>
    </row>
    <row r="40" spans="1:26">
      <c r="A40" s="47"/>
      <c r="B40" s="14"/>
      <c r="C40" s="48"/>
      <c r="D40" s="31"/>
      <c r="H40" s="26"/>
      <c r="J40" s="26"/>
      <c r="K40" s="26"/>
      <c r="L40" s="26"/>
      <c r="V40" s="38"/>
      <c r="W40" s="37" t="s">
        <v>113</v>
      </c>
      <c r="X40" s="39" t="str">
        <f>G30</f>
        <v>CC91A</v>
      </c>
      <c r="Y40" t="str">
        <f t="shared" si="0"/>
        <v>0x000CC91A,</v>
      </c>
      <c r="Z40" s="37"/>
    </row>
    <row r="41" spans="1:26">
      <c r="A41" s="23"/>
      <c r="B41" s="24"/>
      <c r="D41" s="25"/>
      <c r="H41" s="26"/>
      <c r="J41" s="26"/>
      <c r="K41" s="26"/>
      <c r="L41" s="26"/>
      <c r="V41" s="38" t="s">
        <v>185</v>
      </c>
      <c r="W41" s="37" t="s">
        <v>106</v>
      </c>
      <c r="X41" s="39" t="str">
        <f>F32</f>
        <v>87703DB</v>
      </c>
      <c r="Y41" t="str">
        <f t="shared" si="0"/>
        <v>0x087703DB,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A9BFDADB</v>
      </c>
      <c r="Y42" t="str">
        <f t="shared" si="0"/>
        <v>0xA9BFDADB,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CC91A</v>
      </c>
      <c r="Y43" t="str">
        <f t="shared" si="0"/>
        <v>0x000CC91A,</v>
      </c>
      <c r="Z43" s="37"/>
    </row>
    <row r="44" spans="1:26">
      <c r="A44" s="23"/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8B7033B</v>
      </c>
      <c r="Y44" t="str">
        <f t="shared" si="0"/>
        <v>0x08B7033B,</v>
      </c>
      <c r="Z44" s="37" t="s">
        <v>188</v>
      </c>
    </row>
    <row r="45" spans="1:26">
      <c r="A45" s="23"/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ADBFDADB</v>
      </c>
      <c r="Y45" t="str">
        <f t="shared" si="0"/>
        <v>0xADBFDADB,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CCFDA</v>
      </c>
      <c r="Y46" t="str">
        <f t="shared" si="0"/>
        <v>0x000CCFDA,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8F7033B</v>
      </c>
      <c r="Y47" t="str">
        <f t="shared" si="0"/>
        <v>0x08F7033B,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ADBFDADB</v>
      </c>
      <c r="Y48" t="str">
        <f t="shared" si="0"/>
        <v>0xADBFDADB,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D2FDA</v>
      </c>
      <c r="Y49" t="str">
        <f t="shared" si="0"/>
        <v>0x000D2FDA,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topLeftCell="B1" workbookViewId="0">
      <selection activeCell="D9" sqref="D9:S9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5">
        <v>9</v>
      </c>
      <c r="K1" s="45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D8770352</v>
      </c>
      <c r="Y2" t="str">
        <f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V3" s="38"/>
      <c r="W3" s="37" t="s">
        <v>110</v>
      </c>
      <c r="X3" s="39" t="str">
        <f>S31</f>
        <v>C9A9DBDB</v>
      </c>
      <c r="Y3" t="str">
        <f t="shared" ref="Y3:Y49" si="0">"0x"&amp;RIGHT("00000000"&amp;X3,8)&amp;","</f>
        <v>0xC9A9DBDB,</v>
      </c>
      <c r="Z3" s="37"/>
    </row>
    <row r="4" spans="1:26">
      <c r="A4" s="9" t="s">
        <v>111</v>
      </c>
      <c r="B4" s="10" t="s">
        <v>112</v>
      </c>
      <c r="C4" s="7">
        <v>6</v>
      </c>
      <c r="D4" s="35">
        <v>12</v>
      </c>
      <c r="E4" s="35">
        <v>12</v>
      </c>
      <c r="F4" s="35">
        <v>12</v>
      </c>
      <c r="G4" s="35">
        <v>12</v>
      </c>
      <c r="H4" s="35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35">
        <v>36</v>
      </c>
      <c r="E5" s="35">
        <v>36</v>
      </c>
      <c r="F5" s="35">
        <v>36</v>
      </c>
      <c r="G5" s="35">
        <v>36</v>
      </c>
      <c r="H5" s="35">
        <v>36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C9A9DBDB</v>
      </c>
      <c r="Y6" t="str">
        <f t="shared" si="0"/>
        <v>0xC9A9DBDB,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12</v>
      </c>
      <c r="E7" s="43">
        <v>12</v>
      </c>
      <c r="F7" s="43">
        <v>12</v>
      </c>
      <c r="G7" s="43">
        <v>12</v>
      </c>
      <c r="H7" s="43">
        <v>12</v>
      </c>
      <c r="I7" s="43">
        <v>12</v>
      </c>
      <c r="J7" s="43">
        <v>12</v>
      </c>
      <c r="K7" s="43">
        <v>12</v>
      </c>
      <c r="L7" s="43">
        <v>12</v>
      </c>
      <c r="M7" s="43">
        <v>12</v>
      </c>
      <c r="N7" s="43">
        <v>12</v>
      </c>
      <c r="O7" s="43">
        <v>12</v>
      </c>
      <c r="P7" s="43">
        <v>12</v>
      </c>
      <c r="Q7" s="43">
        <v>12</v>
      </c>
      <c r="R7" s="43">
        <v>12</v>
      </c>
      <c r="S7" s="43">
        <v>12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35">
        <v>9</v>
      </c>
      <c r="E8" s="35">
        <v>9</v>
      </c>
      <c r="F8" s="35">
        <v>9</v>
      </c>
      <c r="G8" s="35">
        <v>9</v>
      </c>
      <c r="H8" s="35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35">
        <v>5</v>
      </c>
      <c r="E9" s="35">
        <v>5</v>
      </c>
      <c r="F9" s="35">
        <v>5</v>
      </c>
      <c r="G9" s="35">
        <v>5</v>
      </c>
      <c r="H9" s="35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C9ADDBDB</v>
      </c>
      <c r="Y9" t="str">
        <f t="shared" si="0"/>
        <v>0xC9ADDBDB,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14</v>
      </c>
      <c r="I10" s="43">
        <v>14</v>
      </c>
      <c r="J10" s="43">
        <v>12</v>
      </c>
      <c r="K10" s="43">
        <v>12</v>
      </c>
      <c r="L10" s="43">
        <v>9</v>
      </c>
      <c r="M10" s="43">
        <v>9</v>
      </c>
      <c r="N10" s="43">
        <v>8</v>
      </c>
      <c r="O10" s="43">
        <v>8</v>
      </c>
      <c r="P10" s="43">
        <v>6</v>
      </c>
      <c r="Q10" s="43">
        <v>6</v>
      </c>
      <c r="R10" s="43">
        <v>4</v>
      </c>
      <c r="S10" s="43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C9ADDBDB</v>
      </c>
      <c r="Y12" t="str">
        <f t="shared" si="0"/>
        <v>0xC9ADDBDB,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35">
        <v>55</v>
      </c>
      <c r="E13" s="35">
        <v>55</v>
      </c>
      <c r="F13" s="35">
        <v>55</v>
      </c>
      <c r="G13" s="35">
        <v>55</v>
      </c>
      <c r="H13" s="35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7</v>
      </c>
      <c r="E15" s="43">
        <v>7</v>
      </c>
      <c r="F15" s="43">
        <v>1</v>
      </c>
      <c r="G15" s="43">
        <v>1</v>
      </c>
      <c r="H15" s="43">
        <v>7</v>
      </c>
      <c r="I15" s="43">
        <v>4</v>
      </c>
      <c r="J15" s="43">
        <v>7</v>
      </c>
      <c r="K15" s="43">
        <v>7</v>
      </c>
      <c r="L15" s="43">
        <v>7</v>
      </c>
      <c r="M15" s="43">
        <v>7</v>
      </c>
      <c r="N15" s="43">
        <v>7</v>
      </c>
      <c r="O15" s="43">
        <v>7</v>
      </c>
      <c r="P15" s="43">
        <v>7</v>
      </c>
      <c r="Q15" s="43">
        <v>7</v>
      </c>
      <c r="R15" s="43">
        <v>7</v>
      </c>
      <c r="S15" s="43">
        <v>7</v>
      </c>
      <c r="V15" s="38"/>
      <c r="W15" s="37" t="s">
        <v>110</v>
      </c>
      <c r="X15" s="39" t="str">
        <f>O31</f>
        <v>C9B1DBDB</v>
      </c>
      <c r="Y15" t="str">
        <f t="shared" si="0"/>
        <v>0xC9B1DBDB,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43">
        <v>2</v>
      </c>
      <c r="E16" s="43">
        <v>3</v>
      </c>
      <c r="F16" s="43">
        <v>2</v>
      </c>
      <c r="G16" s="43">
        <v>3</v>
      </c>
      <c r="H16" s="43">
        <v>3</v>
      </c>
      <c r="I16" s="43">
        <v>4</v>
      </c>
      <c r="J16" s="43">
        <v>5</v>
      </c>
      <c r="K16" s="43">
        <v>5</v>
      </c>
      <c r="L16" s="43">
        <v>5</v>
      </c>
      <c r="M16" s="43">
        <v>6</v>
      </c>
      <c r="N16" s="43">
        <v>6</v>
      </c>
      <c r="O16" s="43">
        <v>6</v>
      </c>
      <c r="P16" s="43">
        <v>6</v>
      </c>
      <c r="Q16" s="43">
        <v>6</v>
      </c>
      <c r="R16" s="43">
        <v>6</v>
      </c>
      <c r="S16" s="43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43">
        <v>3</v>
      </c>
      <c r="E17" s="43">
        <v>3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C9B1DBDB</v>
      </c>
      <c r="Y18" t="str">
        <f t="shared" si="0"/>
        <v>0xC9B1DBDB,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C9B3DBDB</v>
      </c>
      <c r="Y21" t="str">
        <f t="shared" si="0"/>
        <v>0xC9B3DBDB,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31</v>
      </c>
      <c r="E24" s="43">
        <v>31</v>
      </c>
      <c r="F24" s="43">
        <v>31</v>
      </c>
      <c r="G24" s="43">
        <v>31</v>
      </c>
      <c r="H24" s="43">
        <v>31</v>
      </c>
      <c r="I24" s="43">
        <v>31</v>
      </c>
      <c r="J24" s="43">
        <v>31</v>
      </c>
      <c r="K24" s="43">
        <v>31</v>
      </c>
      <c r="L24" s="43">
        <v>31</v>
      </c>
      <c r="M24" s="43">
        <v>31</v>
      </c>
      <c r="N24" s="43">
        <v>31</v>
      </c>
      <c r="O24" s="43">
        <v>31</v>
      </c>
      <c r="P24" s="43">
        <v>30</v>
      </c>
      <c r="Q24" s="43">
        <v>26</v>
      </c>
      <c r="R24" s="43">
        <v>26</v>
      </c>
      <c r="S24" s="43">
        <v>26</v>
      </c>
      <c r="V24" s="38"/>
      <c r="W24" s="37" t="s">
        <v>110</v>
      </c>
      <c r="X24" s="39" t="str">
        <f>L31</f>
        <v>C9B3DBDB</v>
      </c>
      <c r="Y24" t="str">
        <f t="shared" si="0"/>
        <v>0xC9B3DBDB,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31</v>
      </c>
      <c r="E25" s="43">
        <v>26</v>
      </c>
      <c r="F25" s="43">
        <v>31</v>
      </c>
      <c r="G25" s="43">
        <v>29</v>
      </c>
      <c r="H25" s="44">
        <v>26</v>
      </c>
      <c r="I25" s="43">
        <v>31</v>
      </c>
      <c r="J25" s="43">
        <v>31</v>
      </c>
      <c r="K25" s="43">
        <v>31</v>
      </c>
      <c r="L25" s="43">
        <v>29</v>
      </c>
      <c r="M25" s="43">
        <v>30</v>
      </c>
      <c r="N25" s="43">
        <v>29</v>
      </c>
      <c r="O25" s="43">
        <v>22</v>
      </c>
      <c r="P25" s="43">
        <v>24</v>
      </c>
      <c r="Q25" s="43">
        <v>19</v>
      </c>
      <c r="R25" s="43">
        <v>23</v>
      </c>
      <c r="S25" s="43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C9B9DBDB</v>
      </c>
      <c r="Y27" t="str">
        <f t="shared" si="0"/>
        <v>0xC9B9DBDB,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C91A</v>
      </c>
      <c r="E30" s="21" t="str">
        <f>DEC2HEX(POWER(2,0)*E6+POWER(2,6)*E5+POWER(2,12)*E4+POWER(2,18)*E3+POWER(2,23)*E2)</f>
        <v>C91A</v>
      </c>
      <c r="F30" s="21" t="str">
        <f t="shared" ref="F30:S30" si="1">DEC2HEX(POWER(2,0)*F6+POWER(2,6)*F5+POWER(2,12)*F4+POWER(2,18)*F3+POWER(2,23)*F2)</f>
        <v>C91A</v>
      </c>
      <c r="G30" s="21" t="str">
        <f t="shared" si="1"/>
        <v>C91A</v>
      </c>
      <c r="H30" s="21" t="str">
        <f t="shared" si="1"/>
        <v>C91A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C9B9DBDB</v>
      </c>
      <c r="Y30" t="str">
        <f t="shared" si="0"/>
        <v>0xC9B9DBDB,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C9BFDBDB</v>
      </c>
      <c r="E31" s="21" t="str">
        <f>DEC2HEX(POWER(2,0)*INT(E15/4)+POWER(2,1)*E14+POWER(2,7)*E13+POWER(2,13)*E12+POWER(2,14)*E11+POWER(2,17)*E10+POWER(2,21)*E9+POWER(2,24)*E8+POWER(2,28)*E7)</f>
        <v>C9BFDBDB</v>
      </c>
      <c r="F31" s="21" t="str">
        <f t="shared" ref="F31:S31" si="2">DEC2HEX(POWER(2,0)*INT(F15/4)+POWER(2,1)*F14+POWER(2,7)*F13+POWER(2,13)*F12+POWER(2,14)*F11+POWER(2,17)*F10+POWER(2,21)*F9+POWER(2,24)*F8+POWER(2,28)*F7)</f>
        <v>C9BFDBDA</v>
      </c>
      <c r="G31" s="21" t="str">
        <f t="shared" si="2"/>
        <v>C9BFDBDA</v>
      </c>
      <c r="H31" s="21" t="str">
        <f t="shared" si="2"/>
        <v>C9BDDBDB</v>
      </c>
      <c r="I31" s="21" t="str">
        <f t="shared" si="2"/>
        <v>C9BDDBDB</v>
      </c>
      <c r="J31" s="21" t="str">
        <f t="shared" si="2"/>
        <v>C9B9DBDB</v>
      </c>
      <c r="K31" s="21" t="str">
        <f t="shared" si="2"/>
        <v>C9B9DBDB</v>
      </c>
      <c r="L31" s="21" t="str">
        <f t="shared" si="2"/>
        <v>C9B3DBDB</v>
      </c>
      <c r="M31" s="21" t="str">
        <f t="shared" si="2"/>
        <v>C9B3DBDB</v>
      </c>
      <c r="N31" s="21" t="str">
        <f t="shared" si="2"/>
        <v>C9B1DBDB</v>
      </c>
      <c r="O31" s="21" t="str">
        <f t="shared" si="2"/>
        <v>C9B1DBDB</v>
      </c>
      <c r="P31" s="21" t="str">
        <f t="shared" si="2"/>
        <v>C9ADDBDB</v>
      </c>
      <c r="Q31" s="21" t="str">
        <f t="shared" si="2"/>
        <v>C9ADDBDB</v>
      </c>
      <c r="R31" s="21" t="str">
        <f t="shared" si="2"/>
        <v>C9A9DBDB</v>
      </c>
      <c r="S31" s="21" t="str">
        <f t="shared" si="2"/>
        <v>C9A9DBDB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C8F703FF</v>
      </c>
      <c r="E32" s="21" t="str">
        <f>DEC2HEX(POWER(2,0)*E25+POWER(2,5)*E24+POWER(2,10)*E23+POWER(2,12)*E22+POWER(2,13)*E21+POWER(2,17)*E20+POWER(2,20)*E19+POWER(2,21)*E18+POWER(2,22)*E17+POWER(2,26)*E16+POWER(2,30)*MOD(E15,4))</f>
        <v>CCF703FA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21" t="str">
        <f t="shared" si="3"/>
        <v>4C7703FD</v>
      </c>
      <c r="H32" s="21" t="str">
        <f t="shared" si="3"/>
        <v>CC7703FA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C9BDDBDB</v>
      </c>
      <c r="Y33" t="str">
        <f t="shared" si="0"/>
        <v>0xC9BDDBDB,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CC7703FA</v>
      </c>
      <c r="Y35" t="str">
        <f t="shared" si="0"/>
        <v>0xCC7703FA,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C9BDDBDB</v>
      </c>
      <c r="Y36" t="str">
        <f t="shared" si="0"/>
        <v>0xC9BDDBDB,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C91A</v>
      </c>
      <c r="Y37" t="str">
        <f t="shared" si="0"/>
        <v>0x0000C91A,</v>
      </c>
      <c r="Z37" s="37"/>
    </row>
    <row r="38" spans="22:26">
      <c r="V38" s="38" t="s">
        <v>183</v>
      </c>
      <c r="W38" s="37" t="s">
        <v>106</v>
      </c>
      <c r="X38" s="39" t="str">
        <f>G32</f>
        <v>4C7703FD</v>
      </c>
      <c r="Y38" t="str">
        <f t="shared" si="0"/>
        <v>0x4C7703FD,</v>
      </c>
      <c r="Z38" s="37" t="s">
        <v>184</v>
      </c>
    </row>
    <row r="39" spans="22:26">
      <c r="V39" s="38"/>
      <c r="W39" s="37" t="s">
        <v>110</v>
      </c>
      <c r="X39" s="39" t="str">
        <f>G31</f>
        <v>C9BFDBDA</v>
      </c>
      <c r="Y39" t="str">
        <f t="shared" si="0"/>
        <v>0xC9BFDBDA,</v>
      </c>
      <c r="Z39" s="37"/>
    </row>
    <row r="40" spans="22:26">
      <c r="V40" s="38"/>
      <c r="W40" s="37" t="s">
        <v>113</v>
      </c>
      <c r="X40" s="39" t="str">
        <f>G30</f>
        <v>C91A</v>
      </c>
      <c r="Y40" t="str">
        <f t="shared" si="0"/>
        <v>0x0000C91A,</v>
      </c>
      <c r="Z40" s="37"/>
    </row>
    <row r="41" spans="22:26">
      <c r="V41" s="38" t="s">
        <v>185</v>
      </c>
      <c r="W41" s="37" t="s">
        <v>106</v>
      </c>
      <c r="X41" s="39" t="str">
        <f>F32</f>
        <v>487703FF</v>
      </c>
      <c r="Y41" t="str">
        <f t="shared" si="0"/>
        <v>0x487703FF,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C9BFDBDA</v>
      </c>
      <c r="Y42" t="str">
        <f t="shared" si="0"/>
        <v>0xC9BFDBDA,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C91A</v>
      </c>
      <c r="Y43" t="str">
        <f t="shared" si="0"/>
        <v>0x0000C91A,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CCF703FA</v>
      </c>
      <c r="Y44" t="str">
        <f t="shared" si="0"/>
        <v>0xCCF703FA,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C9BFDBDB</v>
      </c>
      <c r="Y45" t="str">
        <f t="shared" si="0"/>
        <v>0xC9BFDBDB,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C91A</v>
      </c>
      <c r="Y46" t="str">
        <f t="shared" si="0"/>
        <v>0x0000C91A,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C9BFDBDB</v>
      </c>
      <c r="Y48" t="str">
        <f t="shared" si="0"/>
        <v>0xC9BFDBDB,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C91A</v>
      </c>
      <c r="Y49" t="str">
        <f t="shared" si="0"/>
        <v>0x0000C91A,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V2" s="38">
        <v>0</v>
      </c>
      <c r="W2" s="37" t="s">
        <v>106</v>
      </c>
      <c r="X2" s="39" t="str">
        <f>S32</f>
        <v>D8770352</v>
      </c>
      <c r="Y2" t="str">
        <f t="shared" ref="Y2:Y49" si="0"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V3" s="38"/>
      <c r="W3" s="37" t="s">
        <v>110</v>
      </c>
      <c r="X3" s="39" t="str">
        <f>S31</f>
        <v>A9A9DBDB</v>
      </c>
      <c r="Y3" t="str">
        <f t="shared" si="0"/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11">
        <v>22</v>
      </c>
      <c r="E4" s="11">
        <v>12</v>
      </c>
      <c r="F4" s="11">
        <v>12</v>
      </c>
      <c r="G4" s="11">
        <v>12</v>
      </c>
      <c r="H4" s="11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11">
        <v>62</v>
      </c>
      <c r="E5" s="11">
        <v>62</v>
      </c>
      <c r="F5" s="11">
        <v>62</v>
      </c>
      <c r="G5" s="11">
        <v>62</v>
      </c>
      <c r="H5" s="11">
        <v>62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11">
        <v>26</v>
      </c>
      <c r="E6" s="11">
        <v>26</v>
      </c>
      <c r="F6" s="11">
        <v>26</v>
      </c>
      <c r="G6" s="11">
        <v>26</v>
      </c>
      <c r="H6" s="11">
        <v>26</v>
      </c>
      <c r="I6" s="35">
        <v>26</v>
      </c>
      <c r="J6" s="35">
        <v>26</v>
      </c>
      <c r="K6" s="35">
        <v>26</v>
      </c>
      <c r="L6" s="35">
        <v>26</v>
      </c>
      <c r="M6" s="35">
        <v>26</v>
      </c>
      <c r="N6" s="35">
        <v>26</v>
      </c>
      <c r="O6" s="35">
        <v>26</v>
      </c>
      <c r="P6" s="35">
        <v>26</v>
      </c>
      <c r="Q6" s="35">
        <v>26</v>
      </c>
      <c r="R6" s="35">
        <v>26</v>
      </c>
      <c r="S6" s="35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11">
        <v>10</v>
      </c>
      <c r="E7" s="11">
        <v>10</v>
      </c>
      <c r="F7" s="11">
        <v>10</v>
      </c>
      <c r="G7" s="11">
        <v>10</v>
      </c>
      <c r="H7" s="11">
        <v>10</v>
      </c>
      <c r="I7" s="35">
        <v>10</v>
      </c>
      <c r="J7" s="35">
        <v>10</v>
      </c>
      <c r="K7" s="35">
        <v>10</v>
      </c>
      <c r="L7" s="35">
        <v>10</v>
      </c>
      <c r="M7" s="35">
        <v>10</v>
      </c>
      <c r="N7" s="35">
        <v>10</v>
      </c>
      <c r="O7" s="35">
        <v>10</v>
      </c>
      <c r="P7" s="35">
        <v>10</v>
      </c>
      <c r="Q7" s="35">
        <v>10</v>
      </c>
      <c r="R7" s="35">
        <v>10</v>
      </c>
      <c r="S7" s="35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11">
        <v>9</v>
      </c>
      <c r="E8" s="11">
        <v>9</v>
      </c>
      <c r="F8" s="11">
        <v>9</v>
      </c>
      <c r="G8" s="11">
        <v>9</v>
      </c>
      <c r="H8" s="11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11">
        <v>15</v>
      </c>
      <c r="E10" s="11">
        <v>15</v>
      </c>
      <c r="F10" s="11">
        <v>15</v>
      </c>
      <c r="G10" s="11">
        <v>15</v>
      </c>
      <c r="H10" s="11">
        <v>14</v>
      </c>
      <c r="I10" s="35">
        <v>14</v>
      </c>
      <c r="J10" s="35">
        <v>12</v>
      </c>
      <c r="K10" s="35">
        <v>12</v>
      </c>
      <c r="L10" s="35">
        <v>9</v>
      </c>
      <c r="M10" s="35">
        <v>9</v>
      </c>
      <c r="N10" s="35">
        <v>8</v>
      </c>
      <c r="O10" s="35">
        <v>8</v>
      </c>
      <c r="P10" s="35">
        <v>6</v>
      </c>
      <c r="Q10" s="35">
        <v>6</v>
      </c>
      <c r="R10" s="35">
        <v>4</v>
      </c>
      <c r="S10" s="35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11">
        <v>7</v>
      </c>
      <c r="E11" s="11">
        <v>7</v>
      </c>
      <c r="F11" s="11">
        <v>7</v>
      </c>
      <c r="G11" s="11">
        <v>7</v>
      </c>
      <c r="H11" s="11">
        <v>7</v>
      </c>
      <c r="I11" s="35">
        <v>7</v>
      </c>
      <c r="J11" s="35">
        <v>7</v>
      </c>
      <c r="K11" s="35">
        <v>7</v>
      </c>
      <c r="L11" s="35">
        <v>7</v>
      </c>
      <c r="M11" s="35">
        <v>7</v>
      </c>
      <c r="N11" s="35">
        <v>7</v>
      </c>
      <c r="O11" s="35">
        <v>7</v>
      </c>
      <c r="P11" s="35">
        <v>7</v>
      </c>
      <c r="Q11" s="35">
        <v>7</v>
      </c>
      <c r="R11" s="35">
        <v>7</v>
      </c>
      <c r="S11" s="35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11">
        <v>55</v>
      </c>
      <c r="E13" s="11">
        <v>55</v>
      </c>
      <c r="F13" s="11">
        <v>55</v>
      </c>
      <c r="G13" s="11">
        <v>55</v>
      </c>
      <c r="H13" s="11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11">
        <v>45</v>
      </c>
      <c r="E14" s="11">
        <v>45</v>
      </c>
      <c r="F14" s="11">
        <v>45</v>
      </c>
      <c r="G14" s="11">
        <v>45</v>
      </c>
      <c r="H14" s="11">
        <v>45</v>
      </c>
      <c r="I14" s="35">
        <v>45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11">
        <v>7</v>
      </c>
      <c r="E15" s="11">
        <v>7</v>
      </c>
      <c r="F15" s="11">
        <v>1</v>
      </c>
      <c r="G15" s="11">
        <v>1</v>
      </c>
      <c r="H15" s="11">
        <v>7</v>
      </c>
      <c r="I15" s="35">
        <v>4</v>
      </c>
      <c r="J15" s="35">
        <v>7</v>
      </c>
      <c r="K15" s="35">
        <v>7</v>
      </c>
      <c r="L15" s="35">
        <v>7</v>
      </c>
      <c r="M15" s="35">
        <v>7</v>
      </c>
      <c r="N15" s="35">
        <v>7</v>
      </c>
      <c r="O15" s="35">
        <v>7</v>
      </c>
      <c r="P15" s="35">
        <v>7</v>
      </c>
      <c r="Q15" s="35">
        <v>7</v>
      </c>
      <c r="R15" s="35">
        <v>7</v>
      </c>
      <c r="S15" s="35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35">
        <v>4</v>
      </c>
      <c r="J16" s="35">
        <v>5</v>
      </c>
      <c r="K16" s="35">
        <v>5</v>
      </c>
      <c r="L16" s="35">
        <v>5</v>
      </c>
      <c r="M16" s="35">
        <v>6</v>
      </c>
      <c r="N16" s="35">
        <v>6</v>
      </c>
      <c r="O16" s="35">
        <v>6</v>
      </c>
      <c r="P16" s="35">
        <v>6</v>
      </c>
      <c r="Q16" s="35">
        <v>6</v>
      </c>
      <c r="R16" s="35">
        <v>6</v>
      </c>
      <c r="S16" s="35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11">
        <v>3</v>
      </c>
      <c r="E17" s="11">
        <v>3</v>
      </c>
      <c r="F17" s="11">
        <v>1</v>
      </c>
      <c r="G17" s="11">
        <v>1</v>
      </c>
      <c r="H17" s="11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11">
        <v>3</v>
      </c>
      <c r="E20" s="11">
        <v>3</v>
      </c>
      <c r="F20" s="11">
        <v>3</v>
      </c>
      <c r="G20" s="11">
        <v>3</v>
      </c>
      <c r="H20" s="11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>
        <v>3</v>
      </c>
      <c r="R20" s="35">
        <v>3</v>
      </c>
      <c r="S20" s="35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11">
        <v>8</v>
      </c>
      <c r="E21" s="11">
        <v>8</v>
      </c>
      <c r="F21" s="11">
        <v>8</v>
      </c>
      <c r="G21" s="11">
        <v>8</v>
      </c>
      <c r="H21" s="11">
        <v>8</v>
      </c>
      <c r="I21" s="35">
        <v>8</v>
      </c>
      <c r="J21" s="35">
        <v>8</v>
      </c>
      <c r="K21" s="35">
        <v>8</v>
      </c>
      <c r="L21" s="35">
        <v>8</v>
      </c>
      <c r="M21" s="35">
        <v>8</v>
      </c>
      <c r="N21" s="35">
        <v>8</v>
      </c>
      <c r="O21" s="35">
        <v>8</v>
      </c>
      <c r="P21" s="35">
        <v>8</v>
      </c>
      <c r="Q21" s="35">
        <v>8</v>
      </c>
      <c r="R21" s="35">
        <v>8</v>
      </c>
      <c r="S21" s="35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11">
        <v>31</v>
      </c>
      <c r="E24" s="11">
        <v>31</v>
      </c>
      <c r="F24" s="11">
        <v>31</v>
      </c>
      <c r="G24" s="11">
        <v>31</v>
      </c>
      <c r="H24" s="11">
        <v>31</v>
      </c>
      <c r="I24" s="35">
        <v>31</v>
      </c>
      <c r="J24" s="35">
        <v>31</v>
      </c>
      <c r="K24" s="35">
        <v>31</v>
      </c>
      <c r="L24" s="35">
        <v>31</v>
      </c>
      <c r="M24" s="35">
        <v>31</v>
      </c>
      <c r="N24" s="35">
        <v>31</v>
      </c>
      <c r="O24" s="35">
        <v>31</v>
      </c>
      <c r="P24" s="35">
        <v>30</v>
      </c>
      <c r="Q24" s="35">
        <v>26</v>
      </c>
      <c r="R24" s="35">
        <v>26</v>
      </c>
      <c r="S24" s="35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11">
        <v>31</v>
      </c>
      <c r="E25" s="11">
        <v>15</v>
      </c>
      <c r="F25" s="11">
        <v>20</v>
      </c>
      <c r="G25" s="11">
        <v>18</v>
      </c>
      <c r="H25" s="11">
        <v>19</v>
      </c>
      <c r="I25" s="35">
        <v>31</v>
      </c>
      <c r="J25" s="35">
        <v>31</v>
      </c>
      <c r="K25" s="35">
        <v>31</v>
      </c>
      <c r="L25" s="35">
        <v>29</v>
      </c>
      <c r="M25" s="35">
        <v>30</v>
      </c>
      <c r="N25" s="35">
        <v>29</v>
      </c>
      <c r="O25" s="35">
        <v>22</v>
      </c>
      <c r="P25" s="35">
        <v>24</v>
      </c>
      <c r="Q25" s="35">
        <v>19</v>
      </c>
      <c r="R25" s="35">
        <v>23</v>
      </c>
      <c r="S25" s="35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 t="shared" ref="D30:S30" si="1">DEC2HEX(POWER(2,0)*D6+POWER(2,6)*D5+POWER(2,12)*D4+POWER(2,18)*D3+POWER(2,23)*D2)</f>
        <v>16F9A</v>
      </c>
      <c r="E30" s="21" t="str">
        <f t="shared" si="1"/>
        <v>CF9A</v>
      </c>
      <c r="F30" s="21" t="str">
        <f t="shared" si="1"/>
        <v>CF9A</v>
      </c>
      <c r="G30" s="21" t="str">
        <f t="shared" si="1"/>
        <v>CF9A</v>
      </c>
      <c r="H30" s="21" t="str">
        <f t="shared" si="1"/>
        <v>CF9A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 t="shared" ref="D31:S31" si="2">DEC2HEX(POWER(2,0)*INT(D15/4)+POWER(2,1)*D14+POWER(2,7)*D13+POWER(2,13)*D12+POWER(2,14)*D11+POWER(2,17)*D10+POWER(2,21)*D9+POWER(2,24)*D8+POWER(2,28)*D7)</f>
        <v>A9BFDBDB</v>
      </c>
      <c r="E31" s="21" t="str">
        <f t="shared" si="2"/>
        <v>A9BFDBDB</v>
      </c>
      <c r="F31" s="21" t="str">
        <f t="shared" si="2"/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1" t="str">
        <f t="shared" si="3"/>
        <v>CCF703EF</v>
      </c>
      <c r="F32" s="21" t="str">
        <f t="shared" si="3"/>
        <v>487703F4</v>
      </c>
      <c r="G32" s="21" t="str">
        <f t="shared" si="3"/>
        <v>4C7703F2</v>
      </c>
      <c r="H32" s="21" t="str">
        <f t="shared" si="3"/>
        <v>CC7703F3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CC7703F3</v>
      </c>
      <c r="Y35" t="str">
        <f t="shared" si="0"/>
        <v>0xCC7703F3,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CF9A</v>
      </c>
      <c r="Y37" t="str">
        <f t="shared" si="0"/>
        <v>0x0000CF9A,</v>
      </c>
      <c r="Z37" s="37"/>
    </row>
    <row r="38" spans="22:26">
      <c r="V38" s="38" t="s">
        <v>183</v>
      </c>
      <c r="W38" s="37" t="s">
        <v>106</v>
      </c>
      <c r="X38" s="39" t="str">
        <f>G32</f>
        <v>4C7703F2</v>
      </c>
      <c r="Y38" t="str">
        <f t="shared" si="0"/>
        <v>0x4C7703F2,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CF9A</v>
      </c>
      <c r="Y40" t="str">
        <f t="shared" si="0"/>
        <v>0x0000CF9A,</v>
      </c>
      <c r="Z40" s="37"/>
    </row>
    <row r="41" spans="22:26">
      <c r="V41" s="38" t="s">
        <v>185</v>
      </c>
      <c r="W41" s="37" t="s">
        <v>106</v>
      </c>
      <c r="X41" s="39" t="str">
        <f>F32</f>
        <v>487703F4</v>
      </c>
      <c r="Y41" t="str">
        <f t="shared" si="0"/>
        <v>0x487703F4,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CF9A</v>
      </c>
      <c r="Y43" t="str">
        <f t="shared" si="0"/>
        <v>0x0000CF9A,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CCF703EF</v>
      </c>
      <c r="Y44" t="str">
        <f t="shared" si="0"/>
        <v>0xCCF703EF,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CF9A</v>
      </c>
      <c r="Y46" t="str">
        <f t="shared" si="0"/>
        <v>0x0000CF9A,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16F9A</v>
      </c>
      <c r="Y49" t="str">
        <f t="shared" si="0"/>
        <v>0x00016F9A,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0" sqref="C20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  <row r="9" spans="1:3">
      <c r="A9" s="1">
        <v>20240802</v>
      </c>
      <c r="B9" t="s">
        <v>229</v>
      </c>
      <c r="C9" t="s">
        <v>230</v>
      </c>
    </row>
    <row r="10" ht="114" customHeight="1" spans="1:3">
      <c r="A10" s="1"/>
      <c r="B10" s="2" t="s">
        <v>231</v>
      </c>
      <c r="C10" t="s">
        <v>232</v>
      </c>
    </row>
    <row r="11" spans="1:3">
      <c r="A11" s="1">
        <v>20240806</v>
      </c>
      <c r="B11" t="s">
        <v>233</v>
      </c>
      <c r="C11" t="s">
        <v>234</v>
      </c>
    </row>
    <row r="12" spans="1:3">
      <c r="A12" s="1"/>
      <c r="B12" t="s">
        <v>235</v>
      </c>
      <c r="C12" t="s">
        <v>234</v>
      </c>
    </row>
    <row r="13" spans="1:3">
      <c r="A13" s="1"/>
      <c r="B13" t="s">
        <v>236</v>
      </c>
      <c r="C13" t="s">
        <v>234</v>
      </c>
    </row>
    <row r="14" spans="1:3">
      <c r="A14">
        <v>20240815</v>
      </c>
      <c r="B14" t="s">
        <v>237</v>
      </c>
      <c r="C14" t="s">
        <v>238</v>
      </c>
    </row>
    <row r="15" spans="2:3">
      <c r="B15" t="s">
        <v>239</v>
      </c>
      <c r="C15" t="s">
        <v>234</v>
      </c>
    </row>
    <row r="16" ht="28.5" spans="1:3">
      <c r="A16">
        <v>20240822</v>
      </c>
      <c r="B16" s="3" t="s">
        <v>240</v>
      </c>
      <c r="C16" t="s">
        <v>230</v>
      </c>
    </row>
  </sheetData>
  <mergeCells count="2">
    <mergeCell ref="A9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2024-08-23T07:50:08Z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