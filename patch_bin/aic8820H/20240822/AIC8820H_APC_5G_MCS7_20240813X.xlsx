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CH42" sheetId="1" r:id="rId1"/>
    <sheet name="CH58" sheetId="4" r:id="rId2"/>
    <sheet name="CH106" sheetId="2" r:id="rId3"/>
    <sheet name="CH122" sheetId="5" r:id="rId4"/>
    <sheet name="CH138" sheetId="6" r:id="rId5"/>
    <sheet name="CH155" sheetId="7" r:id="rId6"/>
  </sheets>
  <calcPr calcId="144525"/>
</workbook>
</file>

<file path=xl/sharedStrings.xml><?xml version="1.0" encoding="utf-8"?>
<sst xmlns="http://schemas.openxmlformats.org/spreadsheetml/2006/main" count="4377" uniqueCount="125">
  <si>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</si>
  <si>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</si>
  <si>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</si>
  <si>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</si>
  <si>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</si>
  <si>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</si>
  <si>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</si>
  <si>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</si>
  <si>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</si>
  <si>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</si>
  <si>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</si>
  <si>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</si>
  <si>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0</t>
  </si>
  <si>
    <t>40346d00</t>
  </si>
  <si>
    <t>//index 0</t>
  </si>
  <si>
    <t>wf_daclf_rnd_sw</t>
  </si>
  <si>
    <t>40346d04</t>
  </si>
  <si>
    <t>wf_daclf_scale_step_6db</t>
  </si>
  <si>
    <t>93:92</t>
  </si>
  <si>
    <t>2</t>
  </si>
  <si>
    <t>40346d08</t>
  </si>
  <si>
    <t>wf_dtmx_dynbias_en</t>
  </si>
  <si>
    <t>//index 1</t>
  </si>
  <si>
    <t>wf_dtmx_rfdyn_ref_vbit</t>
  </si>
  <si>
    <t>90:87</t>
  </si>
  <si>
    <t>4</t>
  </si>
  <si>
    <t>8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</si>
  <si>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</si>
  <si>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</si>
  <si>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</si>
  <si>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</si>
  <si>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</si>
  <si>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</si>
  <si>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</si>
  <si>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</si>
  <si>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</si>
  <si>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wf_dtmx_dac_gbit3</t>
  </si>
  <si>
    <t>76:73</t>
  </si>
  <si>
    <t>//index 3</t>
  </si>
  <si>
    <t>wf_dtmx_dac_gbit2</t>
  </si>
  <si>
    <t>72:69</t>
  </si>
  <si>
    <t>15</t>
  </si>
  <si>
    <t>11</t>
  </si>
  <si>
    <t>13</t>
  </si>
  <si>
    <t>10</t>
  </si>
  <si>
    <t>12</t>
  </si>
  <si>
    <t>14</t>
  </si>
  <si>
    <t>9</t>
  </si>
  <si>
    <t>5</t>
  </si>
  <si>
    <t>wf_dtmx_dac_gbit1</t>
  </si>
  <si>
    <t>68:66</t>
  </si>
  <si>
    <t>3</t>
  </si>
  <si>
    <t>7</t>
  </si>
  <si>
    <t>6</t>
  </si>
  <si>
    <t>wf_pa24g_vl_vbit</t>
  </si>
  <si>
    <t>65:63</t>
  </si>
  <si>
    <t>//index 4</t>
  </si>
  <si>
    <t>wf_pa_24g_vl_cgm_ibit</t>
  </si>
  <si>
    <t>62:59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</si>
  <si>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</si>
  <si>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</si>
  <si>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</si>
  <si>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</si>
  <si>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</si>
  <si>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</si>
  <si>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</si>
  <si>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</si>
  <si>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</si>
  <si>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</si>
  <si>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</si>
  <si>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</si>
  <si>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</si>
  <si>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</si>
  <si>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</si>
  <si>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</si>
  <si>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</si>
  <si>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</si>
  <si>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</si>
  <si>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</si>
  <si>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</si>
  <si>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</si>
  <si>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</si>
  <si>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</si>
  <si>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</si>
  <si>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</si>
  <si>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</si>
  <si>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</si>
  <si>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</si>
  <si>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</si>
  <si>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</si>
  <si>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</si>
  <si>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</si>
  <si>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</si>
  <si>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</si>
  <si>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</si>
  <si>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</si>
  <si>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32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</si>
  <si>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</si>
  <si>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</si>
  <si>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</si>
  <si>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</si>
  <si>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</si>
  <si>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</si>
  <si>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</si>
  <si>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</si>
  <si>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</si>
  <si>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</si>
  <si>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</si>
  <si>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</si>
  <si>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</si>
  <si>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</si>
  <si>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</si>
  <si>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</si>
  <si>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</si>
  <si>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APC_5G_MCS7</t>
  </si>
  <si>
    <t>POWER</t>
  </si>
  <si>
    <t>40346D08</t>
  </si>
  <si>
    <t>d</t>
  </si>
  <si>
    <t>//index 13</t>
  </si>
  <si>
    <t>40346D04</t>
  </si>
  <si>
    <t>40346D00</t>
  </si>
  <si>
    <t>e</t>
  </si>
  <si>
    <t>//index 14</t>
  </si>
  <si>
    <t>f</t>
  </si>
  <si>
    <t>//index 15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</si>
</sst>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7" borderId="0">
      <alignment vertical="center"/>
    </xf>
    <xf numFmtId="0" fontId="5" fillId="8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9" borderId="0">
      <alignment vertical="center"/>
    </xf>
    <xf numFmtId="0" fontId="6" fillId="10" borderId="0">
      <alignment vertical="center"/>
    </xf>
    <xf numFmtId="43" fontId="0" fillId="0" borderId="0">
      <alignment vertical="center"/>
    </xf>
    <xf numFmtId="0" fontId="7" fillId="11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2" borderId="3">
      <alignment vertical="center"/>
    </xf>
    <xf numFmtId="0" fontId="7" fillId="13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4" borderId="0">
      <alignment vertical="center"/>
    </xf>
    <xf numFmtId="0" fontId="10" fillId="0" borderId="5">
      <alignment vertical="center"/>
    </xf>
    <xf numFmtId="0" fontId="7" fillId="15" borderId="0">
      <alignment vertical="center"/>
    </xf>
    <xf numFmtId="0" fontId="16" fillId="16" borderId="6">
      <alignment vertical="center"/>
    </xf>
    <xf numFmtId="0" fontId="17" fillId="16" borderId="2">
      <alignment vertical="center"/>
    </xf>
    <xf numFmtId="0" fontId="18" fillId="17" borderId="7">
      <alignment vertical="center"/>
    </xf>
    <xf numFmtId="0" fontId="4" fillId="18" borderId="0">
      <alignment vertical="center"/>
    </xf>
    <xf numFmtId="0" fontId="7" fillId="19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6" borderId="0">
      <alignment vertical="center"/>
    </xf>
    <xf numFmtId="0" fontId="22" fillId="20" borderId="0">
      <alignment vertical="center"/>
    </xf>
    <xf numFmtId="0" fontId="4" fillId="21" borderId="0">
      <alignment vertical="center"/>
    </xf>
    <xf numFmtId="0" fontId="7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7" fillId="27" borderId="0">
      <alignment vertical="center"/>
    </xf>
    <xf numFmtId="0" fontId="7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7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  <xf numFmtId="0" fontId="7" fillId="34" borderId="0">
      <alignment vertical="center"/>
    </xf>
    <xf numFmtId="0" fontId="4" fillId="35" borderId="0">
      <alignment vertical="center"/>
    </xf>
    <xf numFmtId="0" fontId="7" fillId="36" borderId="0">
      <alignment vertical="center"/>
    </xf>
  </cellStyleXfs>
  <cellXfs count="51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0" borderId="0" xfId="0" applyFont="1"/>
    <xf numFmtId="49" fontId="0" fillId="0" borderId="0" xfId="0" applyNumberFormat="1" applyFill="1"/>
    <xf numFmtId="0" fontId="0" fillId="0" borderId="0" xfId="0" applyFill="1"/>
    <xf numFmtId="0" fontId="2" fillId="0" borderId="0" xfId="0" applyFont="1" applyFill="1"/>
    <xf numFmtId="49" fontId="0" fillId="0" borderId="0" xfId="0" applyNumberForma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/>
    <xf numFmtId="49" fontId="0" fillId="0" borderId="0" xfId="0" applyNumberFormat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6" borderId="0" xfId="31" applyFont="1" applyFill="1">
      <alignment vertical="center"/>
    </xf>
    <xf numFmtId="0" fontId="0" fillId="0" borderId="0" xfId="0" applyFont="1" applyAlignment="1">
      <alignment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20" fontId="2" fillId="0" borderId="0" xfId="0" applyNumberFormat="1" applyFont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7"/>
  <sheetViews>
    <sheetView tabSelected="1" workbookViewId="0">
      <selection activeCell="E33" sqref="E33"/>
    </sheetView>
  </sheetViews>
  <sheetFormatPr defaultColWidth="9" defaultRowHeight="14.25"/>
  <cols>
    <col min="1" max="1" width="24.625" customWidth="1"/>
    <col min="4" max="4" width="14.875" customWidth="1"/>
    <col min="19" max="19" width="10.375" customWidth="1"/>
    <col min="25" max="25" width="12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45" t="s">
        <v>12</v>
      </c>
      <c r="F2" s="46" t="s">
        <v>12</v>
      </c>
      <c r="G2" s="46" t="s">
        <v>12</v>
      </c>
      <c r="H2" s="46" t="s">
        <v>12</v>
      </c>
      <c r="I2" s="46" t="s">
        <v>12</v>
      </c>
      <c r="J2" s="46" t="s">
        <v>12</v>
      </c>
      <c r="K2" s="46" t="s">
        <v>12</v>
      </c>
      <c r="L2" s="46" t="s">
        <v>12</v>
      </c>
      <c r="M2" s="46" t="s">
        <v>12</v>
      </c>
      <c r="N2" s="46" t="s">
        <v>12</v>
      </c>
      <c r="O2" s="46" t="s">
        <v>12</v>
      </c>
      <c r="P2" s="46" t="s">
        <v>12</v>
      </c>
      <c r="Q2" s="46" t="s">
        <v>12</v>
      </c>
      <c r="R2" s="46" t="s">
        <v>12</v>
      </c>
      <c r="S2" s="46" t="s">
        <v>12</v>
      </c>
      <c r="V2" s="35">
        <v>0</v>
      </c>
      <c r="W2" s="34" t="s">
        <v>13</v>
      </c>
      <c r="X2" s="36" t="str">
        <f>S43</f>
        <v>F03A7004</v>
      </c>
      <c r="Y2" t="str">
        <f>"0x"&amp;RIGHT("00000000"&amp;X2,8)&amp;","</f>
        <v>0xF03A7004,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45" t="s">
        <v>12</v>
      </c>
      <c r="F3" s="46" t="s">
        <v>12</v>
      </c>
      <c r="G3" s="46" t="s">
        <v>12</v>
      </c>
      <c r="H3" s="46" t="s">
        <v>12</v>
      </c>
      <c r="I3" s="46" t="s">
        <v>12</v>
      </c>
      <c r="J3" s="46" t="s">
        <v>12</v>
      </c>
      <c r="K3" s="46" t="s">
        <v>12</v>
      </c>
      <c r="L3" s="46" t="s">
        <v>12</v>
      </c>
      <c r="M3" s="46" t="s">
        <v>12</v>
      </c>
      <c r="N3" s="46" t="s">
        <v>12</v>
      </c>
      <c r="O3" s="46" t="s">
        <v>12</v>
      </c>
      <c r="P3" s="46" t="s">
        <v>12</v>
      </c>
      <c r="Q3" s="46" t="s">
        <v>12</v>
      </c>
      <c r="R3" s="46" t="s">
        <v>12</v>
      </c>
      <c r="S3" s="46" t="s">
        <v>12</v>
      </c>
      <c r="V3" s="35"/>
      <c r="W3" s="34" t="s">
        <v>16</v>
      </c>
      <c r="X3" s="36" t="str">
        <f>S42</f>
        <v>48BF2F2D</v>
      </c>
      <c r="Y3" t="str">
        <f t="shared" ref="Y3:Y49" si="0">"0x"&amp;RIGHT("00000000"&amp;X3,8)&amp;","</f>
        <v>0x48BF2F2D,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45" t="s">
        <v>12</v>
      </c>
      <c r="F4" s="46" t="s">
        <v>12</v>
      </c>
      <c r="G4" s="46" t="s">
        <v>12</v>
      </c>
      <c r="H4" s="46" t="s">
        <v>12</v>
      </c>
      <c r="I4" s="46" t="s">
        <v>12</v>
      </c>
      <c r="J4" s="46" t="s">
        <v>12</v>
      </c>
      <c r="K4" s="46" t="s">
        <v>12</v>
      </c>
      <c r="L4" s="46" t="s">
        <v>12</v>
      </c>
      <c r="M4" s="46" t="s">
        <v>12</v>
      </c>
      <c r="N4" s="46" t="s">
        <v>12</v>
      </c>
      <c r="O4" s="46" t="s">
        <v>12</v>
      </c>
      <c r="P4" s="46" t="s">
        <v>12</v>
      </c>
      <c r="Q4" s="46" t="s">
        <v>12</v>
      </c>
      <c r="R4" s="46" t="s">
        <v>12</v>
      </c>
      <c r="S4" s="46" t="s">
        <v>12</v>
      </c>
      <c r="V4" s="35"/>
      <c r="W4" s="34" t="s">
        <v>20</v>
      </c>
      <c r="X4" s="36" t="str">
        <f>S41</f>
        <v>44080AE</v>
      </c>
      <c r="Y4" t="str">
        <f t="shared" si="0"/>
        <v>0x044080AE,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45" t="s">
        <v>12</v>
      </c>
      <c r="F5" s="46" t="s">
        <v>12</v>
      </c>
      <c r="G5" s="46" t="s">
        <v>12</v>
      </c>
      <c r="H5" s="46" t="s">
        <v>12</v>
      </c>
      <c r="I5" s="46" t="s">
        <v>12</v>
      </c>
      <c r="J5" s="46" t="s">
        <v>12</v>
      </c>
      <c r="K5" s="46" t="s">
        <v>12</v>
      </c>
      <c r="L5" s="46" t="s">
        <v>12</v>
      </c>
      <c r="M5" s="46" t="s">
        <v>12</v>
      </c>
      <c r="N5" s="46" t="s">
        <v>12</v>
      </c>
      <c r="O5" s="46" t="s">
        <v>12</v>
      </c>
      <c r="P5" s="46" t="s">
        <v>12</v>
      </c>
      <c r="Q5" s="46" t="s">
        <v>12</v>
      </c>
      <c r="R5" s="46" t="s">
        <v>12</v>
      </c>
      <c r="S5" s="46" t="s">
        <v>12</v>
      </c>
      <c r="V5" s="35">
        <v>1</v>
      </c>
      <c r="W5" s="34" t="s">
        <v>13</v>
      </c>
      <c r="X5" s="36" t="str">
        <f>R43</f>
        <v>F03A7004</v>
      </c>
      <c r="Y5" t="str">
        <f t="shared" si="0"/>
        <v>0xF03A7004,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45" t="s">
        <v>26</v>
      </c>
      <c r="F6" s="46" t="s">
        <v>26</v>
      </c>
      <c r="G6" s="46" t="s">
        <v>26</v>
      </c>
      <c r="H6" s="46" t="s">
        <v>26</v>
      </c>
      <c r="I6" s="46" t="s">
        <v>26</v>
      </c>
      <c r="J6" s="46" t="s">
        <v>26</v>
      </c>
      <c r="K6" s="46" t="s">
        <v>26</v>
      </c>
      <c r="L6" s="46" t="s">
        <v>26</v>
      </c>
      <c r="M6" s="46" t="s">
        <v>26</v>
      </c>
      <c r="N6" s="46" t="s">
        <v>26</v>
      </c>
      <c r="O6" s="46" t="s">
        <v>26</v>
      </c>
      <c r="P6" s="46" t="s">
        <v>26</v>
      </c>
      <c r="Q6" s="46" t="s">
        <v>26</v>
      </c>
      <c r="R6" s="46" t="s">
        <v>26</v>
      </c>
      <c r="S6" s="46" t="s">
        <v>26</v>
      </c>
      <c r="V6" s="35"/>
      <c r="W6" s="34" t="s">
        <v>16</v>
      </c>
      <c r="X6" s="36" t="str">
        <f>R42</f>
        <v>48BF2F2D</v>
      </c>
      <c r="Y6" t="str">
        <f t="shared" si="0"/>
        <v>0x48BF2F2D,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45" t="s">
        <v>26</v>
      </c>
      <c r="F7" s="46" t="s">
        <v>26</v>
      </c>
      <c r="G7" s="46" t="s">
        <v>26</v>
      </c>
      <c r="H7" s="46" t="s">
        <v>26</v>
      </c>
      <c r="I7" s="46" t="s">
        <v>26</v>
      </c>
      <c r="J7" s="46" t="s">
        <v>26</v>
      </c>
      <c r="K7" s="46" t="s">
        <v>26</v>
      </c>
      <c r="L7" s="46" t="s">
        <v>26</v>
      </c>
      <c r="M7" s="46" t="s">
        <v>26</v>
      </c>
      <c r="N7" s="46" t="s">
        <v>26</v>
      </c>
      <c r="O7" s="46" t="s">
        <v>26</v>
      </c>
      <c r="P7" s="46" t="s">
        <v>26</v>
      </c>
      <c r="Q7" s="46" t="s">
        <v>26</v>
      </c>
      <c r="R7" s="46" t="s">
        <v>26</v>
      </c>
      <c r="S7" s="46" t="s">
        <v>26</v>
      </c>
      <c r="V7" s="35"/>
      <c r="W7" s="34" t="s">
        <v>20</v>
      </c>
      <c r="X7" s="36" t="str">
        <f>R41</f>
        <v>4408126</v>
      </c>
      <c r="Y7" t="str">
        <f t="shared" si="0"/>
        <v>0x04408126,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45" t="s">
        <v>12</v>
      </c>
      <c r="F8" s="46" t="s">
        <v>12</v>
      </c>
      <c r="G8" s="46" t="s">
        <v>12</v>
      </c>
      <c r="H8" s="46" t="s">
        <v>12</v>
      </c>
      <c r="I8" s="46" t="s">
        <v>12</v>
      </c>
      <c r="J8" s="46" t="s">
        <v>12</v>
      </c>
      <c r="K8" s="46" t="s">
        <v>12</v>
      </c>
      <c r="L8" s="46" t="s">
        <v>12</v>
      </c>
      <c r="M8" s="46" t="s">
        <v>12</v>
      </c>
      <c r="N8" s="46" t="s">
        <v>12</v>
      </c>
      <c r="O8" s="46" t="s">
        <v>12</v>
      </c>
      <c r="P8" s="46" t="s">
        <v>12</v>
      </c>
      <c r="Q8" s="46" t="s">
        <v>12</v>
      </c>
      <c r="R8" s="46" t="s">
        <v>12</v>
      </c>
      <c r="S8" s="46" t="s">
        <v>12</v>
      </c>
      <c r="V8" s="35">
        <v>2</v>
      </c>
      <c r="W8" s="34" t="s">
        <v>13</v>
      </c>
      <c r="X8" s="36" t="str">
        <f>Q43</f>
        <v>F03A7004</v>
      </c>
      <c r="Y8" t="str">
        <f t="shared" si="0"/>
        <v>0xF03A7004,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45" t="s">
        <v>12</v>
      </c>
      <c r="F9" s="46" t="s">
        <v>12</v>
      </c>
      <c r="G9" s="46" t="s">
        <v>12</v>
      </c>
      <c r="H9" s="46" t="s">
        <v>12</v>
      </c>
      <c r="I9" s="46" t="s">
        <v>12</v>
      </c>
      <c r="J9" s="46" t="s">
        <v>12</v>
      </c>
      <c r="K9" s="46" t="s">
        <v>12</v>
      </c>
      <c r="L9" s="46" t="s">
        <v>12</v>
      </c>
      <c r="M9" s="46" t="s">
        <v>12</v>
      </c>
      <c r="N9" s="46" t="s">
        <v>12</v>
      </c>
      <c r="O9" s="46" t="s">
        <v>12</v>
      </c>
      <c r="P9" s="46" t="s">
        <v>12</v>
      </c>
      <c r="Q9" s="46" t="s">
        <v>12</v>
      </c>
      <c r="R9" s="46" t="s">
        <v>12</v>
      </c>
      <c r="S9" s="46" t="s">
        <v>12</v>
      </c>
      <c r="V9" s="35"/>
      <c r="W9" s="34" t="s">
        <v>16</v>
      </c>
      <c r="X9" s="36" t="str">
        <f>Q42</f>
        <v>48BF2F2D</v>
      </c>
      <c r="Y9" t="str">
        <f t="shared" si="0"/>
        <v>0x48BF2F2D,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45" t="s">
        <v>25</v>
      </c>
      <c r="F10" s="46" t="s">
        <v>25</v>
      </c>
      <c r="G10" s="46" t="s">
        <v>25</v>
      </c>
      <c r="H10" s="46" t="s">
        <v>25</v>
      </c>
      <c r="I10" s="46" t="s">
        <v>25</v>
      </c>
      <c r="J10" s="46" t="s">
        <v>25</v>
      </c>
      <c r="K10" s="46" t="s">
        <v>25</v>
      </c>
      <c r="L10" s="46" t="s">
        <v>25</v>
      </c>
      <c r="M10" s="46" t="s">
        <v>25</v>
      </c>
      <c r="N10" s="46" t="s">
        <v>25</v>
      </c>
      <c r="O10" s="46" t="s">
        <v>25</v>
      </c>
      <c r="P10" s="46" t="s">
        <v>25</v>
      </c>
      <c r="Q10" s="46" t="s">
        <v>25</v>
      </c>
      <c r="R10" s="46" t="s">
        <v>25</v>
      </c>
      <c r="S10" s="46" t="s">
        <v>25</v>
      </c>
      <c r="V10" s="35"/>
      <c r="W10" s="34" t="s">
        <v>20</v>
      </c>
      <c r="X10" s="36" t="str">
        <f>Q41</f>
        <v>440814A</v>
      </c>
      <c r="Y10" t="str">
        <f t="shared" si="0"/>
        <v>0x0440814A,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45" t="s">
        <v>12</v>
      </c>
      <c r="F11" s="46" t="s">
        <v>12</v>
      </c>
      <c r="G11" s="46" t="s">
        <v>12</v>
      </c>
      <c r="H11" s="46" t="s">
        <v>12</v>
      </c>
      <c r="I11" s="46" t="s">
        <v>12</v>
      </c>
      <c r="J11" s="46" t="s">
        <v>12</v>
      </c>
      <c r="K11" s="46" t="s">
        <v>12</v>
      </c>
      <c r="L11" s="46" t="s">
        <v>12</v>
      </c>
      <c r="M11" s="46" t="s">
        <v>12</v>
      </c>
      <c r="N11" s="46" t="s">
        <v>12</v>
      </c>
      <c r="O11" s="46" t="s">
        <v>12</v>
      </c>
      <c r="P11" s="46" t="s">
        <v>12</v>
      </c>
      <c r="Q11" s="46" t="s">
        <v>12</v>
      </c>
      <c r="R11" s="46" t="s">
        <v>12</v>
      </c>
      <c r="S11" s="46" t="s">
        <v>12</v>
      </c>
      <c r="V11" s="35">
        <v>3</v>
      </c>
      <c r="W11" s="34" t="s">
        <v>13</v>
      </c>
      <c r="X11" s="36" t="str">
        <f>P43</f>
        <v>F03A7004</v>
      </c>
      <c r="Y11" t="str">
        <f t="shared" si="0"/>
        <v>0xF03A7004,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47" t="s">
        <v>41</v>
      </c>
      <c r="F12" s="46" t="s">
        <v>41</v>
      </c>
      <c r="G12" s="46" t="s">
        <v>41</v>
      </c>
      <c r="H12" s="46" t="s">
        <v>42</v>
      </c>
      <c r="I12" s="46" t="s">
        <v>43</v>
      </c>
      <c r="J12" s="46" t="s">
        <v>44</v>
      </c>
      <c r="K12" s="46" t="s">
        <v>45</v>
      </c>
      <c r="L12" s="46" t="s">
        <v>44</v>
      </c>
      <c r="M12" s="46" t="s">
        <v>45</v>
      </c>
      <c r="N12" s="46" t="s">
        <v>46</v>
      </c>
      <c r="O12" s="46" t="s">
        <v>42</v>
      </c>
      <c r="P12" s="46" t="s">
        <v>47</v>
      </c>
      <c r="Q12" s="46" t="s">
        <v>44</v>
      </c>
      <c r="R12" s="46" t="s">
        <v>47</v>
      </c>
      <c r="S12" s="46" t="s">
        <v>48</v>
      </c>
      <c r="V12" s="35"/>
      <c r="W12" s="34" t="s">
        <v>16</v>
      </c>
      <c r="X12" s="36" t="str">
        <f>P42</f>
        <v>48BF2F2D</v>
      </c>
      <c r="Y12" t="str">
        <f t="shared" si="0"/>
        <v>0x48BF2F2D,</v>
      </c>
      <c r="Z12" s="37"/>
    </row>
    <row r="13" spans="1:26">
      <c r="A13" s="5" t="s">
        <v>49</v>
      </c>
      <c r="B13" s="5" t="s">
        <v>50</v>
      </c>
      <c r="C13" s="6" t="s">
        <v>51</v>
      </c>
      <c r="D13" s="4"/>
      <c r="E13" s="48" t="s">
        <v>52</v>
      </c>
      <c r="F13" s="46" t="s">
        <v>48</v>
      </c>
      <c r="G13" s="46" t="s">
        <v>19</v>
      </c>
      <c r="H13" s="46" t="s">
        <v>11</v>
      </c>
      <c r="I13" s="46" t="s">
        <v>25</v>
      </c>
      <c r="J13" s="46" t="s">
        <v>25</v>
      </c>
      <c r="K13" s="46" t="s">
        <v>51</v>
      </c>
      <c r="L13" s="46" t="s">
        <v>51</v>
      </c>
      <c r="M13" s="46" t="s">
        <v>48</v>
      </c>
      <c r="N13" s="46" t="s">
        <v>53</v>
      </c>
      <c r="O13" s="46" t="s">
        <v>53</v>
      </c>
      <c r="P13" s="46" t="s">
        <v>48</v>
      </c>
      <c r="Q13" s="46" t="s">
        <v>19</v>
      </c>
      <c r="R13" s="46" t="s">
        <v>11</v>
      </c>
      <c r="S13" s="46" t="s">
        <v>51</v>
      </c>
      <c r="V13" s="35"/>
      <c r="W13" s="34" t="s">
        <v>20</v>
      </c>
      <c r="X13" s="36" t="str">
        <f>P41</f>
        <v>4408136</v>
      </c>
      <c r="Y13" t="str">
        <f t="shared" si="0"/>
        <v>0x04408136,</v>
      </c>
      <c r="Z13" s="37"/>
    </row>
    <row r="14" spans="1:26">
      <c r="A14" s="2" t="s">
        <v>54</v>
      </c>
      <c r="B14" s="2" t="s">
        <v>55</v>
      </c>
      <c r="C14" s="3" t="s">
        <v>51</v>
      </c>
      <c r="D14" s="4"/>
      <c r="E14" s="45" t="s">
        <v>25</v>
      </c>
      <c r="F14" s="46" t="s">
        <v>25</v>
      </c>
      <c r="G14" s="46" t="s">
        <v>25</v>
      </c>
      <c r="H14" s="46" t="s">
        <v>25</v>
      </c>
      <c r="I14" s="46" t="s">
        <v>25</v>
      </c>
      <c r="J14" s="46" t="s">
        <v>25</v>
      </c>
      <c r="K14" s="46" t="s">
        <v>25</v>
      </c>
      <c r="L14" s="46" t="s">
        <v>25</v>
      </c>
      <c r="M14" s="46" t="s">
        <v>25</v>
      </c>
      <c r="N14" s="46" t="s">
        <v>25</v>
      </c>
      <c r="O14" s="46" t="s">
        <v>25</v>
      </c>
      <c r="P14" s="46" t="s">
        <v>25</v>
      </c>
      <c r="Q14" s="46" t="s">
        <v>25</v>
      </c>
      <c r="R14" s="46" t="s">
        <v>25</v>
      </c>
      <c r="S14" s="46" t="s">
        <v>25</v>
      </c>
      <c r="V14" s="35">
        <v>4</v>
      </c>
      <c r="W14" s="34" t="s">
        <v>13</v>
      </c>
      <c r="X14" s="36" t="str">
        <f>O43</f>
        <v>F03A7004</v>
      </c>
      <c r="Y14" t="str">
        <f t="shared" si="0"/>
        <v>0xF03A7004,</v>
      </c>
      <c r="Z14" s="37" t="s">
        <v>56</v>
      </c>
    </row>
    <row r="15" spans="1:26">
      <c r="A15" s="2" t="s">
        <v>57</v>
      </c>
      <c r="B15" s="2" t="s">
        <v>58</v>
      </c>
      <c r="C15" s="3" t="s">
        <v>25</v>
      </c>
      <c r="D15" s="4"/>
      <c r="E15" s="45" t="s">
        <v>47</v>
      </c>
      <c r="F15" s="46" t="s">
        <v>47</v>
      </c>
      <c r="G15" s="46" t="s">
        <v>47</v>
      </c>
      <c r="H15" s="46" t="s">
        <v>47</v>
      </c>
      <c r="I15" s="46" t="s">
        <v>47</v>
      </c>
      <c r="J15" s="46" t="s">
        <v>47</v>
      </c>
      <c r="K15" s="46" t="s">
        <v>47</v>
      </c>
      <c r="L15" s="46" t="s">
        <v>47</v>
      </c>
      <c r="M15" s="46" t="s">
        <v>47</v>
      </c>
      <c r="N15" s="46" t="s">
        <v>47</v>
      </c>
      <c r="O15" s="46" t="s">
        <v>47</v>
      </c>
      <c r="P15" s="46" t="s">
        <v>47</v>
      </c>
      <c r="Q15" s="46" t="s">
        <v>47</v>
      </c>
      <c r="R15" s="46" t="s">
        <v>47</v>
      </c>
      <c r="S15" s="46" t="s">
        <v>47</v>
      </c>
      <c r="V15" s="35"/>
      <c r="W15" s="34" t="s">
        <v>16</v>
      </c>
      <c r="X15" s="36" t="str">
        <f>O42</f>
        <v>48BF2F2D</v>
      </c>
      <c r="Y15" t="str">
        <f t="shared" si="0"/>
        <v>0x48BF2F2D,</v>
      </c>
      <c r="Z15" s="37"/>
    </row>
    <row r="16" spans="1:26">
      <c r="A16" s="2" t="s">
        <v>59</v>
      </c>
      <c r="B16" s="2" t="s">
        <v>60</v>
      </c>
      <c r="C16" s="3" t="s">
        <v>51</v>
      </c>
      <c r="D16" s="4"/>
      <c r="E16" s="45" t="s">
        <v>12</v>
      </c>
      <c r="F16" s="46" t="s">
        <v>12</v>
      </c>
      <c r="G16" s="46" t="s">
        <v>12</v>
      </c>
      <c r="H16" s="46" t="s">
        <v>12</v>
      </c>
      <c r="I16" s="46" t="s">
        <v>12</v>
      </c>
      <c r="J16" s="46" t="s">
        <v>12</v>
      </c>
      <c r="K16" s="46" t="s">
        <v>12</v>
      </c>
      <c r="L16" s="46" t="s">
        <v>12</v>
      </c>
      <c r="M16" s="46" t="s">
        <v>12</v>
      </c>
      <c r="N16" s="46" t="s">
        <v>12</v>
      </c>
      <c r="O16" s="46" t="s">
        <v>12</v>
      </c>
      <c r="P16" s="46" t="s">
        <v>12</v>
      </c>
      <c r="Q16" s="46" t="s">
        <v>12</v>
      </c>
      <c r="R16" s="46" t="s">
        <v>12</v>
      </c>
      <c r="S16" s="46" t="s">
        <v>12</v>
      </c>
      <c r="V16" s="35"/>
      <c r="W16" s="34" t="s">
        <v>20</v>
      </c>
      <c r="X16" s="36" t="str">
        <f>O41</f>
        <v>440817A</v>
      </c>
      <c r="Y16" t="str">
        <f t="shared" si="0"/>
        <v>0x0440817A,</v>
      </c>
      <c r="Z16" s="37"/>
    </row>
    <row r="17" spans="1:26">
      <c r="A17" s="2" t="s">
        <v>61</v>
      </c>
      <c r="B17" s="2" t="s">
        <v>62</v>
      </c>
      <c r="C17" s="3" t="s">
        <v>11</v>
      </c>
      <c r="D17" s="4"/>
      <c r="E17" s="45" t="s">
        <v>11</v>
      </c>
      <c r="F17" s="46" t="s">
        <v>11</v>
      </c>
      <c r="G17" s="46" t="s">
        <v>11</v>
      </c>
      <c r="H17" s="46" t="s">
        <v>11</v>
      </c>
      <c r="I17" s="46" t="s">
        <v>11</v>
      </c>
      <c r="J17" s="46" t="s">
        <v>11</v>
      </c>
      <c r="K17" s="46" t="s">
        <v>11</v>
      </c>
      <c r="L17" s="46" t="s">
        <v>11</v>
      </c>
      <c r="M17" s="46" t="s">
        <v>11</v>
      </c>
      <c r="N17" s="46" t="s">
        <v>11</v>
      </c>
      <c r="O17" s="46" t="s">
        <v>11</v>
      </c>
      <c r="P17" s="46" t="s">
        <v>11</v>
      </c>
      <c r="Q17" s="46" t="s">
        <v>11</v>
      </c>
      <c r="R17" s="46" t="s">
        <v>11</v>
      </c>
      <c r="S17" s="46" t="s">
        <v>11</v>
      </c>
      <c r="V17" s="35">
        <v>5</v>
      </c>
      <c r="W17" s="34" t="s">
        <v>13</v>
      </c>
      <c r="X17" s="36" t="str">
        <f>N43</f>
        <v>F03A7004</v>
      </c>
      <c r="Y17" t="str">
        <f t="shared" si="0"/>
        <v>0xF03A7004,</v>
      </c>
      <c r="Z17" s="37" t="s">
        <v>63</v>
      </c>
    </row>
    <row r="18" spans="1:26">
      <c r="A18" s="2" t="s">
        <v>64</v>
      </c>
      <c r="B18" s="2" t="s">
        <v>65</v>
      </c>
      <c r="C18" s="3" t="s">
        <v>11</v>
      </c>
      <c r="D18" s="4"/>
      <c r="E18" s="45" t="s">
        <v>12</v>
      </c>
      <c r="F18" s="46" t="s">
        <v>12</v>
      </c>
      <c r="G18" s="46" t="s">
        <v>12</v>
      </c>
      <c r="H18" s="46" t="s">
        <v>12</v>
      </c>
      <c r="I18" s="46" t="s">
        <v>12</v>
      </c>
      <c r="J18" s="46" t="s">
        <v>12</v>
      </c>
      <c r="K18" s="46" t="s">
        <v>12</v>
      </c>
      <c r="L18" s="46" t="s">
        <v>12</v>
      </c>
      <c r="M18" s="46" t="s">
        <v>12</v>
      </c>
      <c r="N18" s="46" t="s">
        <v>12</v>
      </c>
      <c r="O18" s="46" t="s">
        <v>12</v>
      </c>
      <c r="P18" s="46" t="s">
        <v>12</v>
      </c>
      <c r="Q18" s="46" t="s">
        <v>12</v>
      </c>
      <c r="R18" s="46" t="s">
        <v>12</v>
      </c>
      <c r="S18" s="46" t="s">
        <v>12</v>
      </c>
      <c r="V18" s="35"/>
      <c r="W18" s="34" t="s">
        <v>16</v>
      </c>
      <c r="X18" s="36" t="str">
        <f>N42</f>
        <v>48BF2F2D</v>
      </c>
      <c r="Y18" t="str">
        <f t="shared" si="0"/>
        <v>0x48BF2F2D,</v>
      </c>
      <c r="Z18" s="37"/>
    </row>
    <row r="19" spans="1:26">
      <c r="A19" s="2" t="s">
        <v>66</v>
      </c>
      <c r="B19" s="2" t="s">
        <v>67</v>
      </c>
      <c r="C19" s="3" t="s">
        <v>19</v>
      </c>
      <c r="D19" s="4"/>
      <c r="E19" s="45" t="s">
        <v>51</v>
      </c>
      <c r="F19" s="46" t="s">
        <v>51</v>
      </c>
      <c r="G19" s="46" t="s">
        <v>51</v>
      </c>
      <c r="H19" s="46" t="s">
        <v>51</v>
      </c>
      <c r="I19" s="46" t="s">
        <v>51</v>
      </c>
      <c r="J19" s="46" t="s">
        <v>51</v>
      </c>
      <c r="K19" s="46" t="s">
        <v>51</v>
      </c>
      <c r="L19" s="46" t="s">
        <v>51</v>
      </c>
      <c r="M19" s="46" t="s">
        <v>51</v>
      </c>
      <c r="N19" s="46" t="s">
        <v>51</v>
      </c>
      <c r="O19" s="46" t="s">
        <v>51</v>
      </c>
      <c r="P19" s="46" t="s">
        <v>51</v>
      </c>
      <c r="Q19" s="46" t="s">
        <v>51</v>
      </c>
      <c r="R19" s="46" t="s">
        <v>51</v>
      </c>
      <c r="S19" s="46" t="s">
        <v>51</v>
      </c>
      <c r="V19" s="35"/>
      <c r="W19" s="34" t="s">
        <v>20</v>
      </c>
      <c r="X19" s="36" t="str">
        <f>N41</f>
        <v>44081DA</v>
      </c>
      <c r="Y19" t="str">
        <f t="shared" si="0"/>
        <v>0x044081DA,</v>
      </c>
      <c r="Z19" s="37"/>
    </row>
    <row r="20" spans="1:26">
      <c r="A20" s="2" t="s">
        <v>68</v>
      </c>
      <c r="B20" s="2" t="s">
        <v>69</v>
      </c>
      <c r="C20" s="3" t="s">
        <v>19</v>
      </c>
      <c r="D20" s="4"/>
      <c r="E20" s="45" t="s">
        <v>51</v>
      </c>
      <c r="F20" s="46" t="s">
        <v>51</v>
      </c>
      <c r="G20" s="46" t="s">
        <v>51</v>
      </c>
      <c r="H20" s="46" t="s">
        <v>51</v>
      </c>
      <c r="I20" s="46" t="s">
        <v>51</v>
      </c>
      <c r="J20" s="46" t="s">
        <v>51</v>
      </c>
      <c r="K20" s="46" t="s">
        <v>51</v>
      </c>
      <c r="L20" s="46" t="s">
        <v>51</v>
      </c>
      <c r="M20" s="46" t="s">
        <v>51</v>
      </c>
      <c r="N20" s="46" t="s">
        <v>51</v>
      </c>
      <c r="O20" s="46" t="s">
        <v>51</v>
      </c>
      <c r="P20" s="46" t="s">
        <v>51</v>
      </c>
      <c r="Q20" s="46" t="s">
        <v>51</v>
      </c>
      <c r="R20" s="46" t="s">
        <v>51</v>
      </c>
      <c r="S20" s="46" t="s">
        <v>51</v>
      </c>
      <c r="V20" s="35">
        <v>6</v>
      </c>
      <c r="W20" s="34" t="s">
        <v>13</v>
      </c>
      <c r="X20" s="36" t="str">
        <f>M43</f>
        <v>F03A7005</v>
      </c>
      <c r="Y20" t="str">
        <f t="shared" si="0"/>
        <v>0xF03A7005,</v>
      </c>
      <c r="Z20" s="37" t="s">
        <v>70</v>
      </c>
    </row>
    <row r="21" spans="1:26">
      <c r="A21" s="2" t="s">
        <v>71</v>
      </c>
      <c r="B21" s="2" t="s">
        <v>72</v>
      </c>
      <c r="C21" s="3" t="s">
        <v>51</v>
      </c>
      <c r="D21" s="4"/>
      <c r="E21" s="45" t="s">
        <v>53</v>
      </c>
      <c r="F21" s="46" t="s">
        <v>53</v>
      </c>
      <c r="G21" s="46" t="s">
        <v>53</v>
      </c>
      <c r="H21" s="46" t="s">
        <v>53</v>
      </c>
      <c r="I21" s="46" t="s">
        <v>53</v>
      </c>
      <c r="J21" s="46" t="s">
        <v>53</v>
      </c>
      <c r="K21" s="46" t="s">
        <v>53</v>
      </c>
      <c r="L21" s="46" t="s">
        <v>53</v>
      </c>
      <c r="M21" s="46" t="s">
        <v>53</v>
      </c>
      <c r="N21" s="46" t="s">
        <v>53</v>
      </c>
      <c r="O21" s="46" t="s">
        <v>53</v>
      </c>
      <c r="P21" s="46" t="s">
        <v>53</v>
      </c>
      <c r="Q21" s="46" t="s">
        <v>53</v>
      </c>
      <c r="R21" s="46" t="s">
        <v>53</v>
      </c>
      <c r="S21" s="46" t="s">
        <v>53</v>
      </c>
      <c r="V21" s="35"/>
      <c r="W21" s="34" t="s">
        <v>16</v>
      </c>
      <c r="X21" s="36" t="str">
        <f>M42</f>
        <v>48BF2F2D</v>
      </c>
      <c r="Y21" t="str">
        <f t="shared" si="0"/>
        <v>0x48BF2F2D,</v>
      </c>
      <c r="Z21" s="37"/>
    </row>
    <row r="22" spans="1:26">
      <c r="A22" s="2" t="s">
        <v>73</v>
      </c>
      <c r="B22" s="2" t="s">
        <v>74</v>
      </c>
      <c r="C22" s="3" t="s">
        <v>51</v>
      </c>
      <c r="D22" s="4"/>
      <c r="E22" s="45" t="s">
        <v>19</v>
      </c>
      <c r="F22" s="46" t="s">
        <v>19</v>
      </c>
      <c r="G22" s="46" t="s">
        <v>19</v>
      </c>
      <c r="H22" s="46" t="s">
        <v>19</v>
      </c>
      <c r="I22" s="46" t="s">
        <v>19</v>
      </c>
      <c r="J22" s="46" t="s">
        <v>19</v>
      </c>
      <c r="K22" s="46" t="s">
        <v>19</v>
      </c>
      <c r="L22" s="46" t="s">
        <v>19</v>
      </c>
      <c r="M22" s="46" t="s">
        <v>19</v>
      </c>
      <c r="N22" s="46" t="s">
        <v>19</v>
      </c>
      <c r="O22" s="46" t="s">
        <v>19</v>
      </c>
      <c r="P22" s="46" t="s">
        <v>19</v>
      </c>
      <c r="Q22" s="46" t="s">
        <v>19</v>
      </c>
      <c r="R22" s="46" t="s">
        <v>19</v>
      </c>
      <c r="S22" s="46" t="s">
        <v>19</v>
      </c>
      <c r="V22" s="35"/>
      <c r="W22" s="34" t="s">
        <v>20</v>
      </c>
      <c r="X22" s="36" t="str">
        <f>M41</f>
        <v>4408196</v>
      </c>
      <c r="Y22" t="str">
        <f t="shared" si="0"/>
        <v>0x04408196,</v>
      </c>
      <c r="Z22" s="37"/>
    </row>
    <row r="23" spans="1:26">
      <c r="A23" s="2" t="s">
        <v>75</v>
      </c>
      <c r="B23" s="2" t="s">
        <v>76</v>
      </c>
      <c r="C23" s="3" t="s">
        <v>11</v>
      </c>
      <c r="D23" s="4"/>
      <c r="E23" s="45" t="s">
        <v>11</v>
      </c>
      <c r="F23" s="46" t="s">
        <v>11</v>
      </c>
      <c r="G23" s="46" t="s">
        <v>11</v>
      </c>
      <c r="H23" s="46" t="s">
        <v>11</v>
      </c>
      <c r="I23" s="46" t="s">
        <v>11</v>
      </c>
      <c r="J23" s="46" t="s">
        <v>11</v>
      </c>
      <c r="K23" s="46" t="s">
        <v>11</v>
      </c>
      <c r="L23" s="46" t="s">
        <v>11</v>
      </c>
      <c r="M23" s="46" t="s">
        <v>11</v>
      </c>
      <c r="N23" s="46" t="s">
        <v>11</v>
      </c>
      <c r="O23" s="46" t="s">
        <v>11</v>
      </c>
      <c r="P23" s="46" t="s">
        <v>11</v>
      </c>
      <c r="Q23" s="46" t="s">
        <v>11</v>
      </c>
      <c r="R23" s="46" t="s">
        <v>11</v>
      </c>
      <c r="S23" s="46" t="s">
        <v>11</v>
      </c>
      <c r="V23" s="35">
        <v>7</v>
      </c>
      <c r="W23" s="34" t="s">
        <v>13</v>
      </c>
      <c r="X23" s="36" t="str">
        <f>L43</f>
        <v>F03A700C</v>
      </c>
      <c r="Y23" t="str">
        <f t="shared" si="0"/>
        <v>0xF03A700C,</v>
      </c>
      <c r="Z23" s="37" t="s">
        <v>77</v>
      </c>
    </row>
    <row r="24" spans="1:26">
      <c r="A24" s="2" t="s">
        <v>78</v>
      </c>
      <c r="B24" s="2" t="s">
        <v>79</v>
      </c>
      <c r="C24" s="3" t="s">
        <v>11</v>
      </c>
      <c r="D24" s="4"/>
      <c r="E24" s="45" t="s">
        <v>11</v>
      </c>
      <c r="F24" s="46" t="s">
        <v>11</v>
      </c>
      <c r="G24" s="46" t="s">
        <v>11</v>
      </c>
      <c r="H24" s="46" t="s">
        <v>11</v>
      </c>
      <c r="I24" s="46" t="s">
        <v>11</v>
      </c>
      <c r="J24" s="46" t="s">
        <v>11</v>
      </c>
      <c r="K24" s="46" t="s">
        <v>11</v>
      </c>
      <c r="L24" s="46" t="s">
        <v>11</v>
      </c>
      <c r="M24" s="46" t="s">
        <v>11</v>
      </c>
      <c r="N24" s="46" t="s">
        <v>11</v>
      </c>
      <c r="O24" s="46" t="s">
        <v>11</v>
      </c>
      <c r="P24" s="46" t="s">
        <v>11</v>
      </c>
      <c r="Q24" s="46" t="s">
        <v>11</v>
      </c>
      <c r="R24" s="46" t="s">
        <v>11</v>
      </c>
      <c r="S24" s="46" t="s">
        <v>11</v>
      </c>
      <c r="V24" s="35"/>
      <c r="W24" s="34" t="s">
        <v>16</v>
      </c>
      <c r="X24" s="36" t="str">
        <f>L42</f>
        <v>48BF2F2D</v>
      </c>
      <c r="Y24" t="str">
        <f t="shared" si="0"/>
        <v>0x48BF2F2D,</v>
      </c>
      <c r="Z24" s="37"/>
    </row>
    <row r="25" spans="1:26">
      <c r="A25" s="2" t="s">
        <v>80</v>
      </c>
      <c r="B25" s="2" t="s">
        <v>81</v>
      </c>
      <c r="C25" s="3" t="s">
        <v>51</v>
      </c>
      <c r="D25" s="4"/>
      <c r="E25" s="45" t="s">
        <v>53</v>
      </c>
      <c r="F25" s="46" t="s">
        <v>53</v>
      </c>
      <c r="G25" s="46" t="s">
        <v>53</v>
      </c>
      <c r="H25" s="46" t="s">
        <v>53</v>
      </c>
      <c r="I25" s="46" t="s">
        <v>53</v>
      </c>
      <c r="J25" s="46" t="s">
        <v>53</v>
      </c>
      <c r="K25" s="46" t="s">
        <v>53</v>
      </c>
      <c r="L25" s="46" t="s">
        <v>53</v>
      </c>
      <c r="M25" s="46" t="s">
        <v>53</v>
      </c>
      <c r="N25" s="46" t="s">
        <v>53</v>
      </c>
      <c r="O25" s="46" t="s">
        <v>53</v>
      </c>
      <c r="P25" s="46" t="s">
        <v>53</v>
      </c>
      <c r="Q25" s="46" t="s">
        <v>53</v>
      </c>
      <c r="R25" s="46" t="s">
        <v>53</v>
      </c>
      <c r="S25" s="46" t="s">
        <v>53</v>
      </c>
      <c r="V25" s="35"/>
      <c r="W25" s="34" t="s">
        <v>20</v>
      </c>
      <c r="X25" s="36" t="str">
        <f>L41</f>
        <v>440814E</v>
      </c>
      <c r="Y25" t="str">
        <f t="shared" si="0"/>
        <v>0x0440814E,</v>
      </c>
      <c r="Z25" s="37"/>
    </row>
    <row r="26" spans="1:26">
      <c r="A26" s="2" t="s">
        <v>82</v>
      </c>
      <c r="B26" s="2" t="s">
        <v>83</v>
      </c>
      <c r="C26" s="3" t="s">
        <v>51</v>
      </c>
      <c r="D26" s="4"/>
      <c r="E26" s="45" t="s">
        <v>19</v>
      </c>
      <c r="F26" s="46" t="s">
        <v>19</v>
      </c>
      <c r="G26" s="46" t="s">
        <v>19</v>
      </c>
      <c r="H26" s="46" t="s">
        <v>19</v>
      </c>
      <c r="I26" s="46" t="s">
        <v>19</v>
      </c>
      <c r="J26" s="46" t="s">
        <v>19</v>
      </c>
      <c r="K26" s="46" t="s">
        <v>19</v>
      </c>
      <c r="L26" s="46" t="s">
        <v>19</v>
      </c>
      <c r="M26" s="46" t="s">
        <v>19</v>
      </c>
      <c r="N26" s="46" t="s">
        <v>19</v>
      </c>
      <c r="O26" s="46" t="s">
        <v>19</v>
      </c>
      <c r="P26" s="46" t="s">
        <v>19</v>
      </c>
      <c r="Q26" s="46" t="s">
        <v>19</v>
      </c>
      <c r="R26" s="46" t="s">
        <v>19</v>
      </c>
      <c r="S26" s="46" t="s">
        <v>19</v>
      </c>
      <c r="V26" s="35">
        <v>8</v>
      </c>
      <c r="W26" s="34" t="s">
        <v>13</v>
      </c>
      <c r="X26" s="36" t="str">
        <f>K43</f>
        <v>F03A700C</v>
      </c>
      <c r="Y26" t="str">
        <f t="shared" si="0"/>
        <v>0xF03A700C,</v>
      </c>
      <c r="Z26" s="37" t="s">
        <v>84</v>
      </c>
    </row>
    <row r="27" spans="1:26">
      <c r="A27" s="2" t="s">
        <v>85</v>
      </c>
      <c r="B27" s="2" t="s">
        <v>86</v>
      </c>
      <c r="C27" s="3" t="s">
        <v>19</v>
      </c>
      <c r="D27" s="4"/>
      <c r="E27" s="45" t="s">
        <v>51</v>
      </c>
      <c r="F27" s="46" t="s">
        <v>51</v>
      </c>
      <c r="G27" s="46" t="s">
        <v>51</v>
      </c>
      <c r="H27" s="46" t="s">
        <v>51</v>
      </c>
      <c r="I27" s="46" t="s">
        <v>51</v>
      </c>
      <c r="J27" s="46" t="s">
        <v>51</v>
      </c>
      <c r="K27" s="46" t="s">
        <v>51</v>
      </c>
      <c r="L27" s="46" t="s">
        <v>51</v>
      </c>
      <c r="M27" s="46" t="s">
        <v>51</v>
      </c>
      <c r="N27" s="46" t="s">
        <v>51</v>
      </c>
      <c r="O27" s="46" t="s">
        <v>51</v>
      </c>
      <c r="P27" s="46" t="s">
        <v>51</v>
      </c>
      <c r="Q27" s="46" t="s">
        <v>51</v>
      </c>
      <c r="R27" s="46" t="s">
        <v>51</v>
      </c>
      <c r="S27" s="46" t="s">
        <v>51</v>
      </c>
      <c r="V27" s="35"/>
      <c r="W27" s="34" t="s">
        <v>16</v>
      </c>
      <c r="X27" s="36" t="str">
        <f>K42</f>
        <v>48BF2F2D</v>
      </c>
      <c r="Y27" t="str">
        <f t="shared" si="0"/>
        <v>0x48BF2F2D,</v>
      </c>
      <c r="Z27" s="37"/>
    </row>
    <row r="28" spans="1:26">
      <c r="A28" s="2" t="s">
        <v>87</v>
      </c>
      <c r="B28" s="2" t="s">
        <v>88</v>
      </c>
      <c r="C28" s="3" t="s">
        <v>11</v>
      </c>
      <c r="D28" s="4"/>
      <c r="E28" s="45" t="s">
        <v>12</v>
      </c>
      <c r="F28" s="46" t="s">
        <v>12</v>
      </c>
      <c r="G28" s="46" t="s">
        <v>12</v>
      </c>
      <c r="H28" s="46" t="s">
        <v>12</v>
      </c>
      <c r="I28" s="46" t="s">
        <v>12</v>
      </c>
      <c r="J28" s="46" t="s">
        <v>12</v>
      </c>
      <c r="K28" s="46" t="s">
        <v>12</v>
      </c>
      <c r="L28" s="46" t="s">
        <v>12</v>
      </c>
      <c r="M28" s="46" t="s">
        <v>12</v>
      </c>
      <c r="N28" s="46" t="s">
        <v>12</v>
      </c>
      <c r="O28" s="46" t="s">
        <v>12</v>
      </c>
      <c r="P28" s="46" t="s">
        <v>12</v>
      </c>
      <c r="Q28" s="46" t="s">
        <v>12</v>
      </c>
      <c r="R28" s="46" t="s">
        <v>12</v>
      </c>
      <c r="S28" s="46" t="s">
        <v>12</v>
      </c>
      <c r="V28" s="35"/>
      <c r="W28" s="34" t="s">
        <v>20</v>
      </c>
      <c r="X28" s="36" t="str">
        <f>K41</f>
        <v>440818E</v>
      </c>
      <c r="Y28" t="str">
        <f t="shared" si="0"/>
        <v>0x0440818E,</v>
      </c>
      <c r="Z28" s="37"/>
    </row>
    <row r="29" spans="1:26">
      <c r="A29" s="2" t="s">
        <v>89</v>
      </c>
      <c r="B29" s="2" t="s">
        <v>90</v>
      </c>
      <c r="C29" s="3" t="s">
        <v>19</v>
      </c>
      <c r="D29" s="4"/>
      <c r="E29" s="45" t="s">
        <v>51</v>
      </c>
      <c r="F29" s="46" t="s">
        <v>51</v>
      </c>
      <c r="G29" s="46" t="s">
        <v>51</v>
      </c>
      <c r="H29" s="46" t="s">
        <v>51</v>
      </c>
      <c r="I29" s="46" t="s">
        <v>51</v>
      </c>
      <c r="J29" s="46" t="s">
        <v>51</v>
      </c>
      <c r="K29" s="46" t="s">
        <v>51</v>
      </c>
      <c r="L29" s="46" t="s">
        <v>51</v>
      </c>
      <c r="M29" s="46" t="s">
        <v>51</v>
      </c>
      <c r="N29" s="46" t="s">
        <v>51</v>
      </c>
      <c r="O29" s="46" t="s">
        <v>51</v>
      </c>
      <c r="P29" s="46" t="s">
        <v>51</v>
      </c>
      <c r="Q29" s="46" t="s">
        <v>51</v>
      </c>
      <c r="R29" s="46" t="s">
        <v>51</v>
      </c>
      <c r="S29" s="46" t="s">
        <v>51</v>
      </c>
      <c r="V29" s="35">
        <v>9</v>
      </c>
      <c r="W29" s="34" t="s">
        <v>13</v>
      </c>
      <c r="X29" s="36" t="str">
        <f>J43</f>
        <v>F03A700F</v>
      </c>
      <c r="Y29" t="str">
        <f t="shared" si="0"/>
        <v>0xF03A700F,</v>
      </c>
      <c r="Z29" s="37" t="s">
        <v>91</v>
      </c>
    </row>
    <row r="30" spans="1:26">
      <c r="A30" s="2" t="s">
        <v>92</v>
      </c>
      <c r="B30" s="2" t="s">
        <v>93</v>
      </c>
      <c r="C30" s="3" t="s">
        <v>19</v>
      </c>
      <c r="D30" s="4"/>
      <c r="E30" s="45" t="s">
        <v>51</v>
      </c>
      <c r="F30" s="46" t="s">
        <v>51</v>
      </c>
      <c r="G30" s="46" t="s">
        <v>51</v>
      </c>
      <c r="H30" s="46" t="s">
        <v>51</v>
      </c>
      <c r="I30" s="46" t="s">
        <v>51</v>
      </c>
      <c r="J30" s="46" t="s">
        <v>51</v>
      </c>
      <c r="K30" s="46" t="s">
        <v>51</v>
      </c>
      <c r="L30" s="46" t="s">
        <v>51</v>
      </c>
      <c r="M30" s="46" t="s">
        <v>51</v>
      </c>
      <c r="N30" s="46" t="s">
        <v>51</v>
      </c>
      <c r="O30" s="46" t="s">
        <v>51</v>
      </c>
      <c r="P30" s="46" t="s">
        <v>51</v>
      </c>
      <c r="Q30" s="46" t="s">
        <v>51</v>
      </c>
      <c r="R30" s="46" t="s">
        <v>51</v>
      </c>
      <c r="S30" s="46" t="s">
        <v>51</v>
      </c>
      <c r="V30" s="35"/>
      <c r="W30" s="34" t="s">
        <v>16</v>
      </c>
      <c r="X30" s="36" t="str">
        <f>J42</f>
        <v>48BF2F2D</v>
      </c>
      <c r="Y30" t="str">
        <f t="shared" si="0"/>
        <v>0x48BF2F2D,</v>
      </c>
      <c r="Z30" s="37"/>
    </row>
    <row r="31" spans="1:26">
      <c r="A31" s="2" t="s">
        <v>94</v>
      </c>
      <c r="B31" s="2" t="s">
        <v>95</v>
      </c>
      <c r="C31" s="3" t="s">
        <v>53</v>
      </c>
      <c r="D31" s="4"/>
      <c r="E31" s="45" t="s">
        <v>96</v>
      </c>
      <c r="F31" s="46" t="s">
        <v>96</v>
      </c>
      <c r="G31" s="46" t="s">
        <v>96</v>
      </c>
      <c r="H31" s="46" t="s">
        <v>96</v>
      </c>
      <c r="I31" s="46" t="s">
        <v>96</v>
      </c>
      <c r="J31" s="46" t="s">
        <v>96</v>
      </c>
      <c r="K31" s="46" t="s">
        <v>96</v>
      </c>
      <c r="L31" s="46" t="s">
        <v>96</v>
      </c>
      <c r="M31" s="46" t="s">
        <v>96</v>
      </c>
      <c r="N31" s="46" t="s">
        <v>96</v>
      </c>
      <c r="O31" s="46" t="s">
        <v>96</v>
      </c>
      <c r="P31" s="46" t="s">
        <v>96</v>
      </c>
      <c r="Q31" s="46" t="s">
        <v>96</v>
      </c>
      <c r="R31" s="46" t="s">
        <v>96</v>
      </c>
      <c r="S31" s="46" t="s">
        <v>96</v>
      </c>
      <c r="V31" s="35"/>
      <c r="W31" s="34" t="s">
        <v>20</v>
      </c>
      <c r="X31" s="36" t="str">
        <f>J41</f>
        <v>4408152</v>
      </c>
      <c r="Y31" t="str">
        <f t="shared" si="0"/>
        <v>0x04408152,</v>
      </c>
      <c r="Z31" s="37"/>
    </row>
    <row r="32" spans="1:26">
      <c r="A32" s="2" t="s">
        <v>97</v>
      </c>
      <c r="B32" s="2" t="s">
        <v>98</v>
      </c>
      <c r="C32" s="3" t="s">
        <v>25</v>
      </c>
      <c r="D32" s="4"/>
      <c r="E32" s="49" t="s">
        <v>52</v>
      </c>
      <c r="F32" s="46" t="s">
        <v>52</v>
      </c>
      <c r="G32" s="46" t="s">
        <v>52</v>
      </c>
      <c r="H32" s="46" t="s">
        <v>52</v>
      </c>
      <c r="I32" s="46" t="s">
        <v>52</v>
      </c>
      <c r="J32" s="46" t="s">
        <v>52</v>
      </c>
      <c r="K32" s="46" t="s">
        <v>52</v>
      </c>
      <c r="L32" s="46" t="s">
        <v>52</v>
      </c>
      <c r="M32" s="46" t="s">
        <v>52</v>
      </c>
      <c r="N32" s="46" t="s">
        <v>52</v>
      </c>
      <c r="O32" s="46" t="s">
        <v>52</v>
      </c>
      <c r="P32" s="46" t="s">
        <v>52</v>
      </c>
      <c r="Q32" s="46" t="s">
        <v>52</v>
      </c>
      <c r="R32" s="46" t="s">
        <v>52</v>
      </c>
      <c r="S32" s="46" t="s">
        <v>52</v>
      </c>
      <c r="V32" s="35" t="s">
        <v>99</v>
      </c>
      <c r="W32" s="34" t="s">
        <v>13</v>
      </c>
      <c r="X32" s="36" t="str">
        <f>I43</f>
        <v>F03A700F</v>
      </c>
      <c r="Y32" t="str">
        <f t="shared" si="0"/>
        <v>0xF03A700F,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51</v>
      </c>
      <c r="D33" s="4"/>
      <c r="E33" s="49" t="s">
        <v>25</v>
      </c>
      <c r="F33" s="46">
        <v>4</v>
      </c>
      <c r="G33" s="46">
        <v>4</v>
      </c>
      <c r="H33" s="46">
        <v>4</v>
      </c>
      <c r="I33" s="46" t="s">
        <v>19</v>
      </c>
      <c r="J33" s="46" t="s">
        <v>19</v>
      </c>
      <c r="K33" s="46" t="s">
        <v>19</v>
      </c>
      <c r="L33" s="46" t="s">
        <v>19</v>
      </c>
      <c r="M33" s="46" t="s">
        <v>19</v>
      </c>
      <c r="N33" s="46" t="s">
        <v>19</v>
      </c>
      <c r="O33" s="46" t="s">
        <v>19</v>
      </c>
      <c r="P33" s="46" t="s">
        <v>19</v>
      </c>
      <c r="Q33" s="46" t="s">
        <v>19</v>
      </c>
      <c r="R33" s="46" t="s">
        <v>19</v>
      </c>
      <c r="S33" s="46" t="s">
        <v>19</v>
      </c>
      <c r="V33" s="35"/>
      <c r="W33" s="34" t="s">
        <v>16</v>
      </c>
      <c r="X33" s="36" t="str">
        <f>I42</f>
        <v>48BF2F2D</v>
      </c>
      <c r="Y33" t="str">
        <f t="shared" si="0"/>
        <v>0x48BF2F2D,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45" t="s">
        <v>12</v>
      </c>
      <c r="F34" s="46" t="s">
        <v>12</v>
      </c>
      <c r="G34" s="46" t="s">
        <v>12</v>
      </c>
      <c r="H34" s="46" t="s">
        <v>12</v>
      </c>
      <c r="I34" s="46" t="s">
        <v>12</v>
      </c>
      <c r="J34" s="46" t="s">
        <v>12</v>
      </c>
      <c r="K34" s="46" t="s">
        <v>12</v>
      </c>
      <c r="L34" s="46" t="s">
        <v>12</v>
      </c>
      <c r="M34" s="46" t="s">
        <v>12</v>
      </c>
      <c r="N34" s="46" t="s">
        <v>12</v>
      </c>
      <c r="O34" s="46" t="s">
        <v>12</v>
      </c>
      <c r="P34" s="46" t="s">
        <v>12</v>
      </c>
      <c r="Q34" s="46" t="s">
        <v>12</v>
      </c>
      <c r="R34" s="46" t="s">
        <v>12</v>
      </c>
      <c r="S34" s="46" t="s">
        <v>12</v>
      </c>
      <c r="V34" s="35"/>
      <c r="W34" s="34" t="s">
        <v>20</v>
      </c>
      <c r="X34" s="36" t="str">
        <f>I41</f>
        <v>44081B2</v>
      </c>
      <c r="Y34" t="str">
        <f t="shared" si="0"/>
        <v>0x044081B2,</v>
      </c>
      <c r="Z34" s="37"/>
    </row>
    <row r="35" spans="1:26">
      <c r="A35" s="2" t="s">
        <v>104</v>
      </c>
      <c r="B35" s="2" t="s">
        <v>105</v>
      </c>
      <c r="C35" s="3" t="s">
        <v>51</v>
      </c>
      <c r="D35" s="4"/>
      <c r="E35" s="45" t="s">
        <v>52</v>
      </c>
      <c r="F35" s="46" t="s">
        <v>52</v>
      </c>
      <c r="G35" s="46" t="s">
        <v>52</v>
      </c>
      <c r="H35" s="46" t="s">
        <v>52</v>
      </c>
      <c r="I35" s="46" t="s">
        <v>52</v>
      </c>
      <c r="J35" s="46" t="s">
        <v>52</v>
      </c>
      <c r="K35" s="46" t="s">
        <v>52</v>
      </c>
      <c r="L35" s="46" t="s">
        <v>52</v>
      </c>
      <c r="M35" s="46" t="s">
        <v>52</v>
      </c>
      <c r="N35" s="46" t="s">
        <v>52</v>
      </c>
      <c r="O35" s="46" t="s">
        <v>52</v>
      </c>
      <c r="P35" s="46" t="s">
        <v>52</v>
      </c>
      <c r="Q35" s="46" t="s">
        <v>52</v>
      </c>
      <c r="R35" s="46" t="s">
        <v>52</v>
      </c>
      <c r="S35" s="46" t="s">
        <v>52</v>
      </c>
      <c r="V35" s="35" t="s">
        <v>106</v>
      </c>
      <c r="W35" s="34" t="s">
        <v>13</v>
      </c>
      <c r="X35" s="36" t="str">
        <f>H43</f>
        <v>F03C700F</v>
      </c>
      <c r="Y35" t="str">
        <f t="shared" si="0"/>
        <v>0xF03C700F,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53</v>
      </c>
      <c r="D36" s="4"/>
      <c r="E36" s="50" t="s">
        <v>12</v>
      </c>
      <c r="F36" s="46" t="s">
        <v>12</v>
      </c>
      <c r="G36" s="46" t="s">
        <v>12</v>
      </c>
      <c r="H36" s="46" t="s">
        <v>12</v>
      </c>
      <c r="I36" s="46" t="s">
        <v>12</v>
      </c>
      <c r="J36" s="46" t="s">
        <v>12</v>
      </c>
      <c r="K36" s="46" t="s">
        <v>12</v>
      </c>
      <c r="L36" s="46" t="s">
        <v>12</v>
      </c>
      <c r="M36" s="46" t="s">
        <v>12</v>
      </c>
      <c r="N36" s="46" t="s">
        <v>12</v>
      </c>
      <c r="O36" s="46" t="s">
        <v>12</v>
      </c>
      <c r="P36" s="46" t="s">
        <v>12</v>
      </c>
      <c r="Q36" s="46" t="s">
        <v>12</v>
      </c>
      <c r="R36" s="46" t="s">
        <v>12</v>
      </c>
      <c r="S36" s="46" t="s">
        <v>12</v>
      </c>
      <c r="V36" s="35"/>
      <c r="W36" s="34" t="s">
        <v>16</v>
      </c>
      <c r="X36" s="36" t="str">
        <f>H42</f>
        <v>48BF2F2D</v>
      </c>
      <c r="Y36" t="str">
        <f t="shared" si="0"/>
        <v>0x48BF2F2D,</v>
      </c>
      <c r="Z36" s="37"/>
    </row>
    <row r="37" spans="1:26">
      <c r="A37" s="2" t="s">
        <v>110</v>
      </c>
      <c r="B37" s="2" t="s">
        <v>111</v>
      </c>
      <c r="C37" s="3" t="s">
        <v>53</v>
      </c>
      <c r="D37" s="4"/>
      <c r="E37" s="45" t="s">
        <v>41</v>
      </c>
      <c r="F37" s="46" t="s">
        <v>41</v>
      </c>
      <c r="G37" s="46" t="s">
        <v>41</v>
      </c>
      <c r="H37" s="46" t="s">
        <v>41</v>
      </c>
      <c r="I37" s="46" t="s">
        <v>41</v>
      </c>
      <c r="J37" s="46" t="s">
        <v>41</v>
      </c>
      <c r="K37" s="46" t="s">
        <v>45</v>
      </c>
      <c r="L37" s="46" t="s">
        <v>45</v>
      </c>
      <c r="M37" s="46" t="s">
        <v>48</v>
      </c>
      <c r="N37" s="46" t="s">
        <v>25</v>
      </c>
      <c r="O37" s="46" t="s">
        <v>25</v>
      </c>
      <c r="P37" s="46" t="s">
        <v>25</v>
      </c>
      <c r="Q37" s="46" t="s">
        <v>25</v>
      </c>
      <c r="R37" s="46" t="s">
        <v>25</v>
      </c>
      <c r="S37" s="46" t="s">
        <v>25</v>
      </c>
      <c r="V37" s="35"/>
      <c r="W37" s="34" t="s">
        <v>20</v>
      </c>
      <c r="X37" s="36" t="str">
        <f>H41</f>
        <v>4408166</v>
      </c>
      <c r="Y37" t="str">
        <f t="shared" si="0"/>
        <v>0x04408166,</v>
      </c>
      <c r="Z37" s="37"/>
    </row>
    <row r="38" spans="22:26">
      <c r="V38" s="35" t="s">
        <v>112</v>
      </c>
      <c r="W38" s="34" t="s">
        <v>13</v>
      </c>
      <c r="X38" s="36" t="str">
        <f>G43</f>
        <v>F03C700F</v>
      </c>
      <c r="Y38" t="str">
        <f t="shared" si="0"/>
        <v>0xF03C700F,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48BF2F2D</v>
      </c>
      <c r="Y39" t="str">
        <f t="shared" si="0"/>
        <v>0x48BF2F2D,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44081EA</v>
      </c>
      <c r="Y40" t="str">
        <f t="shared" si="0"/>
        <v>0x044081EA,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44081FE</v>
      </c>
      <c r="F41" s="13" t="str">
        <f t="shared" si="1"/>
        <v>44081F6</v>
      </c>
      <c r="G41" s="13" t="str">
        <f t="shared" si="1"/>
        <v>44081EA</v>
      </c>
      <c r="H41" s="13" t="str">
        <f t="shared" si="1"/>
        <v>4408166</v>
      </c>
      <c r="I41" s="13" t="str">
        <f t="shared" si="1"/>
        <v>44081B2</v>
      </c>
      <c r="J41" s="13" t="str">
        <f t="shared" si="1"/>
        <v>4408152</v>
      </c>
      <c r="K41" s="13" t="str">
        <f t="shared" si="1"/>
        <v>440818E</v>
      </c>
      <c r="L41" s="13" t="str">
        <f t="shared" si="1"/>
        <v>440814E</v>
      </c>
      <c r="M41" s="13" t="str">
        <f t="shared" si="1"/>
        <v>4408196</v>
      </c>
      <c r="N41" s="13" t="str">
        <f t="shared" si="1"/>
        <v>44081DA</v>
      </c>
      <c r="O41" s="13" t="str">
        <f t="shared" si="1"/>
        <v>440817A</v>
      </c>
      <c r="P41" s="13" t="str">
        <f t="shared" si="1"/>
        <v>4408136</v>
      </c>
      <c r="Q41" s="13" t="str">
        <f t="shared" si="1"/>
        <v>440814A</v>
      </c>
      <c r="R41" s="13" t="str">
        <f t="shared" si="1"/>
        <v>4408126</v>
      </c>
      <c r="S41" s="13" t="str">
        <f t="shared" si="1"/>
        <v>44080AE</v>
      </c>
      <c r="V41" s="35" t="s">
        <v>117</v>
      </c>
      <c r="W41" s="34" t="s">
        <v>13</v>
      </c>
      <c r="X41" s="36" t="str">
        <f>F43</f>
        <v>F03C700F</v>
      </c>
      <c r="Y41" t="str">
        <f t="shared" si="0"/>
        <v>0xF03C700F,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48BF2F2D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48BF2F2D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48BF2F2D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48BF2F2D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48BF2F2D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48BF2F2D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48BF2F2D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48BF2F2D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48BF2F2D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48BF2F2D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48BF2F2D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48BF2F2D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48BF2F2D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48BF2F2D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48BF2F2D</v>
      </c>
      <c r="V42" s="35"/>
      <c r="W42" s="34" t="s">
        <v>16</v>
      </c>
      <c r="X42" s="36" t="str">
        <f>F42</f>
        <v>48BF2F2D</v>
      </c>
      <c r="Y42" t="str">
        <f t="shared" si="0"/>
        <v>0x48BF2F2D,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F03C700F</v>
      </c>
      <c r="F43" s="13" t="str">
        <f>DEC2HEX(F37+64*F36+POWER(2,12)*F35+POWER(2,15)*F34+POWER(2,16)*F33+POWER(2,19)*F32+POWER(2,23)*F31+POWER(2,29)*F30+POWER(2,31)*MOD(F29,$C29))</f>
        <v>F03C700F</v>
      </c>
      <c r="G43" s="13" t="str">
        <f>DEC2HEX(G37+64*G36+POWER(2,12)*G35+POWER(2,15)*G34+POWER(2,16)*G33+POWER(2,19)*G32+POWER(2,23)*G31+POWER(2,29)*G30+POWER(2,31)*MOD(G29,$C29))</f>
        <v>F03C700F</v>
      </c>
      <c r="H43" s="13" t="str">
        <f>DEC2HEX(H37+64*H36+POWER(2,12)*H35+POWER(2,15)*H34+POWER(2,16)*H33+POWER(2,19)*H32+POWER(2,23)*H31+POWER(2,29)*H30+POWER(2,31)*MOD(H29,$C29))</f>
        <v>F03C700F</v>
      </c>
      <c r="I43" s="13" t="str">
        <f>DEC2HEX(I37+64*I36+POWER(2,12)*I35+POWER(2,15)*I34+POWER(2,16)*I33+POWER(2,19)*I32+POWER(2,23)*I31+POWER(2,29)*I30+POWER(2,31)*MOD(I29,$C29))</f>
        <v>F03A700F</v>
      </c>
      <c r="J43" s="13" t="str">
        <f>DEC2HEX(J37+64*J36+POWER(2,12)*J35+POWER(2,15)*J34+POWER(2,16)*J33+POWER(2,19)*J32+POWER(2,23)*J31+POWER(2,29)*J30+POWER(2,31)*MOD(J29,$C29))</f>
        <v>F03A700F</v>
      </c>
      <c r="K43" s="13" t="str">
        <f>DEC2HEX(K37+64*K36+POWER(2,12)*K35+POWER(2,15)*K34+POWER(2,16)*K33+POWER(2,19)*K32+POWER(2,23)*K31+POWER(2,29)*K30+POWER(2,31)*MOD(K29,$C29))</f>
        <v>F03A700C</v>
      </c>
      <c r="L43" s="13" t="str">
        <f>DEC2HEX(L37+64*L36+POWER(2,12)*L35+POWER(2,15)*L34+POWER(2,16)*L33+POWER(2,19)*L32+POWER(2,23)*L31+POWER(2,29)*L30+POWER(2,31)*MOD(L29,$C29))</f>
        <v>F03A700C</v>
      </c>
      <c r="M43" s="13" t="str">
        <f>DEC2HEX(M37+64*M36+POWER(2,12)*M35+POWER(2,15)*M34+POWER(2,16)*M33+POWER(2,19)*M32+POWER(2,23)*M31+POWER(2,29)*M30+POWER(2,31)*MOD(M29,$C29))</f>
        <v>F03A7005</v>
      </c>
      <c r="N43" s="13" t="str">
        <f>DEC2HEX(N37+64*N36+POWER(2,12)*N35+POWER(2,15)*N34+POWER(2,16)*N33+POWER(2,19)*N32+POWER(2,23)*N31+POWER(2,29)*N30+POWER(2,31)*MOD(N29,$C29))</f>
        <v>F03A7004</v>
      </c>
      <c r="O43" s="13" t="str">
        <f>DEC2HEX(O37+64*O36+POWER(2,12)*O35+POWER(2,15)*O34+POWER(2,16)*O33+POWER(2,19)*O32+POWER(2,23)*O31+POWER(2,29)*O30+POWER(2,31)*MOD(O29,$C29))</f>
        <v>F03A7004</v>
      </c>
      <c r="P43" s="13" t="str">
        <f>DEC2HEX(P37+64*P36+POWER(2,12)*P35+POWER(2,15)*P34+POWER(2,16)*P33+POWER(2,19)*P32+POWER(2,23)*P31+POWER(2,29)*P30+POWER(2,31)*MOD(P29,$C29))</f>
        <v>F03A7004</v>
      </c>
      <c r="Q43" s="13" t="str">
        <f>DEC2HEX(Q37+64*Q36+POWER(2,12)*Q35+POWER(2,15)*Q34+POWER(2,16)*Q33+POWER(2,19)*Q32+POWER(2,23)*Q31+POWER(2,29)*Q30+POWER(2,31)*MOD(Q29,$C29))</f>
        <v>F03A7004</v>
      </c>
      <c r="R43" s="13" t="str">
        <f>DEC2HEX(R37+64*R36+POWER(2,12)*R35+POWER(2,15)*R34+POWER(2,16)*R33+POWER(2,19)*R32+POWER(2,23)*R31+POWER(2,29)*R30+POWER(2,31)*MOD(R29,$C29))</f>
        <v>F03A7004</v>
      </c>
      <c r="S43" s="13" t="str">
        <f>DEC2HEX(S37+64*S36+POWER(2,12)*S35+POWER(2,15)*S34+POWER(2,16)*S33+POWER(2,19)*S32+POWER(2,23)*S31+POWER(2,29)*S30+POWER(2,31)*MOD(S29,$C29))</f>
        <v>F03A7004</v>
      </c>
      <c r="V43" s="35"/>
      <c r="W43" s="34" t="s">
        <v>20</v>
      </c>
      <c r="X43" s="36" t="str">
        <f>F41</f>
        <v>44081F6</v>
      </c>
      <c r="Y43" t="str">
        <f t="shared" si="0"/>
        <v>0x044081F6,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F03C700F</v>
      </c>
      <c r="Y44" t="str">
        <f t="shared" si="0"/>
        <v>0xF03C700F,</v>
      </c>
      <c r="Z44" s="37" t="s">
        <v>122</v>
      </c>
    </row>
    <row r="45" spans="1:26">
      <c r="A45" s="26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48BF2F2D</v>
      </c>
      <c r="Y45" t="str">
        <f t="shared" si="0"/>
        <v>0x48BF2F2D,</v>
      </c>
      <c r="Z45" s="37"/>
    </row>
    <row r="46" spans="2:26">
      <c r="B46" s="26"/>
      <c r="C46" s="26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44081FE</v>
      </c>
      <c r="Y46" t="str">
        <f t="shared" si="0"/>
        <v>0x044081FE,</v>
      </c>
      <c r="Z46" s="37"/>
    </row>
    <row r="47" spans="1:26">
      <c r="A47" s="15"/>
      <c r="B47" s="18"/>
      <c r="C47" s="18"/>
      <c r="D47" s="20"/>
      <c r="E47" s="28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2"/>
      <c r="C48" s="22"/>
      <c r="D48" s="24"/>
      <c r="E48" s="42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4"/>
      <c r="C49" s="24"/>
      <c r="D49" s="24"/>
      <c r="E49" s="42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2:5">
      <c r="B50" s="24"/>
      <c r="C50" s="24"/>
      <c r="D50" s="24"/>
      <c r="E50" s="42"/>
    </row>
    <row r="51" spans="1:4">
      <c r="A51" s="26"/>
      <c r="B51" s="26"/>
      <c r="C51" s="26"/>
      <c r="D51" s="26"/>
    </row>
    <row r="52" spans="1:5">
      <c r="A52" s="28"/>
      <c r="B52" s="29"/>
      <c r="C52" s="29"/>
      <c r="D52" s="29"/>
      <c r="E52" s="27"/>
    </row>
    <row r="53" spans="1:5">
      <c r="A53" s="28"/>
      <c r="B53" s="29"/>
      <c r="C53" s="29"/>
      <c r="D53" s="29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30"/>
      <c r="D57" s="30"/>
      <c r="E57" s="27"/>
    </row>
    <row r="58" spans="1:5">
      <c r="A58" s="28"/>
      <c r="B58" s="29"/>
      <c r="C58" s="29"/>
      <c r="D58" s="29"/>
      <c r="E58" s="27"/>
    </row>
    <row r="59" spans="1:4">
      <c r="A59" s="20"/>
      <c r="B59" s="26"/>
      <c r="C59" s="26"/>
      <c r="D59" s="26"/>
    </row>
    <row r="60" spans="1:4">
      <c r="A60" s="38"/>
      <c r="B60" s="39"/>
      <c r="C60" s="39"/>
      <c r="D60" s="39"/>
    </row>
    <row r="61" spans="1:4">
      <c r="A61" s="38"/>
      <c r="B61" s="41"/>
      <c r="C61" s="41"/>
      <c r="D61" s="43"/>
    </row>
    <row r="62" spans="1:4">
      <c r="A62" s="38"/>
      <c r="B62" s="39"/>
      <c r="C62" s="39"/>
      <c r="D62" s="39"/>
    </row>
    <row r="63" spans="1:4">
      <c r="A63" s="38"/>
      <c r="B63" s="39"/>
      <c r="C63" s="39"/>
      <c r="D63" s="39"/>
    </row>
    <row r="64" spans="1:4">
      <c r="A64" s="38"/>
      <c r="B64" s="39"/>
      <c r="C64" s="39"/>
      <c r="D64" s="39"/>
    </row>
    <row r="65" spans="1:5">
      <c r="A65" s="28"/>
      <c r="B65" s="29"/>
      <c r="C65" s="29"/>
      <c r="D65" s="29"/>
      <c r="E65" s="14"/>
    </row>
    <row r="66" spans="1:5">
      <c r="A66" s="28"/>
      <c r="B66" s="29"/>
      <c r="C66" s="29"/>
      <c r="D66" s="29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40"/>
      <c r="B73" s="41"/>
      <c r="C73" s="41"/>
      <c r="D73" s="41"/>
    </row>
    <row r="74" spans="1:4">
      <c r="A74" s="40"/>
      <c r="B74" s="44"/>
      <c r="C74" s="41"/>
      <c r="D74" s="41"/>
    </row>
    <row r="75" spans="1:4">
      <c r="A75" s="20"/>
      <c r="B75" s="26"/>
      <c r="C75" s="26"/>
      <c r="D75" s="26"/>
    </row>
    <row r="76" spans="1:4">
      <c r="A76" s="20"/>
      <c r="B76" s="26"/>
      <c r="C76" s="26"/>
      <c r="D76" s="26"/>
    </row>
    <row r="77" spans="1:4">
      <c r="A77" s="20"/>
      <c r="B77" s="26"/>
      <c r="C77" s="26"/>
      <c r="D77" s="2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7"/>
  <sheetViews>
    <sheetView workbookViewId="0">
      <selection activeCell="A33" sqref="$A33:$XFD33"/>
    </sheetView>
  </sheetViews>
  <sheetFormatPr defaultColWidth="9" defaultRowHeight="14.25"/>
  <cols>
    <col min="1" max="1" width="24.625" customWidth="1"/>
    <col min="4" max="4" width="14.875" customWidth="1"/>
    <col min="19" max="19" width="16.625" customWidth="1"/>
    <col min="25" max="25" width="12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703A7004</v>
      </c>
      <c r="Y2" t="str">
        <f t="shared" ref="Y2:Y49" si="0">"0x"&amp;RIGHT("00000000"&amp;X2,8)&amp;","</f>
        <v>0x703A7004,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48BF2F2D</v>
      </c>
      <c r="Y3" t="str">
        <f t="shared" si="0"/>
        <v>0x48BF2F2D,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4408076</v>
      </c>
      <c r="Y4" t="str">
        <f t="shared" si="0"/>
        <v>0x04408076,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703A7004</v>
      </c>
      <c r="Y5" t="str">
        <f t="shared" si="0"/>
        <v>0x703A7004,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48BF2F2D</v>
      </c>
      <c r="Y6" t="str">
        <f t="shared" si="0"/>
        <v>0x48BF2F2D,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44080AE</v>
      </c>
      <c r="Y7" t="str">
        <f t="shared" si="0"/>
        <v>0x044080AE,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703A7004</v>
      </c>
      <c r="Y8" t="str">
        <f t="shared" si="0"/>
        <v>0x703A7004,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48BF2F2D</v>
      </c>
      <c r="Y9" t="str">
        <f t="shared" si="0"/>
        <v>0x48BF2F2D,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V10" s="35"/>
      <c r="W10" s="34" t="s">
        <v>20</v>
      </c>
      <c r="X10" s="36" t="str">
        <f>Q41</f>
        <v>4408126</v>
      </c>
      <c r="Y10" t="str">
        <f t="shared" si="0"/>
        <v>0x04408126,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703A7004</v>
      </c>
      <c r="Y11" t="str">
        <f t="shared" si="0"/>
        <v>0x703A7004,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8" t="s">
        <v>41</v>
      </c>
      <c r="F12" s="8" t="s">
        <v>41</v>
      </c>
      <c r="G12" s="8" t="s">
        <v>42</v>
      </c>
      <c r="H12" s="5" t="s">
        <v>43</v>
      </c>
      <c r="I12" s="5" t="s">
        <v>44</v>
      </c>
      <c r="J12" s="5" t="s">
        <v>45</v>
      </c>
      <c r="K12" s="5" t="s">
        <v>44</v>
      </c>
      <c r="L12" s="5" t="s">
        <v>45</v>
      </c>
      <c r="M12" s="5" t="s">
        <v>46</v>
      </c>
      <c r="N12" s="5" t="s">
        <v>42</v>
      </c>
      <c r="O12" s="5" t="s">
        <v>47</v>
      </c>
      <c r="P12" s="33" t="s">
        <v>44</v>
      </c>
      <c r="Q12" s="33" t="s">
        <v>47</v>
      </c>
      <c r="R12" s="5" t="s">
        <v>48</v>
      </c>
      <c r="S12" s="5" t="s">
        <v>51</v>
      </c>
      <c r="V12" s="35"/>
      <c r="W12" s="34" t="s">
        <v>16</v>
      </c>
      <c r="X12" s="36" t="str">
        <f>P42</f>
        <v>48BF2F2D</v>
      </c>
      <c r="Y12" t="str">
        <f t="shared" si="0"/>
        <v>0x48BF2F2D,</v>
      </c>
      <c r="Z12" s="37"/>
    </row>
    <row r="13" spans="1:26">
      <c r="A13" s="5" t="s">
        <v>49</v>
      </c>
      <c r="B13" s="5" t="s">
        <v>50</v>
      </c>
      <c r="C13" s="6" t="s">
        <v>51</v>
      </c>
      <c r="D13" s="4"/>
      <c r="E13" s="7" t="s">
        <v>48</v>
      </c>
      <c r="F13" s="7" t="s">
        <v>19</v>
      </c>
      <c r="G13" s="7" t="s">
        <v>11</v>
      </c>
      <c r="H13" s="7" t="s">
        <v>25</v>
      </c>
      <c r="I13" s="7" t="s">
        <v>25</v>
      </c>
      <c r="J13" s="7" t="s">
        <v>51</v>
      </c>
      <c r="K13" s="7" t="s">
        <v>51</v>
      </c>
      <c r="L13" s="5" t="s">
        <v>48</v>
      </c>
      <c r="M13" s="5" t="s">
        <v>53</v>
      </c>
      <c r="N13" s="5" t="s">
        <v>53</v>
      </c>
      <c r="O13" s="5" t="s">
        <v>48</v>
      </c>
      <c r="P13" s="33" t="s">
        <v>19</v>
      </c>
      <c r="Q13" s="33" t="s">
        <v>11</v>
      </c>
      <c r="R13" s="5" t="s">
        <v>51</v>
      </c>
      <c r="S13" s="5" t="s">
        <v>48</v>
      </c>
      <c r="V13" s="35"/>
      <c r="W13" s="34" t="s">
        <v>20</v>
      </c>
      <c r="X13" s="36" t="str">
        <f>P41</f>
        <v>440814A</v>
      </c>
      <c r="Y13" t="str">
        <f t="shared" si="0"/>
        <v>0x0440814A,</v>
      </c>
      <c r="Z13" s="37"/>
    </row>
    <row r="14" spans="1:26">
      <c r="A14" s="2" t="s">
        <v>54</v>
      </c>
      <c r="B14" s="2" t="s">
        <v>55</v>
      </c>
      <c r="C14" s="3" t="s">
        <v>51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703A7004</v>
      </c>
      <c r="Y14" t="str">
        <f t="shared" si="0"/>
        <v>0x703A7004,</v>
      </c>
      <c r="Z14" s="37" t="s">
        <v>56</v>
      </c>
    </row>
    <row r="15" spans="1:26">
      <c r="A15" s="2" t="s">
        <v>57</v>
      </c>
      <c r="B15" s="2" t="s">
        <v>58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48BF2F2D</v>
      </c>
      <c r="Y15" t="str">
        <f t="shared" si="0"/>
        <v>0x48BF2F2D,</v>
      </c>
      <c r="Z15" s="37"/>
    </row>
    <row r="16" spans="1:26">
      <c r="A16" s="2" t="s">
        <v>59</v>
      </c>
      <c r="B16" s="2" t="s">
        <v>60</v>
      </c>
      <c r="C16" s="3" t="s">
        <v>51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4408136</v>
      </c>
      <c r="Y16" t="str">
        <f t="shared" si="0"/>
        <v>0x04408136,</v>
      </c>
      <c r="Z16" s="37"/>
    </row>
    <row r="17" spans="1:26">
      <c r="A17" s="2" t="s">
        <v>61</v>
      </c>
      <c r="B17" s="2" t="s">
        <v>62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703A7004</v>
      </c>
      <c r="Y17" t="str">
        <f t="shared" si="0"/>
        <v>0x703A7004,</v>
      </c>
      <c r="Z17" s="37" t="s">
        <v>63</v>
      </c>
    </row>
    <row r="18" spans="1:26">
      <c r="A18" s="2" t="s">
        <v>64</v>
      </c>
      <c r="B18" s="2" t="s">
        <v>65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48BF2F2D</v>
      </c>
      <c r="Y18" t="str">
        <f t="shared" si="0"/>
        <v>0x48BF2F2D,</v>
      </c>
      <c r="Z18" s="37"/>
    </row>
    <row r="19" spans="1:26">
      <c r="A19" s="2" t="s">
        <v>66</v>
      </c>
      <c r="B19" s="2" t="s">
        <v>67</v>
      </c>
      <c r="C19" s="3" t="s">
        <v>19</v>
      </c>
      <c r="D19" s="4"/>
      <c r="E19" s="2" t="s">
        <v>51</v>
      </c>
      <c r="F19" s="2" t="s">
        <v>51</v>
      </c>
      <c r="G19" s="2" t="s">
        <v>51</v>
      </c>
      <c r="H19" s="2" t="s">
        <v>51</v>
      </c>
      <c r="I19" s="2" t="s">
        <v>51</v>
      </c>
      <c r="J19" s="2" t="s">
        <v>51</v>
      </c>
      <c r="K19" s="2" t="s">
        <v>51</v>
      </c>
      <c r="L19" s="2" t="s">
        <v>51</v>
      </c>
      <c r="M19" s="2" t="s">
        <v>51</v>
      </c>
      <c r="N19" s="2" t="s">
        <v>51</v>
      </c>
      <c r="O19" s="2" t="s">
        <v>51</v>
      </c>
      <c r="P19" s="2" t="s">
        <v>51</v>
      </c>
      <c r="Q19" s="2" t="s">
        <v>51</v>
      </c>
      <c r="R19" s="2" t="s">
        <v>51</v>
      </c>
      <c r="S19" s="2" t="s">
        <v>51</v>
      </c>
      <c r="V19" s="35"/>
      <c r="W19" s="34" t="s">
        <v>20</v>
      </c>
      <c r="X19" s="36" t="str">
        <f>N41</f>
        <v>440817A</v>
      </c>
      <c r="Y19" t="str">
        <f t="shared" si="0"/>
        <v>0x0440817A,</v>
      </c>
      <c r="Z19" s="37"/>
    </row>
    <row r="20" spans="1:26">
      <c r="A20" s="2" t="s">
        <v>68</v>
      </c>
      <c r="B20" s="2" t="s">
        <v>69</v>
      </c>
      <c r="C20" s="3" t="s">
        <v>19</v>
      </c>
      <c r="D20" s="4"/>
      <c r="E20" s="2" t="s">
        <v>51</v>
      </c>
      <c r="F20" s="2" t="s">
        <v>51</v>
      </c>
      <c r="G20" s="2" t="s">
        <v>51</v>
      </c>
      <c r="H20" s="2" t="s">
        <v>51</v>
      </c>
      <c r="I20" s="2" t="s">
        <v>51</v>
      </c>
      <c r="J20" s="2" t="s">
        <v>51</v>
      </c>
      <c r="K20" s="2" t="s">
        <v>51</v>
      </c>
      <c r="L20" s="2" t="s">
        <v>51</v>
      </c>
      <c r="M20" s="2" t="s">
        <v>51</v>
      </c>
      <c r="N20" s="2" t="s">
        <v>51</v>
      </c>
      <c r="O20" s="2" t="s">
        <v>51</v>
      </c>
      <c r="P20" s="2" t="s">
        <v>51</v>
      </c>
      <c r="Q20" s="2" t="s">
        <v>51</v>
      </c>
      <c r="R20" s="2" t="s">
        <v>51</v>
      </c>
      <c r="S20" s="2" t="s">
        <v>51</v>
      </c>
      <c r="V20" s="35">
        <v>6</v>
      </c>
      <c r="W20" s="34" t="s">
        <v>13</v>
      </c>
      <c r="X20" s="36" t="str">
        <f>M43</f>
        <v>703A7004</v>
      </c>
      <c r="Y20" t="str">
        <f t="shared" si="0"/>
        <v>0x703A7004,</v>
      </c>
      <c r="Z20" s="37" t="s">
        <v>70</v>
      </c>
    </row>
    <row r="21" spans="1:26">
      <c r="A21" s="2" t="s">
        <v>71</v>
      </c>
      <c r="B21" s="2" t="s">
        <v>72</v>
      </c>
      <c r="C21" s="3" t="s">
        <v>51</v>
      </c>
      <c r="D21" s="4"/>
      <c r="E21" s="2" t="s">
        <v>53</v>
      </c>
      <c r="F21" s="2" t="s">
        <v>53</v>
      </c>
      <c r="G21" s="2" t="s">
        <v>53</v>
      </c>
      <c r="H21" s="2" t="s">
        <v>53</v>
      </c>
      <c r="I21" s="2" t="s">
        <v>53</v>
      </c>
      <c r="J21" s="2" t="s">
        <v>53</v>
      </c>
      <c r="K21" s="2" t="s">
        <v>53</v>
      </c>
      <c r="L21" s="2" t="s">
        <v>53</v>
      </c>
      <c r="M21" s="2" t="s">
        <v>53</v>
      </c>
      <c r="N21" s="2" t="s">
        <v>53</v>
      </c>
      <c r="O21" s="2" t="s">
        <v>53</v>
      </c>
      <c r="P21" s="2" t="s">
        <v>53</v>
      </c>
      <c r="Q21" s="2" t="s">
        <v>53</v>
      </c>
      <c r="R21" s="2" t="s">
        <v>53</v>
      </c>
      <c r="S21" s="2" t="s">
        <v>53</v>
      </c>
      <c r="V21" s="35"/>
      <c r="W21" s="34" t="s">
        <v>16</v>
      </c>
      <c r="X21" s="36" t="str">
        <f>M42</f>
        <v>48BF2F2D</v>
      </c>
      <c r="Y21" t="str">
        <f t="shared" si="0"/>
        <v>0x48BF2F2D,</v>
      </c>
      <c r="Z21" s="37"/>
    </row>
    <row r="22" spans="1:26">
      <c r="A22" s="2" t="s">
        <v>73</v>
      </c>
      <c r="B22" s="2" t="s">
        <v>74</v>
      </c>
      <c r="C22" s="3" t="s">
        <v>51</v>
      </c>
      <c r="D22" s="4"/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  <c r="S22" s="2" t="s">
        <v>19</v>
      </c>
      <c r="V22" s="35"/>
      <c r="W22" s="34" t="s">
        <v>20</v>
      </c>
      <c r="X22" s="36" t="str">
        <f>M41</f>
        <v>44081DA</v>
      </c>
      <c r="Y22" t="str">
        <f t="shared" si="0"/>
        <v>0x044081DA,</v>
      </c>
      <c r="Z22" s="37"/>
    </row>
    <row r="23" spans="1:26">
      <c r="A23" s="2" t="s">
        <v>75</v>
      </c>
      <c r="B23" s="2" t="s">
        <v>76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703A7005</v>
      </c>
      <c r="Y23" t="str">
        <f t="shared" si="0"/>
        <v>0x703A7005,</v>
      </c>
      <c r="Z23" s="37" t="s">
        <v>77</v>
      </c>
    </row>
    <row r="24" spans="1:26">
      <c r="A24" s="2" t="s">
        <v>78</v>
      </c>
      <c r="B24" s="2" t="s">
        <v>79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48BF2F2D</v>
      </c>
      <c r="Y24" t="str">
        <f t="shared" si="0"/>
        <v>0x48BF2F2D,</v>
      </c>
      <c r="Z24" s="37"/>
    </row>
    <row r="25" spans="1:26">
      <c r="A25" s="2" t="s">
        <v>80</v>
      </c>
      <c r="B25" s="2" t="s">
        <v>81</v>
      </c>
      <c r="C25" s="3" t="s">
        <v>51</v>
      </c>
      <c r="D25" s="4"/>
      <c r="E25" s="2" t="s">
        <v>53</v>
      </c>
      <c r="F25" s="2" t="s">
        <v>53</v>
      </c>
      <c r="G25" s="2" t="s">
        <v>53</v>
      </c>
      <c r="H25" s="2" t="s">
        <v>53</v>
      </c>
      <c r="I25" s="2" t="s">
        <v>53</v>
      </c>
      <c r="J25" s="2" t="s">
        <v>53</v>
      </c>
      <c r="K25" s="2" t="s">
        <v>53</v>
      </c>
      <c r="L25" s="2" t="s">
        <v>53</v>
      </c>
      <c r="M25" s="2" t="s">
        <v>53</v>
      </c>
      <c r="N25" s="2" t="s">
        <v>53</v>
      </c>
      <c r="O25" s="2" t="s">
        <v>53</v>
      </c>
      <c r="P25" s="2" t="s">
        <v>53</v>
      </c>
      <c r="Q25" s="2" t="s">
        <v>53</v>
      </c>
      <c r="R25" s="2" t="s">
        <v>53</v>
      </c>
      <c r="S25" s="2" t="s">
        <v>53</v>
      </c>
      <c r="V25" s="35"/>
      <c r="W25" s="34" t="s">
        <v>20</v>
      </c>
      <c r="X25" s="36" t="str">
        <f>L41</f>
        <v>4408196</v>
      </c>
      <c r="Y25" t="str">
        <f t="shared" si="0"/>
        <v>0x04408196,</v>
      </c>
      <c r="Z25" s="37"/>
    </row>
    <row r="26" spans="1:26">
      <c r="A26" s="2" t="s">
        <v>82</v>
      </c>
      <c r="B26" s="2" t="s">
        <v>83</v>
      </c>
      <c r="C26" s="3" t="s">
        <v>51</v>
      </c>
      <c r="D26" s="4"/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 t="s">
        <v>19</v>
      </c>
      <c r="V26" s="35">
        <v>8</v>
      </c>
      <c r="W26" s="34" t="s">
        <v>13</v>
      </c>
      <c r="X26" s="36" t="str">
        <f>K43</f>
        <v>703A700C</v>
      </c>
      <c r="Y26" t="str">
        <f t="shared" si="0"/>
        <v>0x703A700C,</v>
      </c>
      <c r="Z26" s="37" t="s">
        <v>84</v>
      </c>
    </row>
    <row r="27" spans="1:26">
      <c r="A27" s="2" t="s">
        <v>85</v>
      </c>
      <c r="B27" s="2" t="s">
        <v>86</v>
      </c>
      <c r="C27" s="3" t="s">
        <v>19</v>
      </c>
      <c r="D27" s="4"/>
      <c r="E27" s="2" t="s">
        <v>51</v>
      </c>
      <c r="F27" s="2" t="s">
        <v>51</v>
      </c>
      <c r="G27" s="2" t="s">
        <v>51</v>
      </c>
      <c r="H27" s="2" t="s">
        <v>51</v>
      </c>
      <c r="I27" s="2" t="s">
        <v>51</v>
      </c>
      <c r="J27" s="2" t="s">
        <v>51</v>
      </c>
      <c r="K27" s="2" t="s">
        <v>51</v>
      </c>
      <c r="L27" s="2" t="s">
        <v>51</v>
      </c>
      <c r="M27" s="2" t="s">
        <v>51</v>
      </c>
      <c r="N27" s="2" t="s">
        <v>51</v>
      </c>
      <c r="O27" s="2" t="s">
        <v>51</v>
      </c>
      <c r="P27" s="2" t="s">
        <v>51</v>
      </c>
      <c r="Q27" s="2" t="s">
        <v>51</v>
      </c>
      <c r="R27" s="2" t="s">
        <v>51</v>
      </c>
      <c r="S27" s="2" t="s">
        <v>51</v>
      </c>
      <c r="V27" s="35"/>
      <c r="W27" s="34" t="s">
        <v>16</v>
      </c>
      <c r="X27" s="36" t="str">
        <f>K42</f>
        <v>48BF2F2D</v>
      </c>
      <c r="Y27" t="str">
        <f t="shared" si="0"/>
        <v>0x48BF2F2D,</v>
      </c>
      <c r="Z27" s="37"/>
    </row>
    <row r="28" spans="1:26">
      <c r="A28" s="2" t="s">
        <v>87</v>
      </c>
      <c r="B28" s="2" t="s">
        <v>88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440814E</v>
      </c>
      <c r="Y28" t="str">
        <f t="shared" si="0"/>
        <v>0x0440814E,</v>
      </c>
      <c r="Z28" s="37"/>
    </row>
    <row r="29" spans="1:26">
      <c r="A29" s="2" t="s">
        <v>89</v>
      </c>
      <c r="B29" s="2" t="s">
        <v>90</v>
      </c>
      <c r="C29" s="3" t="s">
        <v>19</v>
      </c>
      <c r="D29" s="4"/>
      <c r="E29" s="2" t="s">
        <v>19</v>
      </c>
      <c r="F29" s="2" t="s">
        <v>19</v>
      </c>
      <c r="G29" s="2" t="s">
        <v>19</v>
      </c>
      <c r="H29" s="2" t="s">
        <v>19</v>
      </c>
      <c r="I29" s="2" t="s">
        <v>19</v>
      </c>
      <c r="J29" s="2" t="s">
        <v>19</v>
      </c>
      <c r="K29" s="2" t="s">
        <v>19</v>
      </c>
      <c r="L29" s="2" t="s">
        <v>19</v>
      </c>
      <c r="M29" s="2" t="s">
        <v>19</v>
      </c>
      <c r="N29" s="2" t="s">
        <v>19</v>
      </c>
      <c r="O29" s="2" t="s">
        <v>19</v>
      </c>
      <c r="P29" s="2" t="s">
        <v>19</v>
      </c>
      <c r="Q29" s="2" t="s">
        <v>19</v>
      </c>
      <c r="R29" s="2" t="s">
        <v>19</v>
      </c>
      <c r="S29" s="2" t="s">
        <v>19</v>
      </c>
      <c r="V29" s="35">
        <v>9</v>
      </c>
      <c r="W29" s="34" t="s">
        <v>13</v>
      </c>
      <c r="X29" s="36" t="str">
        <f>J43</f>
        <v>703A700C</v>
      </c>
      <c r="Y29" t="str">
        <f t="shared" si="0"/>
        <v>0x703A700C,</v>
      </c>
      <c r="Z29" s="37" t="s">
        <v>91</v>
      </c>
    </row>
    <row r="30" spans="1:26">
      <c r="A30" s="2" t="s">
        <v>92</v>
      </c>
      <c r="B30" s="2" t="s">
        <v>93</v>
      </c>
      <c r="C30" s="3" t="s">
        <v>19</v>
      </c>
      <c r="D30" s="4"/>
      <c r="E30" s="2" t="s">
        <v>51</v>
      </c>
      <c r="F30" s="2" t="s">
        <v>51</v>
      </c>
      <c r="G30" s="2" t="s">
        <v>51</v>
      </c>
      <c r="H30" s="2" t="s">
        <v>51</v>
      </c>
      <c r="I30" s="2" t="s">
        <v>51</v>
      </c>
      <c r="J30" s="2" t="s">
        <v>51</v>
      </c>
      <c r="K30" s="2" t="s">
        <v>51</v>
      </c>
      <c r="L30" s="2" t="s">
        <v>51</v>
      </c>
      <c r="M30" s="2" t="s">
        <v>51</v>
      </c>
      <c r="N30" s="2" t="s">
        <v>51</v>
      </c>
      <c r="O30" s="2" t="s">
        <v>51</v>
      </c>
      <c r="P30" s="2" t="s">
        <v>51</v>
      </c>
      <c r="Q30" s="2" t="s">
        <v>51</v>
      </c>
      <c r="R30" s="2" t="s">
        <v>51</v>
      </c>
      <c r="S30" s="2" t="s">
        <v>51</v>
      </c>
      <c r="V30" s="35"/>
      <c r="W30" s="34" t="s">
        <v>16</v>
      </c>
      <c r="X30" s="36" t="str">
        <f>J42</f>
        <v>48BF2F2D</v>
      </c>
      <c r="Y30" t="str">
        <f t="shared" si="0"/>
        <v>0x48BF2F2D,</v>
      </c>
      <c r="Z30" s="37"/>
    </row>
    <row r="31" spans="1:26">
      <c r="A31" s="2" t="s">
        <v>94</v>
      </c>
      <c r="B31" s="2" t="s">
        <v>95</v>
      </c>
      <c r="C31" s="3" t="s">
        <v>53</v>
      </c>
      <c r="D31" s="4"/>
      <c r="E31" s="2" t="s">
        <v>96</v>
      </c>
      <c r="F31" s="2" t="s">
        <v>96</v>
      </c>
      <c r="G31" s="2" t="s">
        <v>96</v>
      </c>
      <c r="H31" s="2" t="s">
        <v>96</v>
      </c>
      <c r="I31" s="2" t="s">
        <v>96</v>
      </c>
      <c r="J31" s="2" t="s">
        <v>96</v>
      </c>
      <c r="K31" s="2" t="s">
        <v>96</v>
      </c>
      <c r="L31" s="2" t="s">
        <v>96</v>
      </c>
      <c r="M31" s="2" t="s">
        <v>96</v>
      </c>
      <c r="N31" s="2" t="s">
        <v>96</v>
      </c>
      <c r="O31" s="2" t="s">
        <v>96</v>
      </c>
      <c r="P31" s="2" t="s">
        <v>96</v>
      </c>
      <c r="Q31" s="2" t="s">
        <v>96</v>
      </c>
      <c r="R31" s="2" t="s">
        <v>96</v>
      </c>
      <c r="S31" s="2" t="s">
        <v>96</v>
      </c>
      <c r="V31" s="35"/>
      <c r="W31" s="34" t="s">
        <v>20</v>
      </c>
      <c r="X31" s="36" t="str">
        <f>J41</f>
        <v>440818E</v>
      </c>
      <c r="Y31" t="str">
        <f t="shared" si="0"/>
        <v>0x0440818E,</v>
      </c>
      <c r="Z31" s="37"/>
    </row>
    <row r="32" spans="1:26">
      <c r="A32" s="2" t="s">
        <v>97</v>
      </c>
      <c r="B32" s="2" t="s">
        <v>98</v>
      </c>
      <c r="C32" s="3" t="s">
        <v>25</v>
      </c>
      <c r="D32" s="4"/>
      <c r="E32" s="4" t="s">
        <v>52</v>
      </c>
      <c r="F32" s="4" t="s">
        <v>52</v>
      </c>
      <c r="G32" s="2" t="s">
        <v>52</v>
      </c>
      <c r="H32" s="2" t="s">
        <v>52</v>
      </c>
      <c r="I32" s="2" t="s">
        <v>52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2" t="s">
        <v>52</v>
      </c>
      <c r="P32" s="2" t="s">
        <v>52</v>
      </c>
      <c r="Q32" s="2" t="s">
        <v>52</v>
      </c>
      <c r="R32" s="2" t="s">
        <v>52</v>
      </c>
      <c r="S32" s="2" t="s">
        <v>52</v>
      </c>
      <c r="V32" s="35" t="s">
        <v>99</v>
      </c>
      <c r="W32" s="34" t="s">
        <v>13</v>
      </c>
      <c r="X32" s="36" t="str">
        <f>I43</f>
        <v>703A700F</v>
      </c>
      <c r="Y32" t="str">
        <f t="shared" si="0"/>
        <v>0x703A700F,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51</v>
      </c>
      <c r="D33" s="4"/>
      <c r="E33" s="4" t="s">
        <v>51</v>
      </c>
      <c r="F33" s="4" t="s">
        <v>51</v>
      </c>
      <c r="G33" s="2" t="s">
        <v>51</v>
      </c>
      <c r="H33" s="2" t="s">
        <v>19</v>
      </c>
      <c r="I33" s="2" t="s">
        <v>19</v>
      </c>
      <c r="J33" s="2" t="s">
        <v>19</v>
      </c>
      <c r="K33" s="2" t="s">
        <v>19</v>
      </c>
      <c r="L33" s="2" t="s">
        <v>19</v>
      </c>
      <c r="M33" s="2" t="s">
        <v>19</v>
      </c>
      <c r="N33" s="2" t="s">
        <v>19</v>
      </c>
      <c r="O33" s="2" t="s">
        <v>19</v>
      </c>
      <c r="P33" s="2" t="s">
        <v>19</v>
      </c>
      <c r="Q33" s="2" t="s">
        <v>19</v>
      </c>
      <c r="R33" s="2" t="s">
        <v>19</v>
      </c>
      <c r="S33" s="2" t="s">
        <v>19</v>
      </c>
      <c r="V33" s="35"/>
      <c r="W33" s="34" t="s">
        <v>16</v>
      </c>
      <c r="X33" s="36" t="str">
        <f>I42</f>
        <v>48BF2F2D</v>
      </c>
      <c r="Y33" t="str">
        <f t="shared" si="0"/>
        <v>0x48BF2F2D,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4408152</v>
      </c>
      <c r="Y34" t="str">
        <f t="shared" si="0"/>
        <v>0x04408152,</v>
      </c>
      <c r="Z34" s="37"/>
    </row>
    <row r="35" spans="1:26">
      <c r="A35" s="2" t="s">
        <v>104</v>
      </c>
      <c r="B35" s="2" t="s">
        <v>105</v>
      </c>
      <c r="C35" s="3" t="s">
        <v>51</v>
      </c>
      <c r="D35" s="4"/>
      <c r="E35" s="2" t="s">
        <v>52</v>
      </c>
      <c r="F35" s="2" t="s">
        <v>52</v>
      </c>
      <c r="G35" s="2" t="s">
        <v>52</v>
      </c>
      <c r="H35" s="2" t="s">
        <v>52</v>
      </c>
      <c r="I35" s="2" t="s">
        <v>52</v>
      </c>
      <c r="J35" s="2" t="s">
        <v>52</v>
      </c>
      <c r="K35" s="2" t="s">
        <v>52</v>
      </c>
      <c r="L35" s="2" t="s">
        <v>52</v>
      </c>
      <c r="M35" s="2" t="s">
        <v>52</v>
      </c>
      <c r="N35" s="2" t="s">
        <v>52</v>
      </c>
      <c r="O35" s="2" t="s">
        <v>52</v>
      </c>
      <c r="P35" s="2" t="s">
        <v>52</v>
      </c>
      <c r="Q35" s="2" t="s">
        <v>52</v>
      </c>
      <c r="R35" s="2" t="s">
        <v>52</v>
      </c>
      <c r="S35" s="2" t="s">
        <v>52</v>
      </c>
      <c r="V35" s="35" t="s">
        <v>106</v>
      </c>
      <c r="W35" s="34" t="s">
        <v>13</v>
      </c>
      <c r="X35" s="36" t="str">
        <f>H43</f>
        <v>703A700F</v>
      </c>
      <c r="Y35" t="str">
        <f t="shared" si="0"/>
        <v>0x703A700F,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53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48BF2F2D</v>
      </c>
      <c r="Y36" t="str">
        <f t="shared" si="0"/>
        <v>0x48BF2F2D,</v>
      </c>
      <c r="Z36" s="37"/>
    </row>
    <row r="37" spans="1:26">
      <c r="A37" s="2" t="s">
        <v>110</v>
      </c>
      <c r="B37" s="2" t="s">
        <v>111</v>
      </c>
      <c r="C37" s="3" t="s">
        <v>53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48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  <c r="V37" s="35"/>
      <c r="W37" s="34" t="s">
        <v>20</v>
      </c>
      <c r="X37" s="36" t="str">
        <f>H41</f>
        <v>44081B2</v>
      </c>
      <c r="Y37" t="str">
        <f t="shared" si="0"/>
        <v>0x044081B2,</v>
      </c>
      <c r="Z37" s="37"/>
    </row>
    <row r="38" spans="22:26">
      <c r="V38" s="35" t="s">
        <v>112</v>
      </c>
      <c r="W38" s="34" t="s">
        <v>13</v>
      </c>
      <c r="X38" s="36" t="str">
        <f>G43</f>
        <v>703B700F</v>
      </c>
      <c r="Y38" t="str">
        <f t="shared" si="0"/>
        <v>0x703B700F,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48BF2F2D</v>
      </c>
      <c r="Y39" t="str">
        <f t="shared" si="0"/>
        <v>0x48BF2F2D,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4408166</v>
      </c>
      <c r="Y40" t="str">
        <f t="shared" si="0"/>
        <v>0x04408166,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44081F6</v>
      </c>
      <c r="F41" s="13" t="str">
        <f t="shared" si="1"/>
        <v>44081EA</v>
      </c>
      <c r="G41" s="13" t="str">
        <f t="shared" si="1"/>
        <v>4408166</v>
      </c>
      <c r="H41" s="13" t="str">
        <f t="shared" si="1"/>
        <v>44081B2</v>
      </c>
      <c r="I41" s="13" t="str">
        <f t="shared" si="1"/>
        <v>4408152</v>
      </c>
      <c r="J41" s="13" t="str">
        <f t="shared" si="1"/>
        <v>440818E</v>
      </c>
      <c r="K41" s="13" t="str">
        <f t="shared" si="1"/>
        <v>440814E</v>
      </c>
      <c r="L41" s="13" t="str">
        <f t="shared" si="1"/>
        <v>4408196</v>
      </c>
      <c r="M41" s="13" t="str">
        <f t="shared" si="1"/>
        <v>44081DA</v>
      </c>
      <c r="N41" s="13" t="str">
        <f t="shared" si="1"/>
        <v>440817A</v>
      </c>
      <c r="O41" s="13" t="str">
        <f t="shared" si="1"/>
        <v>4408136</v>
      </c>
      <c r="P41" s="13" t="str">
        <f t="shared" si="1"/>
        <v>440814A</v>
      </c>
      <c r="Q41" s="13" t="str">
        <f t="shared" si="1"/>
        <v>4408126</v>
      </c>
      <c r="R41" s="13" t="str">
        <f t="shared" si="1"/>
        <v>44080AE</v>
      </c>
      <c r="S41" s="13" t="str">
        <f t="shared" si="1"/>
        <v>4408076</v>
      </c>
      <c r="V41" s="35" t="s">
        <v>117</v>
      </c>
      <c r="W41" s="34" t="s">
        <v>13</v>
      </c>
      <c r="X41" s="36" t="str">
        <f>F43</f>
        <v>703B700F</v>
      </c>
      <c r="Y41" t="str">
        <f t="shared" si="0"/>
        <v>0x703B700F,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48BF2F2D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48BF2F2D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48BF2F2D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48BF2F2D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48BF2F2D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48BF2F2D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48BF2F2D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48BF2F2D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48BF2F2D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48BF2F2D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48BF2F2D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48BF2F2D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48BF2F2D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48BF2F2D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48BF2F2D</v>
      </c>
      <c r="V42" s="35"/>
      <c r="W42" s="34" t="s">
        <v>16</v>
      </c>
      <c r="X42" s="36" t="str">
        <f>F42</f>
        <v>48BF2F2D</v>
      </c>
      <c r="Y42" t="str">
        <f t="shared" si="0"/>
        <v>0x48BF2F2D,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703B700F</v>
      </c>
      <c r="F43" s="13" t="str">
        <f>DEC2HEX(F37+64*F36+POWER(2,12)*F35+POWER(2,15)*F34+POWER(2,16)*F33+POWER(2,19)*F32+POWER(2,23)*F31+POWER(2,29)*F30+POWER(2,31)*MOD(F29,$C29))</f>
        <v>703B700F</v>
      </c>
      <c r="G43" s="13" t="str">
        <f>DEC2HEX(G37+64*G36+POWER(2,12)*G35+POWER(2,15)*G34+POWER(2,16)*G33+POWER(2,19)*G32+POWER(2,23)*G31+POWER(2,29)*G30+POWER(2,31)*MOD(G29,$C29))</f>
        <v>703B700F</v>
      </c>
      <c r="H43" s="13" t="str">
        <f>DEC2HEX(H37+64*H36+POWER(2,12)*H35+POWER(2,15)*H34+POWER(2,16)*H33+POWER(2,19)*H32+POWER(2,23)*H31+POWER(2,29)*H30+POWER(2,31)*MOD(H29,$C29))</f>
        <v>703A700F</v>
      </c>
      <c r="I43" s="13" t="str">
        <f>DEC2HEX(I37+64*I36+POWER(2,12)*I35+POWER(2,15)*I34+POWER(2,16)*I33+POWER(2,19)*I32+POWER(2,23)*I31+POWER(2,29)*I30+POWER(2,31)*MOD(I29,$C29))</f>
        <v>703A700F</v>
      </c>
      <c r="J43" s="13" t="str">
        <f>DEC2HEX(J37+64*J36+POWER(2,12)*J35+POWER(2,15)*J34+POWER(2,16)*J33+POWER(2,19)*J32+POWER(2,23)*J31+POWER(2,29)*J30+POWER(2,31)*MOD(J29,$C29))</f>
        <v>703A700C</v>
      </c>
      <c r="K43" s="13" t="str">
        <f>DEC2HEX(K37+64*K36+POWER(2,12)*K35+POWER(2,15)*K34+POWER(2,16)*K33+POWER(2,19)*K32+POWER(2,23)*K31+POWER(2,29)*K30+POWER(2,31)*MOD(K29,$C29))</f>
        <v>703A700C</v>
      </c>
      <c r="L43" s="13" t="str">
        <f>DEC2HEX(L37+64*L36+POWER(2,12)*L35+POWER(2,15)*L34+POWER(2,16)*L33+POWER(2,19)*L32+POWER(2,23)*L31+POWER(2,29)*L30+POWER(2,31)*MOD(L29,$C29))</f>
        <v>703A7005</v>
      </c>
      <c r="M43" s="13" t="str">
        <f>DEC2HEX(M37+64*M36+POWER(2,12)*M35+POWER(2,15)*M34+POWER(2,16)*M33+POWER(2,19)*M32+POWER(2,23)*M31+POWER(2,29)*M30+POWER(2,31)*MOD(M29,$C29))</f>
        <v>703A7004</v>
      </c>
      <c r="N43" s="13" t="str">
        <f>DEC2HEX(N37+64*N36+POWER(2,12)*N35+POWER(2,15)*N34+POWER(2,16)*N33+POWER(2,19)*N32+POWER(2,23)*N31+POWER(2,29)*N30+POWER(2,31)*MOD(N29,$C29))</f>
        <v>703A7004</v>
      </c>
      <c r="O43" s="13" t="str">
        <f>DEC2HEX(O37+64*O36+POWER(2,12)*O35+POWER(2,15)*O34+POWER(2,16)*O33+POWER(2,19)*O32+POWER(2,23)*O31+POWER(2,29)*O30+POWER(2,31)*MOD(O29,$C29))</f>
        <v>703A7004</v>
      </c>
      <c r="P43" s="13" t="str">
        <f>DEC2HEX(P37+64*P36+POWER(2,12)*P35+POWER(2,15)*P34+POWER(2,16)*P33+POWER(2,19)*P32+POWER(2,23)*P31+POWER(2,29)*P30+POWER(2,31)*MOD(P29,$C29))</f>
        <v>703A7004</v>
      </c>
      <c r="Q43" s="13" t="str">
        <f>DEC2HEX(Q37+64*Q36+POWER(2,12)*Q35+POWER(2,15)*Q34+POWER(2,16)*Q33+POWER(2,19)*Q32+POWER(2,23)*Q31+POWER(2,29)*Q30+POWER(2,31)*MOD(Q29,$C29))</f>
        <v>703A7004</v>
      </c>
      <c r="R43" s="13" t="str">
        <f>DEC2HEX(R37+64*R36+POWER(2,12)*R35+POWER(2,15)*R34+POWER(2,16)*R33+POWER(2,19)*R32+POWER(2,23)*R31+POWER(2,29)*R30+POWER(2,31)*MOD(R29,$C29))</f>
        <v>703A7004</v>
      </c>
      <c r="S43" s="13" t="str">
        <f>DEC2HEX(S37+64*S36+POWER(2,12)*S35+POWER(2,15)*S34+POWER(2,16)*S33+POWER(2,19)*S32+POWER(2,23)*S31+POWER(2,29)*S30+POWER(2,31)*MOD(S29,$C29))</f>
        <v>703A7004</v>
      </c>
      <c r="V43" s="35"/>
      <c r="W43" s="34" t="s">
        <v>20</v>
      </c>
      <c r="X43" s="36" t="str">
        <f>F41</f>
        <v>44081EA</v>
      </c>
      <c r="Y43" t="str">
        <f t="shared" si="0"/>
        <v>0x044081EA,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703B700F</v>
      </c>
      <c r="Y44" t="str">
        <f t="shared" si="0"/>
        <v>0x703B700F,</v>
      </c>
      <c r="Z44" s="37" t="s">
        <v>122</v>
      </c>
    </row>
    <row r="45" spans="1:26">
      <c r="A45" s="26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48BF2F2D</v>
      </c>
      <c r="Y45" t="str">
        <f t="shared" si="0"/>
        <v>0x48BF2F2D,</v>
      </c>
      <c r="Z45" s="37"/>
    </row>
    <row r="46" spans="2:26">
      <c r="B46" s="26"/>
      <c r="C46" s="26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44081F6</v>
      </c>
      <c r="Y46" t="str">
        <f t="shared" si="0"/>
        <v>0x044081F6,</v>
      </c>
      <c r="Z46" s="37"/>
    </row>
    <row r="47" spans="1:26">
      <c r="A47" s="15"/>
      <c r="B47" s="18"/>
      <c r="C47" s="18"/>
      <c r="D47" s="20"/>
      <c r="E47" s="28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2"/>
      <c r="C48" s="22"/>
      <c r="D48" s="24"/>
      <c r="E48" s="42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2:26">
      <c r="B49" s="24"/>
      <c r="C49" s="24"/>
      <c r="D49" s="24"/>
      <c r="E49" s="42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2:5">
      <c r="B50" s="24"/>
      <c r="C50" s="24"/>
      <c r="D50" s="24"/>
      <c r="E50" s="42"/>
    </row>
    <row r="51" spans="1:4">
      <c r="A51" s="26"/>
      <c r="B51" s="26"/>
      <c r="C51" s="26"/>
      <c r="D51" s="26"/>
    </row>
    <row r="52" spans="1:5">
      <c r="A52" s="28"/>
      <c r="B52" s="29"/>
      <c r="C52" s="29"/>
      <c r="D52" s="29"/>
      <c r="E52" s="27"/>
    </row>
    <row r="53" spans="1:5">
      <c r="A53" s="28"/>
      <c r="B53" s="29"/>
      <c r="C53" s="29"/>
      <c r="D53" s="29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30"/>
      <c r="D57" s="30"/>
      <c r="E57" s="27"/>
    </row>
    <row r="58" spans="1:5">
      <c r="A58" s="28"/>
      <c r="B58" s="29"/>
      <c r="C58" s="29"/>
      <c r="D58" s="29"/>
      <c r="E58" s="27"/>
    </row>
    <row r="59" spans="1:4">
      <c r="A59" s="20"/>
      <c r="B59" s="26"/>
      <c r="C59" s="26"/>
      <c r="D59" s="26"/>
    </row>
    <row r="60" spans="1:4">
      <c r="A60" s="38"/>
      <c r="B60" s="39"/>
      <c r="C60" s="39"/>
      <c r="D60" s="39"/>
    </row>
    <row r="61" spans="1:4">
      <c r="A61" s="38"/>
      <c r="B61" s="41"/>
      <c r="C61" s="41"/>
      <c r="D61" s="43"/>
    </row>
    <row r="62" spans="1:4">
      <c r="A62" s="38"/>
      <c r="B62" s="39"/>
      <c r="C62" s="39"/>
      <c r="D62" s="39"/>
    </row>
    <row r="63" spans="1:4">
      <c r="A63" s="38"/>
      <c r="B63" s="39"/>
      <c r="C63" s="39"/>
      <c r="D63" s="39"/>
    </row>
    <row r="64" spans="1:4">
      <c r="A64" s="38"/>
      <c r="B64" s="39"/>
      <c r="C64" s="39"/>
      <c r="D64" s="39"/>
    </row>
    <row r="65" spans="1:5">
      <c r="A65" s="28"/>
      <c r="B65" s="29"/>
      <c r="C65" s="29"/>
      <c r="D65" s="29"/>
      <c r="E65" s="14"/>
    </row>
    <row r="66" spans="1:5">
      <c r="A66" s="28"/>
      <c r="B66" s="29"/>
      <c r="C66" s="29"/>
      <c r="D66" s="29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40"/>
      <c r="B73" s="41"/>
      <c r="C73" s="41"/>
      <c r="D73" s="41"/>
    </row>
    <row r="74" spans="1:4">
      <c r="A74" s="40"/>
      <c r="B74" s="44"/>
      <c r="C74" s="41"/>
      <c r="D74" s="41"/>
    </row>
    <row r="75" spans="1:4">
      <c r="A75" s="20"/>
      <c r="B75" s="26"/>
      <c r="C75" s="26"/>
      <c r="D75" s="26"/>
    </row>
    <row r="76" spans="1:4">
      <c r="A76" s="20"/>
      <c r="B76" s="26"/>
      <c r="C76" s="26"/>
      <c r="D76" s="26"/>
    </row>
    <row r="77" spans="1:4">
      <c r="A77" s="20"/>
      <c r="B77" s="26"/>
      <c r="C77" s="26"/>
      <c r="D77" s="2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E33" sqref="E33:S33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103B7002</v>
      </c>
      <c r="Y2" t="str">
        <f>"0x"&amp;RIGHT("00000000"&amp;X2,8)&amp;","</f>
        <v>0x103B7002,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48BF2F2C</v>
      </c>
      <c r="Y3" t="str">
        <f t="shared" ref="Y3:Y49" si="0">"0x"&amp;RIGHT("00000000"&amp;X3,8)&amp;","</f>
        <v>0x48BF2F2C,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44080B2</v>
      </c>
      <c r="Y4" t="str">
        <f t="shared" si="0"/>
        <v>0x044080B2,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103B7004</v>
      </c>
      <c r="Y5" t="str">
        <f t="shared" si="0"/>
        <v>0x103B7004,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48BF2F2C</v>
      </c>
      <c r="Y6" t="str">
        <f t="shared" si="0"/>
        <v>0x48BF2F2C,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440806E</v>
      </c>
      <c r="Y7" t="str">
        <f t="shared" si="0"/>
        <v>0x0440806E,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103B7004</v>
      </c>
      <c r="Y8" t="str">
        <f t="shared" si="0"/>
        <v>0x103B7004,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48BF2F2C</v>
      </c>
      <c r="Y9" t="str">
        <f t="shared" si="0"/>
        <v>0x48BF2F2C,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V10" s="35"/>
      <c r="W10" s="34" t="s">
        <v>20</v>
      </c>
      <c r="X10" s="36" t="str">
        <f>Q41</f>
        <v>4408076</v>
      </c>
      <c r="Y10" t="str">
        <f t="shared" si="0"/>
        <v>0x04408076,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103B7004</v>
      </c>
      <c r="Y11" t="str">
        <f t="shared" si="0"/>
        <v>0x103B7004,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8" t="s">
        <v>46</v>
      </c>
      <c r="G12" s="5" t="s">
        <v>45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52</v>
      </c>
      <c r="Q12" s="33" t="s">
        <v>51</v>
      </c>
      <c r="R12" s="5" t="s">
        <v>51</v>
      </c>
      <c r="S12" s="5" t="s">
        <v>48</v>
      </c>
      <c r="V12" s="35"/>
      <c r="W12" s="34" t="s">
        <v>16</v>
      </c>
      <c r="X12" s="36" t="str">
        <f>P42</f>
        <v>48BF2F2C</v>
      </c>
      <c r="Y12" t="str">
        <f t="shared" si="0"/>
        <v>0x48BF2F2C,</v>
      </c>
      <c r="Z12" s="37"/>
    </row>
    <row r="13" spans="1:26">
      <c r="A13" s="5" t="s">
        <v>49</v>
      </c>
      <c r="B13" s="5" t="s">
        <v>50</v>
      </c>
      <c r="C13" s="6" t="s">
        <v>51</v>
      </c>
      <c r="D13" s="4"/>
      <c r="E13" s="5" t="s">
        <v>52</v>
      </c>
      <c r="F13" s="5" t="s">
        <v>53</v>
      </c>
      <c r="G13" s="5" t="s">
        <v>25</v>
      </c>
      <c r="H13" s="5" t="s">
        <v>19</v>
      </c>
      <c r="I13" s="5" t="s">
        <v>19</v>
      </c>
      <c r="J13" s="5" t="s">
        <v>51</v>
      </c>
      <c r="K13" s="5" t="s">
        <v>11</v>
      </c>
      <c r="L13" s="5" t="s">
        <v>19</v>
      </c>
      <c r="M13" s="5" t="s">
        <v>11</v>
      </c>
      <c r="N13" s="5" t="s">
        <v>51</v>
      </c>
      <c r="O13" s="5" t="s">
        <v>19</v>
      </c>
      <c r="P13" s="33" t="s">
        <v>11</v>
      </c>
      <c r="Q13" s="33" t="s">
        <v>48</v>
      </c>
      <c r="R13" s="5" t="s">
        <v>51</v>
      </c>
      <c r="S13" s="5" t="s">
        <v>25</v>
      </c>
      <c r="V13" s="35"/>
      <c r="W13" s="34" t="s">
        <v>20</v>
      </c>
      <c r="X13" s="36" t="str">
        <f>P41</f>
        <v>44080E6</v>
      </c>
      <c r="Y13" t="str">
        <f t="shared" si="0"/>
        <v>0x044080E6,</v>
      </c>
      <c r="Z13" s="37"/>
    </row>
    <row r="14" spans="1:26">
      <c r="A14" s="2" t="s">
        <v>54</v>
      </c>
      <c r="B14" s="2" t="s">
        <v>55</v>
      </c>
      <c r="C14" s="3" t="s">
        <v>51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103B7004</v>
      </c>
      <c r="Y14" t="str">
        <f t="shared" si="0"/>
        <v>0x103B7004,</v>
      </c>
      <c r="Z14" s="37" t="s">
        <v>56</v>
      </c>
    </row>
    <row r="15" spans="1:26">
      <c r="A15" s="2" t="s">
        <v>57</v>
      </c>
      <c r="B15" s="2" t="s">
        <v>58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48BF2F2C</v>
      </c>
      <c r="Y15" t="str">
        <f t="shared" si="0"/>
        <v>0x48BF2F2C,</v>
      </c>
      <c r="Z15" s="37"/>
    </row>
    <row r="16" spans="1:26">
      <c r="A16" s="2" t="s">
        <v>59</v>
      </c>
      <c r="B16" s="2" t="s">
        <v>60</v>
      </c>
      <c r="C16" s="3" t="s">
        <v>51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440810A</v>
      </c>
      <c r="Y16" t="str">
        <f t="shared" si="0"/>
        <v>0x0440810A,</v>
      </c>
      <c r="Z16" s="37"/>
    </row>
    <row r="17" spans="1:26">
      <c r="A17" s="2" t="s">
        <v>61</v>
      </c>
      <c r="B17" s="2" t="s">
        <v>62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103B7004</v>
      </c>
      <c r="Y17" t="str">
        <f t="shared" si="0"/>
        <v>0x103B7004,</v>
      </c>
      <c r="Z17" s="37" t="s">
        <v>63</v>
      </c>
    </row>
    <row r="18" spans="1:26">
      <c r="A18" s="2" t="s">
        <v>64</v>
      </c>
      <c r="B18" s="2" t="s">
        <v>65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48BF2F2C</v>
      </c>
      <c r="Y18" t="str">
        <f t="shared" si="0"/>
        <v>0x48BF2F2C,</v>
      </c>
      <c r="Z18" s="37"/>
    </row>
    <row r="19" spans="1:26">
      <c r="A19" s="2" t="s">
        <v>66</v>
      </c>
      <c r="B19" s="2" t="s">
        <v>67</v>
      </c>
      <c r="C19" s="3" t="s">
        <v>19</v>
      </c>
      <c r="D19" s="4"/>
      <c r="E19" s="2" t="s">
        <v>51</v>
      </c>
      <c r="F19" s="2" t="s">
        <v>51</v>
      </c>
      <c r="G19" s="2" t="s">
        <v>51</v>
      </c>
      <c r="H19" s="2" t="s">
        <v>51</v>
      </c>
      <c r="I19" s="2" t="s">
        <v>51</v>
      </c>
      <c r="J19" s="2" t="s">
        <v>51</v>
      </c>
      <c r="K19" s="2" t="s">
        <v>51</v>
      </c>
      <c r="L19" s="2" t="s">
        <v>51</v>
      </c>
      <c r="M19" s="2" t="s">
        <v>51</v>
      </c>
      <c r="N19" s="2" t="s">
        <v>51</v>
      </c>
      <c r="O19" s="2" t="s">
        <v>51</v>
      </c>
      <c r="P19" s="2" t="s">
        <v>51</v>
      </c>
      <c r="Q19" s="2" t="s">
        <v>51</v>
      </c>
      <c r="R19" s="2" t="s">
        <v>51</v>
      </c>
      <c r="S19" s="2" t="s">
        <v>51</v>
      </c>
      <c r="V19" s="35"/>
      <c r="W19" s="34" t="s">
        <v>20</v>
      </c>
      <c r="X19" s="36" t="str">
        <f>N41</f>
        <v>440812E</v>
      </c>
      <c r="Y19" t="str">
        <f t="shared" si="0"/>
        <v>0x0440812E,</v>
      </c>
      <c r="Z19" s="37"/>
    </row>
    <row r="20" spans="1:26">
      <c r="A20" s="2" t="s">
        <v>68</v>
      </c>
      <c r="B20" s="2" t="s">
        <v>69</v>
      </c>
      <c r="C20" s="3" t="s">
        <v>19</v>
      </c>
      <c r="D20" s="4"/>
      <c r="E20" s="2" t="s">
        <v>51</v>
      </c>
      <c r="F20" s="2" t="s">
        <v>51</v>
      </c>
      <c r="G20" s="2" t="s">
        <v>51</v>
      </c>
      <c r="H20" s="2" t="s">
        <v>51</v>
      </c>
      <c r="I20" s="2" t="s">
        <v>51</v>
      </c>
      <c r="J20" s="2" t="s">
        <v>51</v>
      </c>
      <c r="K20" s="2" t="s">
        <v>51</v>
      </c>
      <c r="L20" s="2" t="s">
        <v>51</v>
      </c>
      <c r="M20" s="2" t="s">
        <v>51</v>
      </c>
      <c r="N20" s="2" t="s">
        <v>51</v>
      </c>
      <c r="O20" s="2" t="s">
        <v>51</v>
      </c>
      <c r="P20" s="2" t="s">
        <v>51</v>
      </c>
      <c r="Q20" s="2" t="s">
        <v>51</v>
      </c>
      <c r="R20" s="2" t="s">
        <v>51</v>
      </c>
      <c r="S20" s="2" t="s">
        <v>51</v>
      </c>
      <c r="V20" s="35">
        <v>6</v>
      </c>
      <c r="W20" s="34" t="s">
        <v>13</v>
      </c>
      <c r="X20" s="36" t="str">
        <f>M43</f>
        <v>103B7008</v>
      </c>
      <c r="Y20" t="str">
        <f t="shared" si="0"/>
        <v>0x103B7008,</v>
      </c>
      <c r="Z20" s="37" t="s">
        <v>70</v>
      </c>
    </row>
    <row r="21" spans="1:26">
      <c r="A21" s="2" t="s">
        <v>71</v>
      </c>
      <c r="B21" s="2" t="s">
        <v>72</v>
      </c>
      <c r="C21" s="3" t="s">
        <v>51</v>
      </c>
      <c r="D21" s="4"/>
      <c r="E21" s="2" t="s">
        <v>53</v>
      </c>
      <c r="F21" s="2" t="s">
        <v>53</v>
      </c>
      <c r="G21" s="2" t="s">
        <v>53</v>
      </c>
      <c r="H21" s="2" t="s">
        <v>53</v>
      </c>
      <c r="I21" s="2" t="s">
        <v>53</v>
      </c>
      <c r="J21" s="2" t="s">
        <v>53</v>
      </c>
      <c r="K21" s="2" t="s">
        <v>53</v>
      </c>
      <c r="L21" s="2" t="s">
        <v>53</v>
      </c>
      <c r="M21" s="2" t="s">
        <v>53</v>
      </c>
      <c r="N21" s="2" t="s">
        <v>53</v>
      </c>
      <c r="O21" s="2" t="s">
        <v>53</v>
      </c>
      <c r="P21" s="2" t="s">
        <v>53</v>
      </c>
      <c r="Q21" s="2" t="s">
        <v>53</v>
      </c>
      <c r="R21" s="2" t="s">
        <v>53</v>
      </c>
      <c r="S21" s="2" t="s">
        <v>53</v>
      </c>
      <c r="V21" s="35"/>
      <c r="W21" s="34" t="s">
        <v>16</v>
      </c>
      <c r="X21" s="36" t="str">
        <f>M42</f>
        <v>48BF2F2C</v>
      </c>
      <c r="Y21" t="str">
        <f t="shared" si="0"/>
        <v>0x48BF2F2C,</v>
      </c>
      <c r="Z21" s="37"/>
    </row>
    <row r="22" spans="1:26">
      <c r="A22" s="2" t="s">
        <v>73</v>
      </c>
      <c r="B22" s="2" t="s">
        <v>74</v>
      </c>
      <c r="C22" s="3" t="s">
        <v>51</v>
      </c>
      <c r="D22" s="4"/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  <c r="S22" s="2" t="s">
        <v>19</v>
      </c>
      <c r="V22" s="35"/>
      <c r="W22" s="34" t="s">
        <v>20</v>
      </c>
      <c r="X22" s="36" t="str">
        <f>M41</f>
        <v>4408126</v>
      </c>
      <c r="Y22" t="str">
        <f t="shared" si="0"/>
        <v>0x04408126,</v>
      </c>
      <c r="Z22" s="37"/>
    </row>
    <row r="23" spans="1:26">
      <c r="A23" s="2" t="s">
        <v>75</v>
      </c>
      <c r="B23" s="2" t="s">
        <v>76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103B7008</v>
      </c>
      <c r="Y23" t="str">
        <f t="shared" si="0"/>
        <v>0x103B7008,</v>
      </c>
      <c r="Z23" s="37" t="s">
        <v>77</v>
      </c>
    </row>
    <row r="24" spans="1:26">
      <c r="A24" s="2" t="s">
        <v>78</v>
      </c>
      <c r="B24" s="2" t="s">
        <v>79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48BF2F2C</v>
      </c>
      <c r="Y24" t="str">
        <f t="shared" si="0"/>
        <v>0x48BF2F2C,</v>
      </c>
      <c r="Z24" s="37"/>
    </row>
    <row r="25" spans="1:26">
      <c r="A25" s="2" t="s">
        <v>80</v>
      </c>
      <c r="B25" s="2" t="s">
        <v>81</v>
      </c>
      <c r="C25" s="3" t="s">
        <v>51</v>
      </c>
      <c r="D25" s="4"/>
      <c r="E25" s="2" t="s">
        <v>53</v>
      </c>
      <c r="F25" s="2" t="s">
        <v>53</v>
      </c>
      <c r="G25" s="2" t="s">
        <v>53</v>
      </c>
      <c r="H25" s="2" t="s">
        <v>53</v>
      </c>
      <c r="I25" s="2" t="s">
        <v>53</v>
      </c>
      <c r="J25" s="2" t="s">
        <v>53</v>
      </c>
      <c r="K25" s="2" t="s">
        <v>53</v>
      </c>
      <c r="L25" s="2" t="s">
        <v>53</v>
      </c>
      <c r="M25" s="2" t="s">
        <v>53</v>
      </c>
      <c r="N25" s="2" t="s">
        <v>53</v>
      </c>
      <c r="O25" s="2" t="s">
        <v>53</v>
      </c>
      <c r="P25" s="2" t="s">
        <v>53</v>
      </c>
      <c r="Q25" s="2" t="s">
        <v>53</v>
      </c>
      <c r="R25" s="2" t="s">
        <v>53</v>
      </c>
      <c r="S25" s="2" t="s">
        <v>53</v>
      </c>
      <c r="V25" s="35"/>
      <c r="W25" s="34" t="s">
        <v>20</v>
      </c>
      <c r="X25" s="36" t="str">
        <f>L41</f>
        <v>440814A</v>
      </c>
      <c r="Y25" t="str">
        <f t="shared" si="0"/>
        <v>0x0440814A,</v>
      </c>
      <c r="Z25" s="37"/>
    </row>
    <row r="26" spans="1:26">
      <c r="A26" s="2" t="s">
        <v>82</v>
      </c>
      <c r="B26" s="2" t="s">
        <v>83</v>
      </c>
      <c r="C26" s="3" t="s">
        <v>51</v>
      </c>
      <c r="D26" s="4"/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 t="s">
        <v>19</v>
      </c>
      <c r="V26" s="35">
        <v>8</v>
      </c>
      <c r="W26" s="34" t="s">
        <v>13</v>
      </c>
      <c r="X26" s="36" t="str">
        <f>K43</f>
        <v>103B700C</v>
      </c>
      <c r="Y26" t="str">
        <f t="shared" si="0"/>
        <v>0x103B700C,</v>
      </c>
      <c r="Z26" s="37" t="s">
        <v>84</v>
      </c>
    </row>
    <row r="27" spans="1:26">
      <c r="A27" s="2" t="s">
        <v>85</v>
      </c>
      <c r="B27" s="2" t="s">
        <v>86</v>
      </c>
      <c r="C27" s="3" t="s">
        <v>19</v>
      </c>
      <c r="D27" s="4"/>
      <c r="E27" s="2" t="s">
        <v>51</v>
      </c>
      <c r="F27" s="2" t="s">
        <v>51</v>
      </c>
      <c r="G27" s="2" t="s">
        <v>51</v>
      </c>
      <c r="H27" s="2" t="s">
        <v>51</v>
      </c>
      <c r="I27" s="2" t="s">
        <v>51</v>
      </c>
      <c r="J27" s="2" t="s">
        <v>51</v>
      </c>
      <c r="K27" s="2" t="s">
        <v>51</v>
      </c>
      <c r="L27" s="2" t="s">
        <v>51</v>
      </c>
      <c r="M27" s="2" t="s">
        <v>51</v>
      </c>
      <c r="N27" s="2" t="s">
        <v>51</v>
      </c>
      <c r="O27" s="2" t="s">
        <v>51</v>
      </c>
      <c r="P27" s="2" t="s">
        <v>51</v>
      </c>
      <c r="Q27" s="2" t="s">
        <v>51</v>
      </c>
      <c r="R27" s="2" t="s">
        <v>51</v>
      </c>
      <c r="S27" s="2" t="s">
        <v>51</v>
      </c>
      <c r="V27" s="35"/>
      <c r="W27" s="34" t="s">
        <v>16</v>
      </c>
      <c r="X27" s="36" t="str">
        <f>K42</f>
        <v>48BF2F2C</v>
      </c>
      <c r="Y27" t="str">
        <f t="shared" si="0"/>
        <v>0x48BF2F2C,</v>
      </c>
      <c r="Z27" s="37"/>
    </row>
    <row r="28" spans="1:26">
      <c r="A28" s="2" t="s">
        <v>87</v>
      </c>
      <c r="B28" s="2" t="s">
        <v>88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4408106</v>
      </c>
      <c r="Y28" t="str">
        <f t="shared" si="0"/>
        <v>0x04408106,</v>
      </c>
      <c r="Z28" s="37"/>
    </row>
    <row r="29" spans="1:26">
      <c r="A29" s="2" t="s">
        <v>89</v>
      </c>
      <c r="B29" s="2" t="s">
        <v>90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103B700C</v>
      </c>
      <c r="Y29" t="str">
        <f t="shared" si="0"/>
        <v>0x103B700C,</v>
      </c>
      <c r="Z29" s="37" t="s">
        <v>91</v>
      </c>
    </row>
    <row r="30" spans="1:26">
      <c r="A30" s="2" t="s">
        <v>92</v>
      </c>
      <c r="B30" s="2" t="s">
        <v>93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48BF2F2C</v>
      </c>
      <c r="Y30" t="str">
        <f t="shared" si="0"/>
        <v>0x48BF2F2C,</v>
      </c>
      <c r="Z30" s="37"/>
    </row>
    <row r="31" spans="1:26">
      <c r="A31" s="2" t="s">
        <v>94</v>
      </c>
      <c r="B31" s="2" t="s">
        <v>95</v>
      </c>
      <c r="C31" s="3" t="s">
        <v>53</v>
      </c>
      <c r="D31" s="4"/>
      <c r="E31" s="2" t="s">
        <v>96</v>
      </c>
      <c r="F31" s="2" t="s">
        <v>96</v>
      </c>
      <c r="G31" s="2" t="s">
        <v>96</v>
      </c>
      <c r="H31" s="2" t="s">
        <v>96</v>
      </c>
      <c r="I31" s="2" t="s">
        <v>96</v>
      </c>
      <c r="J31" s="2" t="s">
        <v>96</v>
      </c>
      <c r="K31" s="2" t="s">
        <v>96</v>
      </c>
      <c r="L31" s="2" t="s">
        <v>96</v>
      </c>
      <c r="M31" s="2" t="s">
        <v>96</v>
      </c>
      <c r="N31" s="2" t="s">
        <v>96</v>
      </c>
      <c r="O31" s="2" t="s">
        <v>96</v>
      </c>
      <c r="P31" s="2" t="s">
        <v>96</v>
      </c>
      <c r="Q31" s="2" t="s">
        <v>96</v>
      </c>
      <c r="R31" s="2" t="s">
        <v>96</v>
      </c>
      <c r="S31" s="2" t="s">
        <v>96</v>
      </c>
      <c r="V31" s="35"/>
      <c r="W31" s="34" t="s">
        <v>20</v>
      </c>
      <c r="X31" s="36" t="str">
        <f>J41</f>
        <v>440810E</v>
      </c>
      <c r="Y31" t="str">
        <f t="shared" si="0"/>
        <v>0x0440810E,</v>
      </c>
      <c r="Z31" s="37"/>
    </row>
    <row r="32" spans="1:26">
      <c r="A32" s="2" t="s">
        <v>97</v>
      </c>
      <c r="B32" s="2" t="s">
        <v>98</v>
      </c>
      <c r="C32" s="3" t="s">
        <v>25</v>
      </c>
      <c r="D32" s="4"/>
      <c r="E32" s="2" t="s">
        <v>52</v>
      </c>
      <c r="F32" s="2" t="s">
        <v>52</v>
      </c>
      <c r="G32" s="2" t="s">
        <v>52</v>
      </c>
      <c r="H32" s="2" t="s">
        <v>52</v>
      </c>
      <c r="I32" s="2" t="s">
        <v>52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2" t="s">
        <v>52</v>
      </c>
      <c r="P32" s="2" t="s">
        <v>52</v>
      </c>
      <c r="Q32" s="2" t="s">
        <v>52</v>
      </c>
      <c r="R32" s="2" t="s">
        <v>52</v>
      </c>
      <c r="S32" s="2" t="s">
        <v>52</v>
      </c>
      <c r="V32" s="35" t="s">
        <v>99</v>
      </c>
      <c r="W32" s="34" t="s">
        <v>13</v>
      </c>
      <c r="X32" s="36" t="str">
        <f>I43</f>
        <v>103B700F</v>
      </c>
      <c r="Y32" t="str">
        <f t="shared" si="0"/>
        <v>0x103B700F,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51</v>
      </c>
      <c r="D33" s="4"/>
      <c r="E33" s="9" t="s">
        <v>51</v>
      </c>
      <c r="F33" s="9" t="s">
        <v>51</v>
      </c>
      <c r="G33" s="9" t="s">
        <v>51</v>
      </c>
      <c r="H33" s="9" t="s">
        <v>51</v>
      </c>
      <c r="I33" s="9" t="s">
        <v>51</v>
      </c>
      <c r="J33" s="9" t="s">
        <v>51</v>
      </c>
      <c r="K33" s="9" t="s">
        <v>51</v>
      </c>
      <c r="L33" s="9" t="s">
        <v>51</v>
      </c>
      <c r="M33" s="9" t="s">
        <v>51</v>
      </c>
      <c r="N33" s="9" t="s">
        <v>51</v>
      </c>
      <c r="O33" s="9" t="s">
        <v>51</v>
      </c>
      <c r="P33" s="9" t="s">
        <v>51</v>
      </c>
      <c r="Q33" s="9" t="s">
        <v>51</v>
      </c>
      <c r="R33" s="9" t="s">
        <v>51</v>
      </c>
      <c r="S33" s="9" t="s">
        <v>51</v>
      </c>
      <c r="V33" s="35"/>
      <c r="W33" s="34" t="s">
        <v>16</v>
      </c>
      <c r="X33" s="36" t="str">
        <f>I42</f>
        <v>48BF2F2C</v>
      </c>
      <c r="Y33" t="str">
        <f t="shared" si="0"/>
        <v>0x48BF2F2C,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440810A</v>
      </c>
      <c r="Y34" t="str">
        <f t="shared" si="0"/>
        <v>0x0440810A,</v>
      </c>
      <c r="Z34" s="37"/>
    </row>
    <row r="35" spans="1:26">
      <c r="A35" s="2" t="s">
        <v>104</v>
      </c>
      <c r="B35" s="2" t="s">
        <v>105</v>
      </c>
      <c r="C35" s="3" t="s">
        <v>51</v>
      </c>
      <c r="D35" s="4"/>
      <c r="E35" s="2" t="s">
        <v>52</v>
      </c>
      <c r="F35" s="2" t="s">
        <v>52</v>
      </c>
      <c r="G35" s="2" t="s">
        <v>52</v>
      </c>
      <c r="H35" s="2" t="s">
        <v>52</v>
      </c>
      <c r="I35" s="2" t="s">
        <v>52</v>
      </c>
      <c r="J35" s="2" t="s">
        <v>52</v>
      </c>
      <c r="K35" s="2" t="s">
        <v>52</v>
      </c>
      <c r="L35" s="2" t="s">
        <v>52</v>
      </c>
      <c r="M35" s="2" t="s">
        <v>52</v>
      </c>
      <c r="N35" s="2" t="s">
        <v>52</v>
      </c>
      <c r="O35" s="2" t="s">
        <v>52</v>
      </c>
      <c r="P35" s="2" t="s">
        <v>52</v>
      </c>
      <c r="Q35" s="2" t="s">
        <v>52</v>
      </c>
      <c r="R35" s="2" t="s">
        <v>52</v>
      </c>
      <c r="S35" s="2" t="s">
        <v>52</v>
      </c>
      <c r="V35" s="35" t="s">
        <v>106</v>
      </c>
      <c r="W35" s="34" t="s">
        <v>13</v>
      </c>
      <c r="X35" s="36" t="str">
        <f>H43</f>
        <v>103B700F</v>
      </c>
      <c r="Y35" t="str">
        <f t="shared" si="0"/>
        <v>0x103B700F,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53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48BF2F2C</v>
      </c>
      <c r="Y36" t="str">
        <f t="shared" si="0"/>
        <v>0x48BF2F2C,</v>
      </c>
      <c r="Z36" s="37"/>
    </row>
    <row r="37" spans="1:26">
      <c r="A37" s="2" t="s">
        <v>110</v>
      </c>
      <c r="B37" s="2" t="s">
        <v>111</v>
      </c>
      <c r="C37" s="3" t="s">
        <v>53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440816A</v>
      </c>
      <c r="Y37" t="str">
        <f t="shared" si="0"/>
        <v>0x0440816A,</v>
      </c>
      <c r="Z37" s="37"/>
    </row>
    <row r="38" spans="22:26">
      <c r="V38" s="35" t="s">
        <v>112</v>
      </c>
      <c r="W38" s="34" t="s">
        <v>13</v>
      </c>
      <c r="X38" s="36" t="str">
        <f>G43</f>
        <v>103B700F</v>
      </c>
      <c r="Y38" t="str">
        <f t="shared" si="0"/>
        <v>0x103B700F,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48BF2F2C</v>
      </c>
      <c r="Y39" t="str">
        <f t="shared" si="0"/>
        <v>0x48BF2F2C,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4408192</v>
      </c>
      <c r="Y40" t="str">
        <f t="shared" si="0"/>
        <v>0x04408192,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44081FE</v>
      </c>
      <c r="F41" s="13" t="str">
        <f t="shared" si="1"/>
        <v>44081DA</v>
      </c>
      <c r="G41" s="13" t="str">
        <f t="shared" si="1"/>
        <v>4408192</v>
      </c>
      <c r="H41" s="13" t="str">
        <f t="shared" si="1"/>
        <v>440816A</v>
      </c>
      <c r="I41" s="13" t="str">
        <f t="shared" si="1"/>
        <v>440810A</v>
      </c>
      <c r="J41" s="13" t="str">
        <f t="shared" si="1"/>
        <v>440810E</v>
      </c>
      <c r="K41" s="13" t="str">
        <f t="shared" si="1"/>
        <v>4408106</v>
      </c>
      <c r="L41" s="13" t="str">
        <f t="shared" si="1"/>
        <v>440814A</v>
      </c>
      <c r="M41" s="13" t="str">
        <f t="shared" si="1"/>
        <v>4408126</v>
      </c>
      <c r="N41" s="13" t="str">
        <f t="shared" si="1"/>
        <v>440812E</v>
      </c>
      <c r="O41" s="13" t="str">
        <f t="shared" si="1"/>
        <v>440810A</v>
      </c>
      <c r="P41" s="13" t="str">
        <f t="shared" si="1"/>
        <v>44080E6</v>
      </c>
      <c r="Q41" s="13" t="str">
        <f t="shared" si="1"/>
        <v>4408076</v>
      </c>
      <c r="R41" s="13" t="str">
        <f t="shared" si="1"/>
        <v>440806E</v>
      </c>
      <c r="S41" s="13" t="str">
        <f t="shared" si="1"/>
        <v>44080B2</v>
      </c>
      <c r="V41" s="35" t="s">
        <v>117</v>
      </c>
      <c r="W41" s="34" t="s">
        <v>13</v>
      </c>
      <c r="X41" s="36" t="str">
        <f>F43</f>
        <v>103B700F</v>
      </c>
      <c r="Y41" t="str">
        <f t="shared" si="0"/>
        <v>0x103B700F,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48BF2F2C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48BF2F2C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48BF2F2C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48BF2F2C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48BF2F2C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48BF2F2C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48BF2F2C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48BF2F2C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48BF2F2C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48BF2F2C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48BF2F2C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48BF2F2C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48BF2F2C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48BF2F2C</v>
      </c>
      <c r="V42" s="35"/>
      <c r="W42" s="34" t="s">
        <v>16</v>
      </c>
      <c r="X42" s="36" t="str">
        <f>F42</f>
        <v>48BF2F2C</v>
      </c>
      <c r="Y42" t="str">
        <f t="shared" si="0"/>
        <v>0x48BF2F2C,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103B700F</v>
      </c>
      <c r="F43" s="13" t="str">
        <f>DEC2HEX(F37+64*F36+POWER(2,12)*F35+POWER(2,15)*F34+POWER(2,16)*F33+POWER(2,19)*F32+POWER(2,23)*F31+POWER(2,29)*F30+POWER(2,31)*MOD(F29,$C29))</f>
        <v>103B700F</v>
      </c>
      <c r="G43" s="13" t="str">
        <f>DEC2HEX(G37+64*G36+POWER(2,12)*G35+POWER(2,15)*G34+POWER(2,16)*G33+POWER(2,19)*G32+POWER(2,23)*G31+POWER(2,29)*G30+POWER(2,31)*MOD(G29,$C29))</f>
        <v>103B700F</v>
      </c>
      <c r="H43" s="13" t="str">
        <f>DEC2HEX(H37+64*H36+POWER(2,12)*H35+POWER(2,15)*H34+POWER(2,16)*H33+POWER(2,19)*H32+POWER(2,23)*H31+POWER(2,29)*H30+POWER(2,31)*MOD(H29,$C29))</f>
        <v>103B700F</v>
      </c>
      <c r="I43" s="13" t="str">
        <f>DEC2HEX(I37+64*I36+POWER(2,12)*I35+POWER(2,15)*I34+POWER(2,16)*I33+POWER(2,19)*I32+POWER(2,23)*I31+POWER(2,29)*I30+POWER(2,31)*MOD(I29,$C29))</f>
        <v>103B700F</v>
      </c>
      <c r="J43" s="13" t="str">
        <f>DEC2HEX(J37+64*J36+POWER(2,12)*J35+POWER(2,15)*J34+POWER(2,16)*J33+POWER(2,19)*J32+POWER(2,23)*J31+POWER(2,29)*J30+POWER(2,31)*MOD(J29,$C29))</f>
        <v>103B700C</v>
      </c>
      <c r="K43" s="13" t="str">
        <f>DEC2HEX(K37+64*K36+POWER(2,12)*K35+POWER(2,15)*K34+POWER(2,16)*K33+POWER(2,19)*K32+POWER(2,23)*K31+POWER(2,29)*K30+POWER(2,31)*MOD(K29,$C29))</f>
        <v>103B700C</v>
      </c>
      <c r="L43" s="13" t="str">
        <f>DEC2HEX(L37+64*L36+POWER(2,12)*L35+POWER(2,15)*L34+POWER(2,16)*L33+POWER(2,19)*L32+POWER(2,23)*L31+POWER(2,29)*L30+POWER(2,31)*MOD(L29,$C29))</f>
        <v>103B7008</v>
      </c>
      <c r="M43" s="13" t="str">
        <f>DEC2HEX(M37+64*M36+POWER(2,12)*M35+POWER(2,15)*M34+POWER(2,16)*M33+POWER(2,19)*M32+POWER(2,23)*M31+POWER(2,29)*M30+POWER(2,31)*MOD(M29,$C29))</f>
        <v>103B7008</v>
      </c>
      <c r="N43" s="13" t="str">
        <f>DEC2HEX(N37+64*N36+POWER(2,12)*N35+POWER(2,15)*N34+POWER(2,16)*N33+POWER(2,19)*N32+POWER(2,23)*N31+POWER(2,29)*N30+POWER(2,31)*MOD(N29,$C29))</f>
        <v>103B7004</v>
      </c>
      <c r="O43" s="13" t="str">
        <f>DEC2HEX(O37+64*O36+POWER(2,12)*O35+POWER(2,15)*O34+POWER(2,16)*O33+POWER(2,19)*O32+POWER(2,23)*O31+POWER(2,29)*O30+POWER(2,31)*MOD(O29,$C29))</f>
        <v>103B7004</v>
      </c>
      <c r="P43" s="13" t="str">
        <f>DEC2HEX(P37+64*P36+POWER(2,12)*P35+POWER(2,15)*P34+POWER(2,16)*P33+POWER(2,19)*P32+POWER(2,23)*P31+POWER(2,29)*P30+POWER(2,31)*MOD(P29,$C29))</f>
        <v>103B7004</v>
      </c>
      <c r="Q43" s="13" t="str">
        <f>DEC2HEX(Q37+64*Q36+POWER(2,12)*Q35+POWER(2,15)*Q34+POWER(2,16)*Q33+POWER(2,19)*Q32+POWER(2,23)*Q31+POWER(2,29)*Q30+POWER(2,31)*MOD(Q29,$C29))</f>
        <v>103B7004</v>
      </c>
      <c r="R43" s="13" t="str">
        <f>DEC2HEX(R37+64*R36+POWER(2,12)*R35+POWER(2,15)*R34+POWER(2,16)*R33+POWER(2,19)*R32+POWER(2,23)*R31+POWER(2,29)*R30+POWER(2,31)*MOD(R29,$C29))</f>
        <v>103B7004</v>
      </c>
      <c r="S43" s="13" t="str">
        <f>DEC2HEX(S37+64*S36+POWER(2,12)*S35+POWER(2,15)*S34+POWER(2,16)*S33+POWER(2,19)*S32+POWER(2,23)*S31+POWER(2,29)*S30+POWER(2,31)*MOD(S29,$C29))</f>
        <v>103B7002</v>
      </c>
      <c r="V43" s="35"/>
      <c r="W43" s="34" t="s">
        <v>20</v>
      </c>
      <c r="X43" s="36" t="str">
        <f>F41</f>
        <v>44081DA</v>
      </c>
      <c r="Y43" t="str">
        <f t="shared" si="0"/>
        <v>0x044081DA,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103B700F</v>
      </c>
      <c r="Y44" t="str">
        <f t="shared" si="0"/>
        <v>0x103B700F,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48BF2F2C</v>
      </c>
      <c r="Y45" t="str">
        <f t="shared" si="0"/>
        <v>0x48BF2F2C,</v>
      </c>
      <c r="Z45" s="37"/>
    </row>
    <row r="46" spans="1:26">
      <c r="A46" s="16"/>
      <c r="B46" s="15"/>
      <c r="C46" s="15"/>
      <c r="D46" s="17"/>
      <c r="E46" s="17"/>
      <c r="F46" s="17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44081FE</v>
      </c>
      <c r="Y46" t="str">
        <f t="shared" si="0"/>
        <v>0x044081FE,</v>
      </c>
      <c r="Z46" s="37"/>
    </row>
    <row r="47" spans="1:26">
      <c r="A47" s="15"/>
      <c r="B47" s="18"/>
      <c r="C47" s="18"/>
      <c r="D47" s="18"/>
      <c r="E47" s="19"/>
      <c r="F47" s="18"/>
      <c r="G47" s="20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4"/>
    </row>
    <row r="51" spans="1:6">
      <c r="A51" s="16"/>
      <c r="B51" s="16"/>
      <c r="C51" s="16"/>
      <c r="D51" s="16"/>
      <c r="E51" s="16"/>
      <c r="F51" s="16"/>
    </row>
    <row r="52" spans="1:6">
      <c r="A52" s="16"/>
      <c r="B52" s="16"/>
      <c r="C52" s="16"/>
      <c r="D52" s="16"/>
      <c r="E52" s="25"/>
      <c r="F52" s="16"/>
    </row>
    <row r="53" spans="1:5">
      <c r="A53" s="26"/>
      <c r="B53" s="26"/>
      <c r="C53" s="26"/>
      <c r="D53" s="26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E33" sqref="E33:S33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103B7002</v>
      </c>
      <c r="Y2" t="str">
        <f t="shared" ref="Y2:Y49" si="0">"0x"&amp;RIGHT("00000000"&amp;X2,8)&amp;","</f>
        <v>0x103B7002,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48BF2F2C</v>
      </c>
      <c r="Y3" t="str">
        <f t="shared" si="0"/>
        <v>0x48BF2F2C,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44040B2</v>
      </c>
      <c r="Y4" t="str">
        <f t="shared" si="0"/>
        <v>0x044040B2,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103B7004</v>
      </c>
      <c r="Y5" t="str">
        <f t="shared" si="0"/>
        <v>0x103B7004,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48BF2F2C</v>
      </c>
      <c r="Y6" t="str">
        <f t="shared" si="0"/>
        <v>0x48BF2F2C,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440406E</v>
      </c>
      <c r="Y7" t="str">
        <f t="shared" si="0"/>
        <v>0x0440406E,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103B7004</v>
      </c>
      <c r="Y8" t="str">
        <f t="shared" si="0"/>
        <v>0x103B7004,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48BF2F2C</v>
      </c>
      <c r="Y9" t="str">
        <f t="shared" si="0"/>
        <v>0x48BF2F2C,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19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19</v>
      </c>
      <c r="L10" s="2" t="s">
        <v>19</v>
      </c>
      <c r="M10" s="2" t="s">
        <v>19</v>
      </c>
      <c r="N10" s="2" t="s">
        <v>19</v>
      </c>
      <c r="O10" s="2" t="s">
        <v>19</v>
      </c>
      <c r="P10" s="2" t="s">
        <v>19</v>
      </c>
      <c r="Q10" s="2" t="s">
        <v>19</v>
      </c>
      <c r="R10" s="2" t="s">
        <v>19</v>
      </c>
      <c r="S10" s="2" t="s">
        <v>19</v>
      </c>
      <c r="V10" s="35"/>
      <c r="W10" s="34" t="s">
        <v>20</v>
      </c>
      <c r="X10" s="36" t="str">
        <f>Q41</f>
        <v>4404076</v>
      </c>
      <c r="Y10" t="str">
        <f t="shared" si="0"/>
        <v>0x04404076,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103B7004</v>
      </c>
      <c r="Y11" t="str">
        <f t="shared" si="0"/>
        <v>0x103B7004,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8" t="s">
        <v>46</v>
      </c>
      <c r="G12" s="8" t="s">
        <v>43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52</v>
      </c>
      <c r="Q12" s="33" t="s">
        <v>51</v>
      </c>
      <c r="R12" s="5" t="s">
        <v>51</v>
      </c>
      <c r="S12" s="5" t="s">
        <v>48</v>
      </c>
      <c r="V12" s="35"/>
      <c r="W12" s="34" t="s">
        <v>16</v>
      </c>
      <c r="X12" s="36" t="str">
        <f>P42</f>
        <v>48BF2F2C</v>
      </c>
      <c r="Y12" t="str">
        <f t="shared" si="0"/>
        <v>0x48BF2F2C,</v>
      </c>
      <c r="Z12" s="37"/>
    </row>
    <row r="13" spans="1:26">
      <c r="A13" s="5" t="s">
        <v>49</v>
      </c>
      <c r="B13" s="5" t="s">
        <v>50</v>
      </c>
      <c r="C13" s="6" t="s">
        <v>51</v>
      </c>
      <c r="D13" s="4"/>
      <c r="E13" s="5" t="s">
        <v>52</v>
      </c>
      <c r="F13" s="5" t="s">
        <v>53</v>
      </c>
      <c r="G13" s="5" t="s">
        <v>25</v>
      </c>
      <c r="H13" s="5" t="s">
        <v>19</v>
      </c>
      <c r="I13" s="5" t="s">
        <v>19</v>
      </c>
      <c r="J13" s="5" t="s">
        <v>51</v>
      </c>
      <c r="K13" s="5" t="s">
        <v>11</v>
      </c>
      <c r="L13" s="5" t="s">
        <v>19</v>
      </c>
      <c r="M13" s="5" t="s">
        <v>11</v>
      </c>
      <c r="N13" s="5" t="s">
        <v>51</v>
      </c>
      <c r="O13" s="5" t="s">
        <v>19</v>
      </c>
      <c r="P13" s="33" t="s">
        <v>11</v>
      </c>
      <c r="Q13" s="33" t="s">
        <v>48</v>
      </c>
      <c r="R13" s="5" t="s">
        <v>51</v>
      </c>
      <c r="S13" s="5" t="s">
        <v>25</v>
      </c>
      <c r="V13" s="35"/>
      <c r="W13" s="34" t="s">
        <v>20</v>
      </c>
      <c r="X13" s="36" t="str">
        <f>P41</f>
        <v>44040E6</v>
      </c>
      <c r="Y13" t="str">
        <f t="shared" si="0"/>
        <v>0x044040E6,</v>
      </c>
      <c r="Z13" s="37"/>
    </row>
    <row r="14" spans="1:26">
      <c r="A14" s="2" t="s">
        <v>54</v>
      </c>
      <c r="B14" s="2" t="s">
        <v>55</v>
      </c>
      <c r="C14" s="3" t="s">
        <v>51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103B7004</v>
      </c>
      <c r="Y14" t="str">
        <f t="shared" si="0"/>
        <v>0x103B7004,</v>
      </c>
      <c r="Z14" s="37" t="s">
        <v>56</v>
      </c>
    </row>
    <row r="15" spans="1:26">
      <c r="A15" s="2" t="s">
        <v>57</v>
      </c>
      <c r="B15" s="2" t="s">
        <v>58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48BF2F2C</v>
      </c>
      <c r="Y15" t="str">
        <f t="shared" si="0"/>
        <v>0x48BF2F2C,</v>
      </c>
      <c r="Z15" s="37"/>
    </row>
    <row r="16" spans="1:26">
      <c r="A16" s="2" t="s">
        <v>59</v>
      </c>
      <c r="B16" s="2" t="s">
        <v>60</v>
      </c>
      <c r="C16" s="3" t="s">
        <v>51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440410A</v>
      </c>
      <c r="Y16" t="str">
        <f t="shared" si="0"/>
        <v>0x0440410A,</v>
      </c>
      <c r="Z16" s="37"/>
    </row>
    <row r="17" spans="1:26">
      <c r="A17" s="2" t="s">
        <v>61</v>
      </c>
      <c r="B17" s="2" t="s">
        <v>62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103B7004</v>
      </c>
      <c r="Y17" t="str">
        <f t="shared" si="0"/>
        <v>0x103B7004,</v>
      </c>
      <c r="Z17" s="37" t="s">
        <v>63</v>
      </c>
    </row>
    <row r="18" spans="1:26">
      <c r="A18" s="2" t="s">
        <v>64</v>
      </c>
      <c r="B18" s="2" t="s">
        <v>65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48BF2F2C</v>
      </c>
      <c r="Y18" t="str">
        <f t="shared" si="0"/>
        <v>0x48BF2F2C,</v>
      </c>
      <c r="Z18" s="37"/>
    </row>
    <row r="19" spans="1:26">
      <c r="A19" s="2" t="s">
        <v>66</v>
      </c>
      <c r="B19" s="2" t="s">
        <v>67</v>
      </c>
      <c r="C19" s="3" t="s">
        <v>19</v>
      </c>
      <c r="D19" s="4"/>
      <c r="E19" s="2" t="s">
        <v>51</v>
      </c>
      <c r="F19" s="2" t="s">
        <v>51</v>
      </c>
      <c r="G19" s="2" t="s">
        <v>51</v>
      </c>
      <c r="H19" s="2" t="s">
        <v>51</v>
      </c>
      <c r="I19" s="2" t="s">
        <v>51</v>
      </c>
      <c r="J19" s="2" t="s">
        <v>51</v>
      </c>
      <c r="K19" s="2" t="s">
        <v>51</v>
      </c>
      <c r="L19" s="2" t="s">
        <v>51</v>
      </c>
      <c r="M19" s="2" t="s">
        <v>51</v>
      </c>
      <c r="N19" s="2" t="s">
        <v>51</v>
      </c>
      <c r="O19" s="2" t="s">
        <v>51</v>
      </c>
      <c r="P19" s="2" t="s">
        <v>51</v>
      </c>
      <c r="Q19" s="2" t="s">
        <v>51</v>
      </c>
      <c r="R19" s="2" t="s">
        <v>51</v>
      </c>
      <c r="S19" s="2" t="s">
        <v>51</v>
      </c>
      <c r="V19" s="35"/>
      <c r="W19" s="34" t="s">
        <v>20</v>
      </c>
      <c r="X19" s="36" t="str">
        <f>N41</f>
        <v>440412E</v>
      </c>
      <c r="Y19" t="str">
        <f t="shared" si="0"/>
        <v>0x0440412E,</v>
      </c>
      <c r="Z19" s="37"/>
    </row>
    <row r="20" spans="1:26">
      <c r="A20" s="2" t="s">
        <v>68</v>
      </c>
      <c r="B20" s="2" t="s">
        <v>69</v>
      </c>
      <c r="C20" s="3" t="s">
        <v>19</v>
      </c>
      <c r="D20" s="4"/>
      <c r="E20" s="2" t="s">
        <v>51</v>
      </c>
      <c r="F20" s="2" t="s">
        <v>51</v>
      </c>
      <c r="G20" s="2" t="s">
        <v>51</v>
      </c>
      <c r="H20" s="2" t="s">
        <v>51</v>
      </c>
      <c r="I20" s="2" t="s">
        <v>51</v>
      </c>
      <c r="J20" s="2" t="s">
        <v>51</v>
      </c>
      <c r="K20" s="2" t="s">
        <v>51</v>
      </c>
      <c r="L20" s="2" t="s">
        <v>51</v>
      </c>
      <c r="M20" s="2" t="s">
        <v>51</v>
      </c>
      <c r="N20" s="2" t="s">
        <v>51</v>
      </c>
      <c r="O20" s="2" t="s">
        <v>51</v>
      </c>
      <c r="P20" s="2" t="s">
        <v>51</v>
      </c>
      <c r="Q20" s="2" t="s">
        <v>51</v>
      </c>
      <c r="R20" s="2" t="s">
        <v>51</v>
      </c>
      <c r="S20" s="2" t="s">
        <v>51</v>
      </c>
      <c r="V20" s="35">
        <v>6</v>
      </c>
      <c r="W20" s="34" t="s">
        <v>13</v>
      </c>
      <c r="X20" s="36" t="str">
        <f>M43</f>
        <v>103B7008</v>
      </c>
      <c r="Y20" t="str">
        <f t="shared" si="0"/>
        <v>0x103B7008,</v>
      </c>
      <c r="Z20" s="37" t="s">
        <v>70</v>
      </c>
    </row>
    <row r="21" spans="1:26">
      <c r="A21" s="2" t="s">
        <v>71</v>
      </c>
      <c r="B21" s="2" t="s">
        <v>72</v>
      </c>
      <c r="C21" s="3" t="s">
        <v>51</v>
      </c>
      <c r="D21" s="4"/>
      <c r="E21" s="2" t="s">
        <v>53</v>
      </c>
      <c r="F21" s="2" t="s">
        <v>53</v>
      </c>
      <c r="G21" s="2" t="s">
        <v>53</v>
      </c>
      <c r="H21" s="2" t="s">
        <v>53</v>
      </c>
      <c r="I21" s="2" t="s">
        <v>53</v>
      </c>
      <c r="J21" s="2" t="s">
        <v>53</v>
      </c>
      <c r="K21" s="2" t="s">
        <v>53</v>
      </c>
      <c r="L21" s="2" t="s">
        <v>53</v>
      </c>
      <c r="M21" s="2" t="s">
        <v>53</v>
      </c>
      <c r="N21" s="2" t="s">
        <v>53</v>
      </c>
      <c r="O21" s="2" t="s">
        <v>53</v>
      </c>
      <c r="P21" s="2" t="s">
        <v>53</v>
      </c>
      <c r="Q21" s="2" t="s">
        <v>53</v>
      </c>
      <c r="R21" s="2" t="s">
        <v>53</v>
      </c>
      <c r="S21" s="2" t="s">
        <v>53</v>
      </c>
      <c r="V21" s="35"/>
      <c r="W21" s="34" t="s">
        <v>16</v>
      </c>
      <c r="X21" s="36" t="str">
        <f>M42</f>
        <v>48BF2F2C</v>
      </c>
      <c r="Y21" t="str">
        <f t="shared" si="0"/>
        <v>0x48BF2F2C,</v>
      </c>
      <c r="Z21" s="37"/>
    </row>
    <row r="22" spans="1:26">
      <c r="A22" s="2" t="s">
        <v>73</v>
      </c>
      <c r="B22" s="2" t="s">
        <v>74</v>
      </c>
      <c r="C22" s="3" t="s">
        <v>51</v>
      </c>
      <c r="D22" s="4"/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  <c r="S22" s="2" t="s">
        <v>19</v>
      </c>
      <c r="V22" s="35"/>
      <c r="W22" s="34" t="s">
        <v>20</v>
      </c>
      <c r="X22" s="36" t="str">
        <f>M41</f>
        <v>4404126</v>
      </c>
      <c r="Y22" t="str">
        <f t="shared" si="0"/>
        <v>0x04404126,</v>
      </c>
      <c r="Z22" s="37"/>
    </row>
    <row r="23" spans="1:26">
      <c r="A23" s="2" t="s">
        <v>75</v>
      </c>
      <c r="B23" s="2" t="s">
        <v>76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103B7008</v>
      </c>
      <c r="Y23" t="str">
        <f t="shared" si="0"/>
        <v>0x103B7008,</v>
      </c>
      <c r="Z23" s="37" t="s">
        <v>77</v>
      </c>
    </row>
    <row r="24" spans="1:26">
      <c r="A24" s="2" t="s">
        <v>78</v>
      </c>
      <c r="B24" s="2" t="s">
        <v>79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48BF2F2C</v>
      </c>
      <c r="Y24" t="str">
        <f t="shared" si="0"/>
        <v>0x48BF2F2C,</v>
      </c>
      <c r="Z24" s="37"/>
    </row>
    <row r="25" spans="1:26">
      <c r="A25" s="2" t="s">
        <v>80</v>
      </c>
      <c r="B25" s="2" t="s">
        <v>81</v>
      </c>
      <c r="C25" s="3" t="s">
        <v>51</v>
      </c>
      <c r="D25" s="4"/>
      <c r="E25" s="2" t="s">
        <v>53</v>
      </c>
      <c r="F25" s="2" t="s">
        <v>53</v>
      </c>
      <c r="G25" s="2" t="s">
        <v>53</v>
      </c>
      <c r="H25" s="2" t="s">
        <v>53</v>
      </c>
      <c r="I25" s="2" t="s">
        <v>53</v>
      </c>
      <c r="J25" s="2" t="s">
        <v>53</v>
      </c>
      <c r="K25" s="2" t="s">
        <v>53</v>
      </c>
      <c r="L25" s="2" t="s">
        <v>53</v>
      </c>
      <c r="M25" s="2" t="s">
        <v>53</v>
      </c>
      <c r="N25" s="2" t="s">
        <v>53</v>
      </c>
      <c r="O25" s="2" t="s">
        <v>53</v>
      </c>
      <c r="P25" s="2" t="s">
        <v>53</v>
      </c>
      <c r="Q25" s="2" t="s">
        <v>53</v>
      </c>
      <c r="R25" s="2" t="s">
        <v>53</v>
      </c>
      <c r="S25" s="2" t="s">
        <v>53</v>
      </c>
      <c r="V25" s="35"/>
      <c r="W25" s="34" t="s">
        <v>20</v>
      </c>
      <c r="X25" s="36" t="str">
        <f>L41</f>
        <v>440414A</v>
      </c>
      <c r="Y25" t="str">
        <f t="shared" si="0"/>
        <v>0x0440414A,</v>
      </c>
      <c r="Z25" s="37"/>
    </row>
    <row r="26" spans="1:26">
      <c r="A26" s="2" t="s">
        <v>82</v>
      </c>
      <c r="B26" s="2" t="s">
        <v>83</v>
      </c>
      <c r="C26" s="3" t="s">
        <v>51</v>
      </c>
      <c r="D26" s="4"/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 t="s">
        <v>19</v>
      </c>
      <c r="V26" s="35">
        <v>8</v>
      </c>
      <c r="W26" s="34" t="s">
        <v>13</v>
      </c>
      <c r="X26" s="36" t="str">
        <f>K43</f>
        <v>103B700C</v>
      </c>
      <c r="Y26" t="str">
        <f t="shared" si="0"/>
        <v>0x103B700C,</v>
      </c>
      <c r="Z26" s="37" t="s">
        <v>84</v>
      </c>
    </row>
    <row r="27" spans="1:26">
      <c r="A27" s="2" t="s">
        <v>85</v>
      </c>
      <c r="B27" s="2" t="s">
        <v>86</v>
      </c>
      <c r="C27" s="3" t="s">
        <v>19</v>
      </c>
      <c r="D27" s="4"/>
      <c r="E27" s="2" t="s">
        <v>51</v>
      </c>
      <c r="F27" s="2" t="s">
        <v>51</v>
      </c>
      <c r="G27" s="2" t="s">
        <v>51</v>
      </c>
      <c r="H27" s="2" t="s">
        <v>51</v>
      </c>
      <c r="I27" s="2" t="s">
        <v>51</v>
      </c>
      <c r="J27" s="2" t="s">
        <v>51</v>
      </c>
      <c r="K27" s="2" t="s">
        <v>51</v>
      </c>
      <c r="L27" s="2" t="s">
        <v>51</v>
      </c>
      <c r="M27" s="2" t="s">
        <v>51</v>
      </c>
      <c r="N27" s="2" t="s">
        <v>51</v>
      </c>
      <c r="O27" s="2" t="s">
        <v>51</v>
      </c>
      <c r="P27" s="2" t="s">
        <v>51</v>
      </c>
      <c r="Q27" s="2" t="s">
        <v>51</v>
      </c>
      <c r="R27" s="2" t="s">
        <v>51</v>
      </c>
      <c r="S27" s="2" t="s">
        <v>51</v>
      </c>
      <c r="V27" s="35"/>
      <c r="W27" s="34" t="s">
        <v>16</v>
      </c>
      <c r="X27" s="36" t="str">
        <f>K42</f>
        <v>48BF2F2C</v>
      </c>
      <c r="Y27" t="str">
        <f t="shared" si="0"/>
        <v>0x48BF2F2C,</v>
      </c>
      <c r="Z27" s="37"/>
    </row>
    <row r="28" spans="1:26">
      <c r="A28" s="2" t="s">
        <v>87</v>
      </c>
      <c r="B28" s="2" t="s">
        <v>88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4404106</v>
      </c>
      <c r="Y28" t="str">
        <f t="shared" si="0"/>
        <v>0x04404106,</v>
      </c>
      <c r="Z28" s="37"/>
    </row>
    <row r="29" spans="1:26">
      <c r="A29" s="2" t="s">
        <v>89</v>
      </c>
      <c r="B29" s="2" t="s">
        <v>90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103B700C</v>
      </c>
      <c r="Y29" t="str">
        <f t="shared" si="0"/>
        <v>0x103B700C,</v>
      </c>
      <c r="Z29" s="37" t="s">
        <v>91</v>
      </c>
    </row>
    <row r="30" spans="1:26">
      <c r="A30" s="2" t="s">
        <v>92</v>
      </c>
      <c r="B30" s="2" t="s">
        <v>93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48BF2F2C</v>
      </c>
      <c r="Y30" t="str">
        <f t="shared" si="0"/>
        <v>0x48BF2F2C,</v>
      </c>
      <c r="Z30" s="37"/>
    </row>
    <row r="31" spans="1:26">
      <c r="A31" s="2" t="s">
        <v>94</v>
      </c>
      <c r="B31" s="2" t="s">
        <v>95</v>
      </c>
      <c r="C31" s="3" t="s">
        <v>53</v>
      </c>
      <c r="D31" s="4"/>
      <c r="E31" s="2" t="s">
        <v>96</v>
      </c>
      <c r="F31" s="2" t="s">
        <v>96</v>
      </c>
      <c r="G31" s="2" t="s">
        <v>96</v>
      </c>
      <c r="H31" s="2" t="s">
        <v>96</v>
      </c>
      <c r="I31" s="2" t="s">
        <v>96</v>
      </c>
      <c r="J31" s="2" t="s">
        <v>96</v>
      </c>
      <c r="K31" s="2" t="s">
        <v>96</v>
      </c>
      <c r="L31" s="2" t="s">
        <v>96</v>
      </c>
      <c r="M31" s="2" t="s">
        <v>96</v>
      </c>
      <c r="N31" s="2" t="s">
        <v>96</v>
      </c>
      <c r="O31" s="2" t="s">
        <v>96</v>
      </c>
      <c r="P31" s="2" t="s">
        <v>96</v>
      </c>
      <c r="Q31" s="2" t="s">
        <v>96</v>
      </c>
      <c r="R31" s="2" t="s">
        <v>96</v>
      </c>
      <c r="S31" s="2" t="s">
        <v>96</v>
      </c>
      <c r="V31" s="35"/>
      <c r="W31" s="34" t="s">
        <v>20</v>
      </c>
      <c r="X31" s="36" t="str">
        <f>J41</f>
        <v>440410E</v>
      </c>
      <c r="Y31" t="str">
        <f t="shared" si="0"/>
        <v>0x0440410E,</v>
      </c>
      <c r="Z31" s="37"/>
    </row>
    <row r="32" spans="1:26">
      <c r="A32" s="2" t="s">
        <v>97</v>
      </c>
      <c r="B32" s="2" t="s">
        <v>98</v>
      </c>
      <c r="C32" s="3" t="s">
        <v>25</v>
      </c>
      <c r="D32" s="4"/>
      <c r="E32" s="2" t="s">
        <v>52</v>
      </c>
      <c r="F32" s="2" t="s">
        <v>52</v>
      </c>
      <c r="G32" s="2" t="s">
        <v>52</v>
      </c>
      <c r="H32" s="2" t="s">
        <v>52</v>
      </c>
      <c r="I32" s="2" t="s">
        <v>52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2" t="s">
        <v>52</v>
      </c>
      <c r="P32" s="2" t="s">
        <v>52</v>
      </c>
      <c r="Q32" s="2" t="s">
        <v>52</v>
      </c>
      <c r="R32" s="2" t="s">
        <v>52</v>
      </c>
      <c r="S32" s="2" t="s">
        <v>52</v>
      </c>
      <c r="V32" s="35" t="s">
        <v>99</v>
      </c>
      <c r="W32" s="34" t="s">
        <v>13</v>
      </c>
      <c r="X32" s="36" t="str">
        <f>I43</f>
        <v>103B700F</v>
      </c>
      <c r="Y32" t="str">
        <f t="shared" si="0"/>
        <v>0x103B700F,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51</v>
      </c>
      <c r="D33" s="4"/>
      <c r="E33" s="9" t="s">
        <v>51</v>
      </c>
      <c r="F33" s="9" t="s">
        <v>51</v>
      </c>
      <c r="G33" s="4" t="s">
        <v>51</v>
      </c>
      <c r="H33" s="9" t="s">
        <v>51</v>
      </c>
      <c r="I33" s="9" t="s">
        <v>51</v>
      </c>
      <c r="J33" s="4" t="s">
        <v>51</v>
      </c>
      <c r="K33" s="9" t="s">
        <v>51</v>
      </c>
      <c r="L33" s="9" t="s">
        <v>51</v>
      </c>
      <c r="M33" s="4" t="s">
        <v>51</v>
      </c>
      <c r="N33" s="9" t="s">
        <v>51</v>
      </c>
      <c r="O33" s="9" t="s">
        <v>51</v>
      </c>
      <c r="P33" s="4" t="s">
        <v>51</v>
      </c>
      <c r="Q33" s="9" t="s">
        <v>51</v>
      </c>
      <c r="R33" s="9" t="s">
        <v>51</v>
      </c>
      <c r="S33" s="4" t="s">
        <v>51</v>
      </c>
      <c r="T33" s="25"/>
      <c r="V33" s="35"/>
      <c r="W33" s="34" t="s">
        <v>16</v>
      </c>
      <c r="X33" s="36" t="str">
        <f>I42</f>
        <v>48BF2F2C</v>
      </c>
      <c r="Y33" t="str">
        <f t="shared" si="0"/>
        <v>0x48BF2F2C,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440410A</v>
      </c>
      <c r="Y34" t="str">
        <f t="shared" si="0"/>
        <v>0x0440410A,</v>
      </c>
      <c r="Z34" s="37"/>
    </row>
    <row r="35" spans="1:26">
      <c r="A35" s="2" t="s">
        <v>104</v>
      </c>
      <c r="B35" s="2" t="s">
        <v>105</v>
      </c>
      <c r="C35" s="3" t="s">
        <v>51</v>
      </c>
      <c r="D35" s="4"/>
      <c r="E35" s="2" t="s">
        <v>52</v>
      </c>
      <c r="F35" s="2" t="s">
        <v>52</v>
      </c>
      <c r="G35" s="2" t="s">
        <v>52</v>
      </c>
      <c r="H35" s="2" t="s">
        <v>52</v>
      </c>
      <c r="I35" s="2" t="s">
        <v>52</v>
      </c>
      <c r="J35" s="2" t="s">
        <v>52</v>
      </c>
      <c r="K35" s="2" t="s">
        <v>52</v>
      </c>
      <c r="L35" s="2" t="s">
        <v>52</v>
      </c>
      <c r="M35" s="2" t="s">
        <v>52</v>
      </c>
      <c r="N35" s="2" t="s">
        <v>52</v>
      </c>
      <c r="O35" s="2" t="s">
        <v>52</v>
      </c>
      <c r="P35" s="2" t="s">
        <v>52</v>
      </c>
      <c r="Q35" s="2" t="s">
        <v>52</v>
      </c>
      <c r="R35" s="2" t="s">
        <v>52</v>
      </c>
      <c r="S35" s="2" t="s">
        <v>52</v>
      </c>
      <c r="V35" s="35" t="s">
        <v>106</v>
      </c>
      <c r="W35" s="34" t="s">
        <v>13</v>
      </c>
      <c r="X35" s="36" t="str">
        <f>H43</f>
        <v>103B700F</v>
      </c>
      <c r="Y35" t="str">
        <f t="shared" si="0"/>
        <v>0x103B700F,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53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48BF2F2C</v>
      </c>
      <c r="Y36" t="str">
        <f t="shared" si="0"/>
        <v>0x48BF2F2C,</v>
      </c>
      <c r="Z36" s="37"/>
    </row>
    <row r="37" spans="1:26">
      <c r="A37" s="2" t="s">
        <v>110</v>
      </c>
      <c r="B37" s="2" t="s">
        <v>111</v>
      </c>
      <c r="C37" s="3" t="s">
        <v>53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440416A</v>
      </c>
      <c r="Y37" t="str">
        <f t="shared" si="0"/>
        <v>0x0440416A,</v>
      </c>
      <c r="Z37" s="37"/>
    </row>
    <row r="38" spans="22:26">
      <c r="V38" s="35" t="s">
        <v>112</v>
      </c>
      <c r="W38" s="34" t="s">
        <v>13</v>
      </c>
      <c r="X38" s="36" t="str">
        <f>G43</f>
        <v>103B700F</v>
      </c>
      <c r="Y38" t="str">
        <f t="shared" si="0"/>
        <v>0x103B700F,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48BF2F2C</v>
      </c>
      <c r="Y39" t="str">
        <f t="shared" si="0"/>
        <v>0x48BF2F2C,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44041B2</v>
      </c>
      <c r="Y40" t="str">
        <f t="shared" si="0"/>
        <v>0x044041B2,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44041FE</v>
      </c>
      <c r="F41" s="13" t="str">
        <f t="shared" si="1"/>
        <v>44041DA</v>
      </c>
      <c r="G41" s="13" t="str">
        <f t="shared" si="1"/>
        <v>44041B2</v>
      </c>
      <c r="H41" s="13" t="str">
        <f t="shared" si="1"/>
        <v>440416A</v>
      </c>
      <c r="I41" s="13" t="str">
        <f t="shared" si="1"/>
        <v>440410A</v>
      </c>
      <c r="J41" s="13" t="str">
        <f t="shared" si="1"/>
        <v>440410E</v>
      </c>
      <c r="K41" s="13" t="str">
        <f t="shared" si="1"/>
        <v>4404106</v>
      </c>
      <c r="L41" s="13" t="str">
        <f t="shared" si="1"/>
        <v>440414A</v>
      </c>
      <c r="M41" s="13" t="str">
        <f t="shared" si="1"/>
        <v>4404126</v>
      </c>
      <c r="N41" s="13" t="str">
        <f t="shared" si="1"/>
        <v>440412E</v>
      </c>
      <c r="O41" s="13" t="str">
        <f t="shared" si="1"/>
        <v>440410A</v>
      </c>
      <c r="P41" s="13" t="str">
        <f t="shared" si="1"/>
        <v>44040E6</v>
      </c>
      <c r="Q41" s="13" t="str">
        <f t="shared" si="1"/>
        <v>4404076</v>
      </c>
      <c r="R41" s="13" t="str">
        <f t="shared" si="1"/>
        <v>440406E</v>
      </c>
      <c r="S41" s="13" t="str">
        <f t="shared" si="1"/>
        <v>44040B2</v>
      </c>
      <c r="V41" s="35" t="s">
        <v>117</v>
      </c>
      <c r="W41" s="34" t="s">
        <v>13</v>
      </c>
      <c r="X41" s="36" t="str">
        <f>F43</f>
        <v>103B700F</v>
      </c>
      <c r="Y41" t="str">
        <f t="shared" si="0"/>
        <v>0x103B700F,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48BF2F2C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48BF2F2C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48BF2F2C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48BF2F2C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48BF2F2C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48BF2F2C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48BF2F2C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48BF2F2C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48BF2F2C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48BF2F2C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48BF2F2C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48BF2F2C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48BF2F2C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48BF2F2C</v>
      </c>
      <c r="V42" s="35"/>
      <c r="W42" s="34" t="s">
        <v>16</v>
      </c>
      <c r="X42" s="36" t="str">
        <f>F42</f>
        <v>48BF2F2C</v>
      </c>
      <c r="Y42" t="str">
        <f t="shared" si="0"/>
        <v>0x48BF2F2C,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103B700F</v>
      </c>
      <c r="F43" s="13" t="str">
        <f>DEC2HEX(F37+64*F36+POWER(2,12)*F35+POWER(2,15)*F34+POWER(2,16)*F33+POWER(2,19)*F32+POWER(2,23)*F31+POWER(2,29)*F30+POWER(2,31)*MOD(F29,$C29))</f>
        <v>103B700F</v>
      </c>
      <c r="G43" s="13" t="str">
        <f>DEC2HEX(G37+64*G36+POWER(2,12)*G35+POWER(2,15)*G34+POWER(2,16)*G33+POWER(2,19)*G32+POWER(2,23)*G31+POWER(2,29)*G30+POWER(2,31)*MOD(G29,$C29))</f>
        <v>103B700F</v>
      </c>
      <c r="H43" s="13" t="str">
        <f>DEC2HEX(H37+64*H36+POWER(2,12)*H35+POWER(2,15)*H34+POWER(2,16)*H33+POWER(2,19)*H32+POWER(2,23)*H31+POWER(2,29)*H30+POWER(2,31)*MOD(H29,$C29))</f>
        <v>103B700F</v>
      </c>
      <c r="I43" s="13" t="str">
        <f>DEC2HEX(I37+64*I36+POWER(2,12)*I35+POWER(2,15)*I34+POWER(2,16)*I33+POWER(2,19)*I32+POWER(2,23)*I31+POWER(2,29)*I30+POWER(2,31)*MOD(I29,$C29))</f>
        <v>103B700F</v>
      </c>
      <c r="J43" s="13" t="str">
        <f>DEC2HEX(J37+64*J36+POWER(2,12)*J35+POWER(2,15)*J34+POWER(2,16)*J33+POWER(2,19)*J32+POWER(2,23)*J31+POWER(2,29)*J30+POWER(2,31)*MOD(J29,$C29))</f>
        <v>103B700C</v>
      </c>
      <c r="K43" s="13" t="str">
        <f>DEC2HEX(K37+64*K36+POWER(2,12)*K35+POWER(2,15)*K34+POWER(2,16)*K33+POWER(2,19)*K32+POWER(2,23)*K31+POWER(2,29)*K30+POWER(2,31)*MOD(K29,$C29))</f>
        <v>103B700C</v>
      </c>
      <c r="L43" s="13" t="str">
        <f>DEC2HEX(L37+64*L36+POWER(2,12)*L35+POWER(2,15)*L34+POWER(2,16)*L33+POWER(2,19)*L32+POWER(2,23)*L31+POWER(2,29)*L30+POWER(2,31)*MOD(L29,$C29))</f>
        <v>103B7008</v>
      </c>
      <c r="M43" s="13" t="str">
        <f>DEC2HEX(M37+64*M36+POWER(2,12)*M35+POWER(2,15)*M34+POWER(2,16)*M33+POWER(2,19)*M32+POWER(2,23)*M31+POWER(2,29)*M30+POWER(2,31)*MOD(M29,$C29))</f>
        <v>103B7008</v>
      </c>
      <c r="N43" s="13" t="str">
        <f>DEC2HEX(N37+64*N36+POWER(2,12)*N35+POWER(2,15)*N34+POWER(2,16)*N33+POWER(2,19)*N32+POWER(2,23)*N31+POWER(2,29)*N30+POWER(2,31)*MOD(N29,$C29))</f>
        <v>103B7004</v>
      </c>
      <c r="O43" s="13" t="str">
        <f>DEC2HEX(O37+64*O36+POWER(2,12)*O35+POWER(2,15)*O34+POWER(2,16)*O33+POWER(2,19)*O32+POWER(2,23)*O31+POWER(2,29)*O30+POWER(2,31)*MOD(O29,$C29))</f>
        <v>103B7004</v>
      </c>
      <c r="P43" s="13" t="str">
        <f>DEC2HEX(P37+64*P36+POWER(2,12)*P35+POWER(2,15)*P34+POWER(2,16)*P33+POWER(2,19)*P32+POWER(2,23)*P31+POWER(2,29)*P30+POWER(2,31)*MOD(P29,$C29))</f>
        <v>103B7004</v>
      </c>
      <c r="Q43" s="13" t="str">
        <f>DEC2HEX(Q37+64*Q36+POWER(2,12)*Q35+POWER(2,15)*Q34+POWER(2,16)*Q33+POWER(2,19)*Q32+POWER(2,23)*Q31+POWER(2,29)*Q30+POWER(2,31)*MOD(Q29,$C29))</f>
        <v>103B7004</v>
      </c>
      <c r="R43" s="13" t="str">
        <f>DEC2HEX(R37+64*R36+POWER(2,12)*R35+POWER(2,15)*R34+POWER(2,16)*R33+POWER(2,19)*R32+POWER(2,23)*R31+POWER(2,29)*R30+POWER(2,31)*MOD(R29,$C29))</f>
        <v>103B7004</v>
      </c>
      <c r="S43" s="13" t="str">
        <f>DEC2HEX(S37+64*S36+POWER(2,12)*S35+POWER(2,15)*S34+POWER(2,16)*S33+POWER(2,19)*S32+POWER(2,23)*S31+POWER(2,29)*S30+POWER(2,31)*MOD(S29,$C29))</f>
        <v>103B7002</v>
      </c>
      <c r="V43" s="35"/>
      <c r="W43" s="34" t="s">
        <v>20</v>
      </c>
      <c r="X43" s="36" t="str">
        <f>F41</f>
        <v>44041DA</v>
      </c>
      <c r="Y43" t="str">
        <f t="shared" si="0"/>
        <v>0x044041DA,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103B700F</v>
      </c>
      <c r="Y44" t="str">
        <f t="shared" si="0"/>
        <v>0x103B700F,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7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48BF2F2C</v>
      </c>
      <c r="Y45" t="str">
        <f t="shared" si="0"/>
        <v>0x48BF2F2C,</v>
      </c>
      <c r="Z45" s="37"/>
    </row>
    <row r="46" spans="1:26">
      <c r="A46" s="16"/>
      <c r="B46" s="15"/>
      <c r="C46" s="15"/>
      <c r="D46" s="17"/>
      <c r="E46" s="17"/>
      <c r="F46" s="17"/>
      <c r="G46" s="17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44041FE</v>
      </c>
      <c r="Y46" t="str">
        <f t="shared" si="0"/>
        <v>0x044041FE,</v>
      </c>
      <c r="Z46" s="37"/>
    </row>
    <row r="47" spans="1:26">
      <c r="A47" s="15"/>
      <c r="B47" s="18"/>
      <c r="C47" s="18"/>
      <c r="D47" s="18"/>
      <c r="E47" s="19"/>
      <c r="F47" s="18"/>
      <c r="G47" s="18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3"/>
    </row>
    <row r="51" spans="1:7">
      <c r="A51" s="16"/>
      <c r="B51" s="16"/>
      <c r="C51" s="16"/>
      <c r="D51" s="16"/>
      <c r="E51" s="16"/>
      <c r="F51" s="16"/>
      <c r="G51" s="16"/>
    </row>
    <row r="52" spans="1:7">
      <c r="A52" s="16"/>
      <c r="B52" s="16"/>
      <c r="C52" s="16"/>
      <c r="D52" s="16"/>
      <c r="E52" s="25"/>
      <c r="F52" s="16"/>
      <c r="G52" s="16"/>
    </row>
    <row r="53" spans="1:7">
      <c r="A53" s="15"/>
      <c r="B53" s="15"/>
      <c r="C53" s="15"/>
      <c r="D53" s="15"/>
      <c r="E53" s="25"/>
      <c r="F53" s="16"/>
      <c r="G53" s="16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G33" sqref="G33:S33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103B7002</v>
      </c>
      <c r="Y2" t="str">
        <f t="shared" ref="Y2:Y49" si="0">"0x"&amp;RIGHT("00000000"&amp;X2,8)&amp;","</f>
        <v>0x103B7002,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48BF2F2C</v>
      </c>
      <c r="Y3" t="str">
        <f t="shared" si="0"/>
        <v>0x48BF2F2C,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44000B2</v>
      </c>
      <c r="Y4" t="str">
        <f t="shared" si="0"/>
        <v>0x044000B2,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103B7004</v>
      </c>
      <c r="Y5" t="str">
        <f t="shared" si="0"/>
        <v>0x103B7004,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48BF2F2C</v>
      </c>
      <c r="Y6" t="str">
        <f t="shared" si="0"/>
        <v>0x48BF2F2C,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440006E</v>
      </c>
      <c r="Y7" t="str">
        <f t="shared" si="0"/>
        <v>0x0440006E,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103B7004</v>
      </c>
      <c r="Y8" t="str">
        <f t="shared" si="0"/>
        <v>0x103B7004,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48BF2F2C</v>
      </c>
      <c r="Y9" t="str">
        <f t="shared" si="0"/>
        <v>0x48BF2F2C,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12</v>
      </c>
      <c r="M10" s="2" t="s">
        <v>12</v>
      </c>
      <c r="N10" s="2" t="s">
        <v>12</v>
      </c>
      <c r="O10" s="2" t="s">
        <v>12</v>
      </c>
      <c r="P10" s="2" t="s">
        <v>12</v>
      </c>
      <c r="Q10" s="2" t="s">
        <v>12</v>
      </c>
      <c r="R10" s="2" t="s">
        <v>12</v>
      </c>
      <c r="S10" s="2" t="s">
        <v>12</v>
      </c>
      <c r="V10" s="35"/>
      <c r="W10" s="34" t="s">
        <v>20</v>
      </c>
      <c r="X10" s="36" t="str">
        <f>Q41</f>
        <v>4400076</v>
      </c>
      <c r="Y10" t="str">
        <f t="shared" si="0"/>
        <v>0x04400076,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103B7004</v>
      </c>
      <c r="Y11" t="str">
        <f t="shared" si="0"/>
        <v>0x103B7004,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7" t="s">
        <v>46</v>
      </c>
      <c r="G12" s="7" t="s">
        <v>43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52</v>
      </c>
      <c r="Q12" s="33" t="s">
        <v>51</v>
      </c>
      <c r="R12" s="5" t="s">
        <v>51</v>
      </c>
      <c r="S12" s="5" t="s">
        <v>48</v>
      </c>
      <c r="V12" s="35"/>
      <c r="W12" s="34" t="s">
        <v>16</v>
      </c>
      <c r="X12" s="36" t="str">
        <f>P42</f>
        <v>48BF2F2C</v>
      </c>
      <c r="Y12" t="str">
        <f t="shared" si="0"/>
        <v>0x48BF2F2C,</v>
      </c>
      <c r="Z12" s="37"/>
    </row>
    <row r="13" spans="1:26">
      <c r="A13" s="5" t="s">
        <v>49</v>
      </c>
      <c r="B13" s="5" t="s">
        <v>50</v>
      </c>
      <c r="C13" s="6" t="s">
        <v>51</v>
      </c>
      <c r="D13" s="4"/>
      <c r="E13" s="5" t="s">
        <v>52</v>
      </c>
      <c r="F13" s="5" t="s">
        <v>53</v>
      </c>
      <c r="G13" s="5" t="s">
        <v>25</v>
      </c>
      <c r="H13" s="5" t="s">
        <v>19</v>
      </c>
      <c r="I13" s="5" t="s">
        <v>19</v>
      </c>
      <c r="J13" s="5" t="s">
        <v>51</v>
      </c>
      <c r="K13" s="5" t="s">
        <v>11</v>
      </c>
      <c r="L13" s="5" t="s">
        <v>19</v>
      </c>
      <c r="M13" s="5" t="s">
        <v>11</v>
      </c>
      <c r="N13" s="5" t="s">
        <v>51</v>
      </c>
      <c r="O13" s="5" t="s">
        <v>19</v>
      </c>
      <c r="P13" s="33" t="s">
        <v>11</v>
      </c>
      <c r="Q13" s="33" t="s">
        <v>48</v>
      </c>
      <c r="R13" s="5" t="s">
        <v>51</v>
      </c>
      <c r="S13" s="5" t="s">
        <v>25</v>
      </c>
      <c r="V13" s="35"/>
      <c r="W13" s="34" t="s">
        <v>20</v>
      </c>
      <c r="X13" s="36" t="str">
        <f>P41</f>
        <v>44000E6</v>
      </c>
      <c r="Y13" t="str">
        <f t="shared" si="0"/>
        <v>0x044000E6,</v>
      </c>
      <c r="Z13" s="37"/>
    </row>
    <row r="14" spans="1:26">
      <c r="A14" s="2" t="s">
        <v>54</v>
      </c>
      <c r="B14" s="2" t="s">
        <v>55</v>
      </c>
      <c r="C14" s="3" t="s">
        <v>51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103B7004</v>
      </c>
      <c r="Y14" t="str">
        <f t="shared" si="0"/>
        <v>0x103B7004,</v>
      </c>
      <c r="Z14" s="37" t="s">
        <v>56</v>
      </c>
    </row>
    <row r="15" spans="1:26">
      <c r="A15" s="2" t="s">
        <v>57</v>
      </c>
      <c r="B15" s="2" t="s">
        <v>58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48BF2F2C</v>
      </c>
      <c r="Y15" t="str">
        <f t="shared" si="0"/>
        <v>0x48BF2F2C,</v>
      </c>
      <c r="Z15" s="37"/>
    </row>
    <row r="16" spans="1:26">
      <c r="A16" s="2" t="s">
        <v>59</v>
      </c>
      <c r="B16" s="2" t="s">
        <v>60</v>
      </c>
      <c r="C16" s="3" t="s">
        <v>51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440010A</v>
      </c>
      <c r="Y16" t="str">
        <f t="shared" si="0"/>
        <v>0x0440010A,</v>
      </c>
      <c r="Z16" s="37"/>
    </row>
    <row r="17" spans="1:26">
      <c r="A17" s="2" t="s">
        <v>61</v>
      </c>
      <c r="B17" s="2" t="s">
        <v>62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103B7004</v>
      </c>
      <c r="Y17" t="str">
        <f t="shared" si="0"/>
        <v>0x103B7004,</v>
      </c>
      <c r="Z17" s="37" t="s">
        <v>63</v>
      </c>
    </row>
    <row r="18" spans="1:26">
      <c r="A18" s="2" t="s">
        <v>64</v>
      </c>
      <c r="B18" s="2" t="s">
        <v>65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48BF2F2C</v>
      </c>
      <c r="Y18" t="str">
        <f t="shared" si="0"/>
        <v>0x48BF2F2C,</v>
      </c>
      <c r="Z18" s="37"/>
    </row>
    <row r="19" spans="1:26">
      <c r="A19" s="2" t="s">
        <v>66</v>
      </c>
      <c r="B19" s="2" t="s">
        <v>67</v>
      </c>
      <c r="C19" s="3" t="s">
        <v>19</v>
      </c>
      <c r="D19" s="4"/>
      <c r="E19" s="2" t="s">
        <v>51</v>
      </c>
      <c r="F19" s="2" t="s">
        <v>51</v>
      </c>
      <c r="G19" s="2" t="s">
        <v>51</v>
      </c>
      <c r="H19" s="2" t="s">
        <v>51</v>
      </c>
      <c r="I19" s="2" t="s">
        <v>51</v>
      </c>
      <c r="J19" s="2" t="s">
        <v>51</v>
      </c>
      <c r="K19" s="2" t="s">
        <v>51</v>
      </c>
      <c r="L19" s="2" t="s">
        <v>51</v>
      </c>
      <c r="M19" s="2" t="s">
        <v>51</v>
      </c>
      <c r="N19" s="2" t="s">
        <v>51</v>
      </c>
      <c r="O19" s="2" t="s">
        <v>51</v>
      </c>
      <c r="P19" s="2" t="s">
        <v>51</v>
      </c>
      <c r="Q19" s="2" t="s">
        <v>51</v>
      </c>
      <c r="R19" s="2" t="s">
        <v>51</v>
      </c>
      <c r="S19" s="2" t="s">
        <v>51</v>
      </c>
      <c r="V19" s="35"/>
      <c r="W19" s="34" t="s">
        <v>20</v>
      </c>
      <c r="X19" s="36" t="str">
        <f>N41</f>
        <v>440012E</v>
      </c>
      <c r="Y19" t="str">
        <f t="shared" si="0"/>
        <v>0x0440012E,</v>
      </c>
      <c r="Z19" s="37"/>
    </row>
    <row r="20" spans="1:26">
      <c r="A20" s="2" t="s">
        <v>68</v>
      </c>
      <c r="B20" s="2" t="s">
        <v>69</v>
      </c>
      <c r="C20" s="3" t="s">
        <v>19</v>
      </c>
      <c r="D20" s="4"/>
      <c r="E20" s="2" t="s">
        <v>51</v>
      </c>
      <c r="F20" s="2" t="s">
        <v>51</v>
      </c>
      <c r="G20" s="2" t="s">
        <v>51</v>
      </c>
      <c r="H20" s="2" t="s">
        <v>51</v>
      </c>
      <c r="I20" s="2" t="s">
        <v>51</v>
      </c>
      <c r="J20" s="2" t="s">
        <v>51</v>
      </c>
      <c r="K20" s="2" t="s">
        <v>51</v>
      </c>
      <c r="L20" s="2" t="s">
        <v>51</v>
      </c>
      <c r="M20" s="2" t="s">
        <v>51</v>
      </c>
      <c r="N20" s="2" t="s">
        <v>51</v>
      </c>
      <c r="O20" s="2" t="s">
        <v>51</v>
      </c>
      <c r="P20" s="2" t="s">
        <v>51</v>
      </c>
      <c r="Q20" s="2" t="s">
        <v>51</v>
      </c>
      <c r="R20" s="2" t="s">
        <v>51</v>
      </c>
      <c r="S20" s="2" t="s">
        <v>51</v>
      </c>
      <c r="V20" s="35">
        <v>6</v>
      </c>
      <c r="W20" s="34" t="s">
        <v>13</v>
      </c>
      <c r="X20" s="36" t="str">
        <f>M43</f>
        <v>103B7008</v>
      </c>
      <c r="Y20" t="str">
        <f t="shared" si="0"/>
        <v>0x103B7008,</v>
      </c>
      <c r="Z20" s="37" t="s">
        <v>70</v>
      </c>
    </row>
    <row r="21" spans="1:26">
      <c r="A21" s="2" t="s">
        <v>71</v>
      </c>
      <c r="B21" s="2" t="s">
        <v>72</v>
      </c>
      <c r="C21" s="3" t="s">
        <v>51</v>
      </c>
      <c r="D21" s="4"/>
      <c r="E21" s="2" t="s">
        <v>53</v>
      </c>
      <c r="F21" s="2" t="s">
        <v>53</v>
      </c>
      <c r="G21" s="2" t="s">
        <v>53</v>
      </c>
      <c r="H21" s="2" t="s">
        <v>53</v>
      </c>
      <c r="I21" s="2" t="s">
        <v>53</v>
      </c>
      <c r="J21" s="2" t="s">
        <v>53</v>
      </c>
      <c r="K21" s="2" t="s">
        <v>53</v>
      </c>
      <c r="L21" s="2" t="s">
        <v>53</v>
      </c>
      <c r="M21" s="2" t="s">
        <v>53</v>
      </c>
      <c r="N21" s="2" t="s">
        <v>53</v>
      </c>
      <c r="O21" s="2" t="s">
        <v>53</v>
      </c>
      <c r="P21" s="2" t="s">
        <v>53</v>
      </c>
      <c r="Q21" s="2" t="s">
        <v>53</v>
      </c>
      <c r="R21" s="2" t="s">
        <v>53</v>
      </c>
      <c r="S21" s="2" t="s">
        <v>53</v>
      </c>
      <c r="V21" s="35"/>
      <c r="W21" s="34" t="s">
        <v>16</v>
      </c>
      <c r="X21" s="36" t="str">
        <f>M42</f>
        <v>48BF2F2C</v>
      </c>
      <c r="Y21" t="str">
        <f t="shared" si="0"/>
        <v>0x48BF2F2C,</v>
      </c>
      <c r="Z21" s="37"/>
    </row>
    <row r="22" spans="1:26">
      <c r="A22" s="2" t="s">
        <v>73</v>
      </c>
      <c r="B22" s="2" t="s">
        <v>74</v>
      </c>
      <c r="C22" s="3" t="s">
        <v>51</v>
      </c>
      <c r="D22" s="4"/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  <c r="S22" s="2" t="s">
        <v>19</v>
      </c>
      <c r="V22" s="35"/>
      <c r="W22" s="34" t="s">
        <v>20</v>
      </c>
      <c r="X22" s="36" t="str">
        <f>M41</f>
        <v>4400126</v>
      </c>
      <c r="Y22" t="str">
        <f t="shared" si="0"/>
        <v>0x04400126,</v>
      </c>
      <c r="Z22" s="37"/>
    </row>
    <row r="23" spans="1:26">
      <c r="A23" s="2" t="s">
        <v>75</v>
      </c>
      <c r="B23" s="2" t="s">
        <v>76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103B7008</v>
      </c>
      <c r="Y23" t="str">
        <f t="shared" si="0"/>
        <v>0x103B7008,</v>
      </c>
      <c r="Z23" s="37" t="s">
        <v>77</v>
      </c>
    </row>
    <row r="24" spans="1:26">
      <c r="A24" s="2" t="s">
        <v>78</v>
      </c>
      <c r="B24" s="2" t="s">
        <v>79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48BF2F2C</v>
      </c>
      <c r="Y24" t="str">
        <f t="shared" si="0"/>
        <v>0x48BF2F2C,</v>
      </c>
      <c r="Z24" s="37"/>
    </row>
    <row r="25" spans="1:26">
      <c r="A25" s="2" t="s">
        <v>80</v>
      </c>
      <c r="B25" s="2" t="s">
        <v>81</v>
      </c>
      <c r="C25" s="3" t="s">
        <v>51</v>
      </c>
      <c r="D25" s="4"/>
      <c r="E25" s="2" t="s">
        <v>53</v>
      </c>
      <c r="F25" s="2" t="s">
        <v>53</v>
      </c>
      <c r="G25" s="2" t="s">
        <v>53</v>
      </c>
      <c r="H25" s="2" t="s">
        <v>53</v>
      </c>
      <c r="I25" s="2" t="s">
        <v>53</v>
      </c>
      <c r="J25" s="2" t="s">
        <v>53</v>
      </c>
      <c r="K25" s="2" t="s">
        <v>53</v>
      </c>
      <c r="L25" s="2" t="s">
        <v>53</v>
      </c>
      <c r="M25" s="2" t="s">
        <v>53</v>
      </c>
      <c r="N25" s="2" t="s">
        <v>53</v>
      </c>
      <c r="O25" s="2" t="s">
        <v>53</v>
      </c>
      <c r="P25" s="2" t="s">
        <v>53</v>
      </c>
      <c r="Q25" s="2" t="s">
        <v>53</v>
      </c>
      <c r="R25" s="2" t="s">
        <v>53</v>
      </c>
      <c r="S25" s="2" t="s">
        <v>53</v>
      </c>
      <c r="V25" s="35"/>
      <c r="W25" s="34" t="s">
        <v>20</v>
      </c>
      <c r="X25" s="36" t="str">
        <f>L41</f>
        <v>440014A</v>
      </c>
      <c r="Y25" t="str">
        <f t="shared" si="0"/>
        <v>0x0440014A,</v>
      </c>
      <c r="Z25" s="37"/>
    </row>
    <row r="26" spans="1:26">
      <c r="A26" s="2" t="s">
        <v>82</v>
      </c>
      <c r="B26" s="2" t="s">
        <v>83</v>
      </c>
      <c r="C26" s="3" t="s">
        <v>51</v>
      </c>
      <c r="D26" s="4"/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 t="s">
        <v>19</v>
      </c>
      <c r="V26" s="35">
        <v>8</v>
      </c>
      <c r="W26" s="34" t="s">
        <v>13</v>
      </c>
      <c r="X26" s="36" t="str">
        <f>K43</f>
        <v>103B700C</v>
      </c>
      <c r="Y26" t="str">
        <f t="shared" si="0"/>
        <v>0x103B700C,</v>
      </c>
      <c r="Z26" s="37" t="s">
        <v>84</v>
      </c>
    </row>
    <row r="27" spans="1:26">
      <c r="A27" s="2" t="s">
        <v>85</v>
      </c>
      <c r="B27" s="2" t="s">
        <v>86</v>
      </c>
      <c r="C27" s="3" t="s">
        <v>19</v>
      </c>
      <c r="D27" s="4"/>
      <c r="E27" s="2" t="s">
        <v>51</v>
      </c>
      <c r="F27" s="2" t="s">
        <v>51</v>
      </c>
      <c r="G27" s="2" t="s">
        <v>51</v>
      </c>
      <c r="H27" s="2" t="s">
        <v>51</v>
      </c>
      <c r="I27" s="2" t="s">
        <v>51</v>
      </c>
      <c r="J27" s="2" t="s">
        <v>51</v>
      </c>
      <c r="K27" s="2" t="s">
        <v>51</v>
      </c>
      <c r="L27" s="2" t="s">
        <v>51</v>
      </c>
      <c r="M27" s="2" t="s">
        <v>51</v>
      </c>
      <c r="N27" s="2" t="s">
        <v>51</v>
      </c>
      <c r="O27" s="2" t="s">
        <v>51</v>
      </c>
      <c r="P27" s="2" t="s">
        <v>51</v>
      </c>
      <c r="Q27" s="2" t="s">
        <v>51</v>
      </c>
      <c r="R27" s="2" t="s">
        <v>51</v>
      </c>
      <c r="S27" s="2" t="s">
        <v>51</v>
      </c>
      <c r="V27" s="35"/>
      <c r="W27" s="34" t="s">
        <v>16</v>
      </c>
      <c r="X27" s="36" t="str">
        <f>K42</f>
        <v>48BF2F2C</v>
      </c>
      <c r="Y27" t="str">
        <f t="shared" si="0"/>
        <v>0x48BF2F2C,</v>
      </c>
      <c r="Z27" s="37"/>
    </row>
    <row r="28" spans="1:26">
      <c r="A28" s="2" t="s">
        <v>87</v>
      </c>
      <c r="B28" s="2" t="s">
        <v>88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4400106</v>
      </c>
      <c r="Y28" t="str">
        <f t="shared" si="0"/>
        <v>0x04400106,</v>
      </c>
      <c r="Z28" s="37"/>
    </row>
    <row r="29" spans="1:26">
      <c r="A29" s="2" t="s">
        <v>89</v>
      </c>
      <c r="B29" s="2" t="s">
        <v>90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103B700C</v>
      </c>
      <c r="Y29" t="str">
        <f t="shared" si="0"/>
        <v>0x103B700C,</v>
      </c>
      <c r="Z29" s="37" t="s">
        <v>91</v>
      </c>
    </row>
    <row r="30" spans="1:26">
      <c r="A30" s="2" t="s">
        <v>92</v>
      </c>
      <c r="B30" s="2" t="s">
        <v>93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48BF2F2C</v>
      </c>
      <c r="Y30" t="str">
        <f t="shared" si="0"/>
        <v>0x48BF2F2C,</v>
      </c>
      <c r="Z30" s="37"/>
    </row>
    <row r="31" spans="1:26">
      <c r="A31" s="2" t="s">
        <v>94</v>
      </c>
      <c r="B31" s="2" t="s">
        <v>95</v>
      </c>
      <c r="C31" s="3" t="s">
        <v>53</v>
      </c>
      <c r="D31" s="4"/>
      <c r="E31" s="2" t="s">
        <v>96</v>
      </c>
      <c r="F31" s="2" t="s">
        <v>96</v>
      </c>
      <c r="G31" s="2" t="s">
        <v>96</v>
      </c>
      <c r="H31" s="2" t="s">
        <v>96</v>
      </c>
      <c r="I31" s="2" t="s">
        <v>96</v>
      </c>
      <c r="J31" s="2" t="s">
        <v>96</v>
      </c>
      <c r="K31" s="2" t="s">
        <v>96</v>
      </c>
      <c r="L31" s="2" t="s">
        <v>96</v>
      </c>
      <c r="M31" s="2" t="s">
        <v>96</v>
      </c>
      <c r="N31" s="2" t="s">
        <v>96</v>
      </c>
      <c r="O31" s="2" t="s">
        <v>96</v>
      </c>
      <c r="P31" s="2" t="s">
        <v>96</v>
      </c>
      <c r="Q31" s="2" t="s">
        <v>96</v>
      </c>
      <c r="R31" s="2" t="s">
        <v>96</v>
      </c>
      <c r="S31" s="2" t="s">
        <v>96</v>
      </c>
      <c r="V31" s="35"/>
      <c r="W31" s="34" t="s">
        <v>20</v>
      </c>
      <c r="X31" s="36" t="str">
        <f>J41</f>
        <v>440010E</v>
      </c>
      <c r="Y31" t="str">
        <f t="shared" si="0"/>
        <v>0x0440010E,</v>
      </c>
      <c r="Z31" s="37"/>
    </row>
    <row r="32" spans="1:26">
      <c r="A32" s="2" t="s">
        <v>97</v>
      </c>
      <c r="B32" s="2" t="s">
        <v>98</v>
      </c>
      <c r="C32" s="3" t="s">
        <v>25</v>
      </c>
      <c r="D32" s="4"/>
      <c r="E32" s="2" t="s">
        <v>52</v>
      </c>
      <c r="F32" s="2" t="s">
        <v>52</v>
      </c>
      <c r="G32" s="2" t="s">
        <v>52</v>
      </c>
      <c r="H32" s="2" t="s">
        <v>52</v>
      </c>
      <c r="I32" s="2" t="s">
        <v>52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2" t="s">
        <v>52</v>
      </c>
      <c r="P32" s="2" t="s">
        <v>52</v>
      </c>
      <c r="Q32" s="2" t="s">
        <v>52</v>
      </c>
      <c r="R32" s="2" t="s">
        <v>52</v>
      </c>
      <c r="S32" s="2" t="s">
        <v>52</v>
      </c>
      <c r="V32" s="35" t="s">
        <v>99</v>
      </c>
      <c r="W32" s="34" t="s">
        <v>13</v>
      </c>
      <c r="X32" s="36" t="str">
        <f>I43</f>
        <v>103B700F</v>
      </c>
      <c r="Y32" t="str">
        <f t="shared" si="0"/>
        <v>0x103B700F,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51</v>
      </c>
      <c r="D33" s="4"/>
      <c r="E33" s="9" t="s">
        <v>51</v>
      </c>
      <c r="F33" s="9" t="s">
        <v>51</v>
      </c>
      <c r="G33" s="4" t="s">
        <v>51</v>
      </c>
      <c r="H33" s="4" t="s">
        <v>51</v>
      </c>
      <c r="I33" s="4" t="s">
        <v>51</v>
      </c>
      <c r="J33" s="4" t="s">
        <v>51</v>
      </c>
      <c r="K33" s="4" t="s">
        <v>51</v>
      </c>
      <c r="L33" s="4" t="s">
        <v>51</v>
      </c>
      <c r="M33" s="4" t="s">
        <v>51</v>
      </c>
      <c r="N33" s="4" t="s">
        <v>51</v>
      </c>
      <c r="O33" s="4" t="s">
        <v>51</v>
      </c>
      <c r="P33" s="4" t="s">
        <v>51</v>
      </c>
      <c r="Q33" s="4" t="s">
        <v>51</v>
      </c>
      <c r="R33" s="4" t="s">
        <v>51</v>
      </c>
      <c r="S33" s="4" t="s">
        <v>51</v>
      </c>
      <c r="V33" s="35"/>
      <c r="W33" s="34" t="s">
        <v>16</v>
      </c>
      <c r="X33" s="36" t="str">
        <f>I42</f>
        <v>48BF2F2C</v>
      </c>
      <c r="Y33" t="str">
        <f t="shared" si="0"/>
        <v>0x48BF2F2C,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440010A</v>
      </c>
      <c r="Y34" t="str">
        <f t="shared" si="0"/>
        <v>0x0440010A,</v>
      </c>
      <c r="Z34" s="37"/>
    </row>
    <row r="35" spans="1:26">
      <c r="A35" s="2" t="s">
        <v>104</v>
      </c>
      <c r="B35" s="2" t="s">
        <v>105</v>
      </c>
      <c r="C35" s="3" t="s">
        <v>51</v>
      </c>
      <c r="D35" s="4"/>
      <c r="E35" s="2" t="s">
        <v>52</v>
      </c>
      <c r="F35" s="2" t="s">
        <v>52</v>
      </c>
      <c r="G35" s="2" t="s">
        <v>52</v>
      </c>
      <c r="H35" s="2" t="s">
        <v>52</v>
      </c>
      <c r="I35" s="2" t="s">
        <v>52</v>
      </c>
      <c r="J35" s="2" t="s">
        <v>52</v>
      </c>
      <c r="K35" s="2" t="s">
        <v>52</v>
      </c>
      <c r="L35" s="2" t="s">
        <v>52</v>
      </c>
      <c r="M35" s="2" t="s">
        <v>52</v>
      </c>
      <c r="N35" s="2" t="s">
        <v>52</v>
      </c>
      <c r="O35" s="2" t="s">
        <v>52</v>
      </c>
      <c r="P35" s="2" t="s">
        <v>52</v>
      </c>
      <c r="Q35" s="2" t="s">
        <v>52</v>
      </c>
      <c r="R35" s="2" t="s">
        <v>52</v>
      </c>
      <c r="S35" s="2" t="s">
        <v>52</v>
      </c>
      <c r="V35" s="35" t="s">
        <v>106</v>
      </c>
      <c r="W35" s="34" t="s">
        <v>13</v>
      </c>
      <c r="X35" s="36" t="str">
        <f>H43</f>
        <v>103B700F</v>
      </c>
      <c r="Y35" t="str">
        <f t="shared" si="0"/>
        <v>0x103B700F,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53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48BF2F2C</v>
      </c>
      <c r="Y36" t="str">
        <f t="shared" si="0"/>
        <v>0x48BF2F2C,</v>
      </c>
      <c r="Z36" s="37"/>
    </row>
    <row r="37" spans="1:26">
      <c r="A37" s="2" t="s">
        <v>110</v>
      </c>
      <c r="B37" s="2" t="s">
        <v>111</v>
      </c>
      <c r="C37" s="3" t="s">
        <v>53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440016A</v>
      </c>
      <c r="Y37" t="str">
        <f t="shared" si="0"/>
        <v>0x0440016A,</v>
      </c>
      <c r="Z37" s="37"/>
    </row>
    <row r="38" spans="22:26">
      <c r="V38" s="35" t="s">
        <v>112</v>
      </c>
      <c r="W38" s="34" t="s">
        <v>13</v>
      </c>
      <c r="X38" s="36" t="str">
        <f>G43</f>
        <v>103B700F</v>
      </c>
      <c r="Y38" t="str">
        <f t="shared" si="0"/>
        <v>0x103B700F,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48BF2F2C</v>
      </c>
      <c r="Y39" t="str">
        <f t="shared" si="0"/>
        <v>0x48BF2F2C,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44001B2</v>
      </c>
      <c r="Y40" t="str">
        <f t="shared" si="0"/>
        <v>0x044001B2,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44001FE</v>
      </c>
      <c r="F41" s="13" t="str">
        <f t="shared" si="1"/>
        <v>44001DA</v>
      </c>
      <c r="G41" s="13" t="str">
        <f t="shared" si="1"/>
        <v>44001B2</v>
      </c>
      <c r="H41" s="13" t="str">
        <f t="shared" si="1"/>
        <v>440016A</v>
      </c>
      <c r="I41" s="13" t="str">
        <f t="shared" si="1"/>
        <v>440010A</v>
      </c>
      <c r="J41" s="13" t="str">
        <f t="shared" si="1"/>
        <v>440010E</v>
      </c>
      <c r="K41" s="13" t="str">
        <f t="shared" si="1"/>
        <v>4400106</v>
      </c>
      <c r="L41" s="13" t="str">
        <f t="shared" si="1"/>
        <v>440014A</v>
      </c>
      <c r="M41" s="13" t="str">
        <f t="shared" si="1"/>
        <v>4400126</v>
      </c>
      <c r="N41" s="13" t="str">
        <f t="shared" si="1"/>
        <v>440012E</v>
      </c>
      <c r="O41" s="13" t="str">
        <f t="shared" si="1"/>
        <v>440010A</v>
      </c>
      <c r="P41" s="13" t="str">
        <f t="shared" si="1"/>
        <v>44000E6</v>
      </c>
      <c r="Q41" s="13" t="str">
        <f t="shared" si="1"/>
        <v>4400076</v>
      </c>
      <c r="R41" s="13" t="str">
        <f t="shared" si="1"/>
        <v>440006E</v>
      </c>
      <c r="S41" s="13" t="str">
        <f t="shared" si="1"/>
        <v>44000B2</v>
      </c>
      <c r="V41" s="35" t="s">
        <v>117</v>
      </c>
      <c r="W41" s="34" t="s">
        <v>13</v>
      </c>
      <c r="X41" s="36" t="str">
        <f>F43</f>
        <v>103B700F</v>
      </c>
      <c r="Y41" t="str">
        <f t="shared" si="0"/>
        <v>0x103B700F,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48BF2F2C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48BF2F2C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48BF2F2C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48BF2F2C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48BF2F2C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48BF2F2C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48BF2F2C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48BF2F2C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48BF2F2C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48BF2F2C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48BF2F2C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48BF2F2C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48BF2F2C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48BF2F2C</v>
      </c>
      <c r="V42" s="35"/>
      <c r="W42" s="34" t="s">
        <v>16</v>
      </c>
      <c r="X42" s="36" t="str">
        <f>F42</f>
        <v>48BF2F2C</v>
      </c>
      <c r="Y42" t="str">
        <f t="shared" si="0"/>
        <v>0x48BF2F2C,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103B700F</v>
      </c>
      <c r="F43" s="13" t="str">
        <f>DEC2HEX(F37+64*F36+POWER(2,12)*F35+POWER(2,15)*F34+POWER(2,16)*F33+POWER(2,19)*F32+POWER(2,23)*F31+POWER(2,29)*F30+POWER(2,31)*MOD(F29,$C29))</f>
        <v>103B700F</v>
      </c>
      <c r="G43" s="13" t="str">
        <f>DEC2HEX(G37+64*G36+POWER(2,12)*G35+POWER(2,15)*G34+POWER(2,16)*G33+POWER(2,19)*G32+POWER(2,23)*G31+POWER(2,29)*G30+POWER(2,31)*MOD(G29,$C29))</f>
        <v>103B700F</v>
      </c>
      <c r="H43" s="13" t="str">
        <f>DEC2HEX(H37+64*H36+POWER(2,12)*H35+POWER(2,15)*H34+POWER(2,16)*H33+POWER(2,19)*H32+POWER(2,23)*H31+POWER(2,29)*H30+POWER(2,31)*MOD(H29,$C29))</f>
        <v>103B700F</v>
      </c>
      <c r="I43" s="13" t="str">
        <f>DEC2HEX(I37+64*I36+POWER(2,12)*I35+POWER(2,15)*I34+POWER(2,16)*I33+POWER(2,19)*I32+POWER(2,23)*I31+POWER(2,29)*I30+POWER(2,31)*MOD(I29,$C29))</f>
        <v>103B700F</v>
      </c>
      <c r="J43" s="13" t="str">
        <f>DEC2HEX(J37+64*J36+POWER(2,12)*J35+POWER(2,15)*J34+POWER(2,16)*J33+POWER(2,19)*J32+POWER(2,23)*J31+POWER(2,29)*J30+POWER(2,31)*MOD(J29,$C29))</f>
        <v>103B700C</v>
      </c>
      <c r="K43" s="13" t="str">
        <f>DEC2HEX(K37+64*K36+POWER(2,12)*K35+POWER(2,15)*K34+POWER(2,16)*K33+POWER(2,19)*K32+POWER(2,23)*K31+POWER(2,29)*K30+POWER(2,31)*MOD(K29,$C29))</f>
        <v>103B700C</v>
      </c>
      <c r="L43" s="13" t="str">
        <f>DEC2HEX(L37+64*L36+POWER(2,12)*L35+POWER(2,15)*L34+POWER(2,16)*L33+POWER(2,19)*L32+POWER(2,23)*L31+POWER(2,29)*L30+POWER(2,31)*MOD(L29,$C29))</f>
        <v>103B7008</v>
      </c>
      <c r="M43" s="13" t="str">
        <f>DEC2HEX(M37+64*M36+POWER(2,12)*M35+POWER(2,15)*M34+POWER(2,16)*M33+POWER(2,19)*M32+POWER(2,23)*M31+POWER(2,29)*M30+POWER(2,31)*MOD(M29,$C29))</f>
        <v>103B7008</v>
      </c>
      <c r="N43" s="13" t="str">
        <f>DEC2HEX(N37+64*N36+POWER(2,12)*N35+POWER(2,15)*N34+POWER(2,16)*N33+POWER(2,19)*N32+POWER(2,23)*N31+POWER(2,29)*N30+POWER(2,31)*MOD(N29,$C29))</f>
        <v>103B7004</v>
      </c>
      <c r="O43" s="13" t="str">
        <f>DEC2HEX(O37+64*O36+POWER(2,12)*O35+POWER(2,15)*O34+POWER(2,16)*O33+POWER(2,19)*O32+POWER(2,23)*O31+POWER(2,29)*O30+POWER(2,31)*MOD(O29,$C29))</f>
        <v>103B7004</v>
      </c>
      <c r="P43" s="13" t="str">
        <f>DEC2HEX(P37+64*P36+POWER(2,12)*P35+POWER(2,15)*P34+POWER(2,16)*P33+POWER(2,19)*P32+POWER(2,23)*P31+POWER(2,29)*P30+POWER(2,31)*MOD(P29,$C29))</f>
        <v>103B7004</v>
      </c>
      <c r="Q43" s="13" t="str">
        <f>DEC2HEX(Q37+64*Q36+POWER(2,12)*Q35+POWER(2,15)*Q34+POWER(2,16)*Q33+POWER(2,19)*Q32+POWER(2,23)*Q31+POWER(2,29)*Q30+POWER(2,31)*MOD(Q29,$C29))</f>
        <v>103B7004</v>
      </c>
      <c r="R43" s="13" t="str">
        <f>DEC2HEX(R37+64*R36+POWER(2,12)*R35+POWER(2,15)*R34+POWER(2,16)*R33+POWER(2,19)*R32+POWER(2,23)*R31+POWER(2,29)*R30+POWER(2,31)*MOD(R29,$C29))</f>
        <v>103B7004</v>
      </c>
      <c r="S43" s="13" t="str">
        <f>DEC2HEX(S37+64*S36+POWER(2,12)*S35+POWER(2,15)*S34+POWER(2,16)*S33+POWER(2,19)*S32+POWER(2,23)*S31+POWER(2,29)*S30+POWER(2,31)*MOD(S29,$C29))</f>
        <v>103B7002</v>
      </c>
      <c r="V43" s="35"/>
      <c r="W43" s="34" t="s">
        <v>20</v>
      </c>
      <c r="X43" s="36" t="str">
        <f>F41</f>
        <v>44001DA</v>
      </c>
      <c r="Y43" t="str">
        <f t="shared" si="0"/>
        <v>0x044001DA,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103B700F</v>
      </c>
      <c r="Y44" t="str">
        <f t="shared" si="0"/>
        <v>0x103B700F,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48BF2F2C</v>
      </c>
      <c r="Y45" t="str">
        <f t="shared" si="0"/>
        <v>0x48BF2F2C,</v>
      </c>
      <c r="Z45" s="37"/>
    </row>
    <row r="46" spans="1:26">
      <c r="A46" s="16"/>
      <c r="B46" s="15"/>
      <c r="C46" s="15"/>
      <c r="D46" s="17"/>
      <c r="E46" s="17"/>
      <c r="F46" s="17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44001FE</v>
      </c>
      <c r="Y46" t="str">
        <f t="shared" si="0"/>
        <v>0x044001FE,</v>
      </c>
      <c r="Z46" s="37"/>
    </row>
    <row r="47" spans="1:26">
      <c r="A47" s="15"/>
      <c r="B47" s="18"/>
      <c r="C47" s="18"/>
      <c r="D47" s="18"/>
      <c r="E47" s="19"/>
      <c r="F47" s="18"/>
      <c r="G47" s="20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4"/>
    </row>
    <row r="51" spans="1:6">
      <c r="A51" s="16"/>
      <c r="B51" s="16"/>
      <c r="C51" s="16"/>
      <c r="D51" s="16"/>
      <c r="E51" s="16"/>
      <c r="F51" s="16"/>
    </row>
    <row r="52" spans="5:5">
      <c r="E52" s="27"/>
    </row>
    <row r="53" spans="1:5">
      <c r="A53" s="26"/>
      <c r="B53" s="26"/>
      <c r="C53" s="26"/>
      <c r="D53" s="26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G33" sqref="G33:S33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103B7002</v>
      </c>
      <c r="Y2" t="str">
        <f t="shared" ref="Y2:Y49" si="0">"0x"&amp;RIGHT("00000000"&amp;X2,8)&amp;","</f>
        <v>0x103B7002,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48BF2F2C</v>
      </c>
      <c r="Y3" t="str">
        <f t="shared" si="0"/>
        <v>0x48BF2F2C,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44000B2</v>
      </c>
      <c r="Y4" t="str">
        <f t="shared" si="0"/>
        <v>0x044000B2,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103B7004</v>
      </c>
      <c r="Y5" t="str">
        <f t="shared" si="0"/>
        <v>0x103B7004,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48BF2F2C</v>
      </c>
      <c r="Y6" t="str">
        <f t="shared" si="0"/>
        <v>0x48BF2F2C,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440006E</v>
      </c>
      <c r="Y7" t="str">
        <f t="shared" si="0"/>
        <v>0x0440006E,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103B7004</v>
      </c>
      <c r="Y8" t="str">
        <f t="shared" si="0"/>
        <v>0x103B7004,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48BF2F2C</v>
      </c>
      <c r="Y9" t="str">
        <f t="shared" si="0"/>
        <v>0x48BF2F2C,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12</v>
      </c>
      <c r="M10" s="2" t="s">
        <v>12</v>
      </c>
      <c r="N10" s="2" t="s">
        <v>12</v>
      </c>
      <c r="O10" s="2" t="s">
        <v>12</v>
      </c>
      <c r="P10" s="2" t="s">
        <v>12</v>
      </c>
      <c r="Q10" s="2" t="s">
        <v>12</v>
      </c>
      <c r="R10" s="2" t="s">
        <v>12</v>
      </c>
      <c r="S10" s="2" t="s">
        <v>12</v>
      </c>
      <c r="V10" s="35"/>
      <c r="W10" s="34" t="s">
        <v>20</v>
      </c>
      <c r="X10" s="36" t="str">
        <f>Q41</f>
        <v>4400076</v>
      </c>
      <c r="Y10" t="str">
        <f t="shared" si="0"/>
        <v>0x04400076,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103B7004</v>
      </c>
      <c r="Y11" t="str">
        <f t="shared" si="0"/>
        <v>0x103B7004,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8" t="s">
        <v>43</v>
      </c>
      <c r="G12" s="5" t="s">
        <v>45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52</v>
      </c>
      <c r="Q12" s="33" t="s">
        <v>51</v>
      </c>
      <c r="R12" s="5" t="s">
        <v>51</v>
      </c>
      <c r="S12" s="5" t="s">
        <v>48</v>
      </c>
      <c r="V12" s="35"/>
      <c r="W12" s="34" t="s">
        <v>16</v>
      </c>
      <c r="X12" s="36" t="str">
        <f>P42</f>
        <v>48BF2F2C</v>
      </c>
      <c r="Y12" t="str">
        <f t="shared" si="0"/>
        <v>0x48BF2F2C,</v>
      </c>
      <c r="Z12" s="37"/>
    </row>
    <row r="13" spans="1:26">
      <c r="A13" s="5" t="s">
        <v>49</v>
      </c>
      <c r="B13" s="5" t="s">
        <v>50</v>
      </c>
      <c r="C13" s="6" t="s">
        <v>51</v>
      </c>
      <c r="D13" s="4"/>
      <c r="E13" s="5" t="s">
        <v>52</v>
      </c>
      <c r="F13" s="5" t="s">
        <v>53</v>
      </c>
      <c r="G13" s="5" t="s">
        <v>25</v>
      </c>
      <c r="H13" s="5" t="s">
        <v>19</v>
      </c>
      <c r="I13" s="5" t="s">
        <v>19</v>
      </c>
      <c r="J13" s="5" t="s">
        <v>51</v>
      </c>
      <c r="K13" s="5" t="s">
        <v>11</v>
      </c>
      <c r="L13" s="5" t="s">
        <v>19</v>
      </c>
      <c r="M13" s="5" t="s">
        <v>11</v>
      </c>
      <c r="N13" s="5" t="s">
        <v>51</v>
      </c>
      <c r="O13" s="5" t="s">
        <v>19</v>
      </c>
      <c r="P13" s="33" t="s">
        <v>11</v>
      </c>
      <c r="Q13" s="33" t="s">
        <v>48</v>
      </c>
      <c r="R13" s="5" t="s">
        <v>51</v>
      </c>
      <c r="S13" s="5" t="s">
        <v>25</v>
      </c>
      <c r="V13" s="35"/>
      <c r="W13" s="34" t="s">
        <v>20</v>
      </c>
      <c r="X13" s="36" t="str">
        <f>P41</f>
        <v>44000E6</v>
      </c>
      <c r="Y13" t="str">
        <f t="shared" si="0"/>
        <v>0x044000E6,</v>
      </c>
      <c r="Z13" s="37"/>
    </row>
    <row r="14" spans="1:26">
      <c r="A14" s="2" t="s">
        <v>54</v>
      </c>
      <c r="B14" s="2" t="s">
        <v>55</v>
      </c>
      <c r="C14" s="3" t="s">
        <v>51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103B7004</v>
      </c>
      <c r="Y14" t="str">
        <f t="shared" si="0"/>
        <v>0x103B7004,</v>
      </c>
      <c r="Z14" s="37" t="s">
        <v>56</v>
      </c>
    </row>
    <row r="15" spans="1:26">
      <c r="A15" s="2" t="s">
        <v>57</v>
      </c>
      <c r="B15" s="2" t="s">
        <v>58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48BF2F2C</v>
      </c>
      <c r="Y15" t="str">
        <f t="shared" si="0"/>
        <v>0x48BF2F2C,</v>
      </c>
      <c r="Z15" s="37"/>
    </row>
    <row r="16" spans="1:26">
      <c r="A16" s="2" t="s">
        <v>59</v>
      </c>
      <c r="B16" s="2" t="s">
        <v>60</v>
      </c>
      <c r="C16" s="3" t="s">
        <v>51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440010A</v>
      </c>
      <c r="Y16" t="str">
        <f t="shared" si="0"/>
        <v>0x0440010A,</v>
      </c>
      <c r="Z16" s="37"/>
    </row>
    <row r="17" spans="1:26">
      <c r="A17" s="2" t="s">
        <v>61</v>
      </c>
      <c r="B17" s="2" t="s">
        <v>62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103B7004</v>
      </c>
      <c r="Y17" t="str">
        <f t="shared" si="0"/>
        <v>0x103B7004,</v>
      </c>
      <c r="Z17" s="37" t="s">
        <v>63</v>
      </c>
    </row>
    <row r="18" spans="1:26">
      <c r="A18" s="2" t="s">
        <v>64</v>
      </c>
      <c r="B18" s="2" t="s">
        <v>65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48BF2F2C</v>
      </c>
      <c r="Y18" t="str">
        <f t="shared" si="0"/>
        <v>0x48BF2F2C,</v>
      </c>
      <c r="Z18" s="37"/>
    </row>
    <row r="19" spans="1:26">
      <c r="A19" s="2" t="s">
        <v>66</v>
      </c>
      <c r="B19" s="2" t="s">
        <v>67</v>
      </c>
      <c r="C19" s="3" t="s">
        <v>19</v>
      </c>
      <c r="D19" s="4"/>
      <c r="E19" s="2" t="s">
        <v>51</v>
      </c>
      <c r="F19" s="2" t="s">
        <v>51</v>
      </c>
      <c r="G19" s="2" t="s">
        <v>51</v>
      </c>
      <c r="H19" s="2" t="s">
        <v>51</v>
      </c>
      <c r="I19" s="2" t="s">
        <v>51</v>
      </c>
      <c r="J19" s="2" t="s">
        <v>51</v>
      </c>
      <c r="K19" s="2" t="s">
        <v>51</v>
      </c>
      <c r="L19" s="2" t="s">
        <v>51</v>
      </c>
      <c r="M19" s="2" t="s">
        <v>51</v>
      </c>
      <c r="N19" s="2" t="s">
        <v>51</v>
      </c>
      <c r="O19" s="2" t="s">
        <v>51</v>
      </c>
      <c r="P19" s="2" t="s">
        <v>51</v>
      </c>
      <c r="Q19" s="2" t="s">
        <v>51</v>
      </c>
      <c r="R19" s="2" t="s">
        <v>51</v>
      </c>
      <c r="S19" s="2" t="s">
        <v>51</v>
      </c>
      <c r="V19" s="35"/>
      <c r="W19" s="34" t="s">
        <v>20</v>
      </c>
      <c r="X19" s="36" t="str">
        <f>N41</f>
        <v>440012E</v>
      </c>
      <c r="Y19" t="str">
        <f t="shared" si="0"/>
        <v>0x0440012E,</v>
      </c>
      <c r="Z19" s="37"/>
    </row>
    <row r="20" spans="1:26">
      <c r="A20" s="2" t="s">
        <v>68</v>
      </c>
      <c r="B20" s="2" t="s">
        <v>69</v>
      </c>
      <c r="C20" s="3" t="s">
        <v>19</v>
      </c>
      <c r="D20" s="4"/>
      <c r="E20" s="2" t="s">
        <v>51</v>
      </c>
      <c r="F20" s="2" t="s">
        <v>51</v>
      </c>
      <c r="G20" s="2" t="s">
        <v>51</v>
      </c>
      <c r="H20" s="2" t="s">
        <v>51</v>
      </c>
      <c r="I20" s="2" t="s">
        <v>51</v>
      </c>
      <c r="J20" s="2" t="s">
        <v>51</v>
      </c>
      <c r="K20" s="2" t="s">
        <v>51</v>
      </c>
      <c r="L20" s="2" t="s">
        <v>51</v>
      </c>
      <c r="M20" s="2" t="s">
        <v>51</v>
      </c>
      <c r="N20" s="2" t="s">
        <v>51</v>
      </c>
      <c r="O20" s="2" t="s">
        <v>51</v>
      </c>
      <c r="P20" s="2" t="s">
        <v>51</v>
      </c>
      <c r="Q20" s="2" t="s">
        <v>51</v>
      </c>
      <c r="R20" s="2" t="s">
        <v>51</v>
      </c>
      <c r="S20" s="2" t="s">
        <v>51</v>
      </c>
      <c r="V20" s="35">
        <v>6</v>
      </c>
      <c r="W20" s="34" t="s">
        <v>13</v>
      </c>
      <c r="X20" s="36" t="str">
        <f>M43</f>
        <v>103B7008</v>
      </c>
      <c r="Y20" t="str">
        <f t="shared" si="0"/>
        <v>0x103B7008,</v>
      </c>
      <c r="Z20" s="37" t="s">
        <v>70</v>
      </c>
    </row>
    <row r="21" spans="1:26">
      <c r="A21" s="2" t="s">
        <v>71</v>
      </c>
      <c r="B21" s="2" t="s">
        <v>72</v>
      </c>
      <c r="C21" s="3" t="s">
        <v>51</v>
      </c>
      <c r="D21" s="4"/>
      <c r="E21" s="2" t="s">
        <v>53</v>
      </c>
      <c r="F21" s="2" t="s">
        <v>53</v>
      </c>
      <c r="G21" s="2" t="s">
        <v>53</v>
      </c>
      <c r="H21" s="2" t="s">
        <v>53</v>
      </c>
      <c r="I21" s="2" t="s">
        <v>53</v>
      </c>
      <c r="J21" s="2" t="s">
        <v>53</v>
      </c>
      <c r="K21" s="2" t="s">
        <v>53</v>
      </c>
      <c r="L21" s="2" t="s">
        <v>53</v>
      </c>
      <c r="M21" s="2" t="s">
        <v>53</v>
      </c>
      <c r="N21" s="2" t="s">
        <v>53</v>
      </c>
      <c r="O21" s="2" t="s">
        <v>53</v>
      </c>
      <c r="P21" s="2" t="s">
        <v>53</v>
      </c>
      <c r="Q21" s="2" t="s">
        <v>53</v>
      </c>
      <c r="R21" s="2" t="s">
        <v>53</v>
      </c>
      <c r="S21" s="2" t="s">
        <v>53</v>
      </c>
      <c r="V21" s="35"/>
      <c r="W21" s="34" t="s">
        <v>16</v>
      </c>
      <c r="X21" s="36" t="str">
        <f>M42</f>
        <v>48BF2F2C</v>
      </c>
      <c r="Y21" t="str">
        <f t="shared" si="0"/>
        <v>0x48BF2F2C,</v>
      </c>
      <c r="Z21" s="37"/>
    </row>
    <row r="22" spans="1:26">
      <c r="A22" s="2" t="s">
        <v>73</v>
      </c>
      <c r="B22" s="2" t="s">
        <v>74</v>
      </c>
      <c r="C22" s="3" t="s">
        <v>51</v>
      </c>
      <c r="D22" s="4"/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  <c r="S22" s="2" t="s">
        <v>19</v>
      </c>
      <c r="V22" s="35"/>
      <c r="W22" s="34" t="s">
        <v>20</v>
      </c>
      <c r="X22" s="36" t="str">
        <f>M41</f>
        <v>4400126</v>
      </c>
      <c r="Y22" t="str">
        <f t="shared" si="0"/>
        <v>0x04400126,</v>
      </c>
      <c r="Z22" s="37"/>
    </row>
    <row r="23" spans="1:26">
      <c r="A23" s="2" t="s">
        <v>75</v>
      </c>
      <c r="B23" s="2" t="s">
        <v>76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103B7008</v>
      </c>
      <c r="Y23" t="str">
        <f t="shared" si="0"/>
        <v>0x103B7008,</v>
      </c>
      <c r="Z23" s="37" t="s">
        <v>77</v>
      </c>
    </row>
    <row r="24" spans="1:26">
      <c r="A24" s="2" t="s">
        <v>78</v>
      </c>
      <c r="B24" s="2" t="s">
        <v>79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48BF2F2C</v>
      </c>
      <c r="Y24" t="str">
        <f t="shared" si="0"/>
        <v>0x48BF2F2C,</v>
      </c>
      <c r="Z24" s="37"/>
    </row>
    <row r="25" spans="1:26">
      <c r="A25" s="2" t="s">
        <v>80</v>
      </c>
      <c r="B25" s="2" t="s">
        <v>81</v>
      </c>
      <c r="C25" s="3" t="s">
        <v>51</v>
      </c>
      <c r="D25" s="4"/>
      <c r="E25" s="2" t="s">
        <v>53</v>
      </c>
      <c r="F25" s="2" t="s">
        <v>53</v>
      </c>
      <c r="G25" s="2" t="s">
        <v>53</v>
      </c>
      <c r="H25" s="2" t="s">
        <v>53</v>
      </c>
      <c r="I25" s="2" t="s">
        <v>53</v>
      </c>
      <c r="J25" s="2" t="s">
        <v>53</v>
      </c>
      <c r="K25" s="2" t="s">
        <v>53</v>
      </c>
      <c r="L25" s="2" t="s">
        <v>53</v>
      </c>
      <c r="M25" s="2" t="s">
        <v>53</v>
      </c>
      <c r="N25" s="2" t="s">
        <v>53</v>
      </c>
      <c r="O25" s="2" t="s">
        <v>53</v>
      </c>
      <c r="P25" s="2" t="s">
        <v>53</v>
      </c>
      <c r="Q25" s="2" t="s">
        <v>53</v>
      </c>
      <c r="R25" s="2" t="s">
        <v>53</v>
      </c>
      <c r="S25" s="2" t="s">
        <v>53</v>
      </c>
      <c r="V25" s="35"/>
      <c r="W25" s="34" t="s">
        <v>20</v>
      </c>
      <c r="X25" s="36" t="str">
        <f>L41</f>
        <v>440014A</v>
      </c>
      <c r="Y25" t="str">
        <f t="shared" si="0"/>
        <v>0x0440014A,</v>
      </c>
      <c r="Z25" s="37"/>
    </row>
    <row r="26" spans="1:26">
      <c r="A26" s="2" t="s">
        <v>82</v>
      </c>
      <c r="B26" s="2" t="s">
        <v>83</v>
      </c>
      <c r="C26" s="3" t="s">
        <v>51</v>
      </c>
      <c r="D26" s="4"/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 t="s">
        <v>19</v>
      </c>
      <c r="V26" s="35">
        <v>8</v>
      </c>
      <c r="W26" s="34" t="s">
        <v>13</v>
      </c>
      <c r="X26" s="36" t="str">
        <f>K43</f>
        <v>103B700C</v>
      </c>
      <c r="Y26" t="str">
        <f t="shared" si="0"/>
        <v>0x103B700C,</v>
      </c>
      <c r="Z26" s="37" t="s">
        <v>84</v>
      </c>
    </row>
    <row r="27" spans="1:26">
      <c r="A27" s="2" t="s">
        <v>85</v>
      </c>
      <c r="B27" s="2" t="s">
        <v>86</v>
      </c>
      <c r="C27" s="3" t="s">
        <v>19</v>
      </c>
      <c r="D27" s="4"/>
      <c r="E27" s="2" t="s">
        <v>51</v>
      </c>
      <c r="F27" s="2" t="s">
        <v>51</v>
      </c>
      <c r="G27" s="2" t="s">
        <v>51</v>
      </c>
      <c r="H27" s="2" t="s">
        <v>51</v>
      </c>
      <c r="I27" s="2" t="s">
        <v>51</v>
      </c>
      <c r="J27" s="2" t="s">
        <v>51</v>
      </c>
      <c r="K27" s="2" t="s">
        <v>51</v>
      </c>
      <c r="L27" s="2" t="s">
        <v>51</v>
      </c>
      <c r="M27" s="2" t="s">
        <v>51</v>
      </c>
      <c r="N27" s="2" t="s">
        <v>51</v>
      </c>
      <c r="O27" s="2" t="s">
        <v>51</v>
      </c>
      <c r="P27" s="2" t="s">
        <v>51</v>
      </c>
      <c r="Q27" s="2" t="s">
        <v>51</v>
      </c>
      <c r="R27" s="2" t="s">
        <v>51</v>
      </c>
      <c r="S27" s="2" t="s">
        <v>51</v>
      </c>
      <c r="V27" s="35"/>
      <c r="W27" s="34" t="s">
        <v>16</v>
      </c>
      <c r="X27" s="36" t="str">
        <f>K42</f>
        <v>48BF2F2C</v>
      </c>
      <c r="Y27" t="str">
        <f t="shared" si="0"/>
        <v>0x48BF2F2C,</v>
      </c>
      <c r="Z27" s="37"/>
    </row>
    <row r="28" spans="1:26">
      <c r="A28" s="2" t="s">
        <v>87</v>
      </c>
      <c r="B28" s="2" t="s">
        <v>88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4400106</v>
      </c>
      <c r="Y28" t="str">
        <f t="shared" si="0"/>
        <v>0x04400106,</v>
      </c>
      <c r="Z28" s="37"/>
    </row>
    <row r="29" spans="1:26">
      <c r="A29" s="2" t="s">
        <v>89</v>
      </c>
      <c r="B29" s="2" t="s">
        <v>90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103B700C</v>
      </c>
      <c r="Y29" t="str">
        <f t="shared" si="0"/>
        <v>0x103B700C,</v>
      </c>
      <c r="Z29" s="37" t="s">
        <v>91</v>
      </c>
    </row>
    <row r="30" spans="1:26">
      <c r="A30" s="2" t="s">
        <v>92</v>
      </c>
      <c r="B30" s="2" t="s">
        <v>93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48BF2F2C</v>
      </c>
      <c r="Y30" t="str">
        <f t="shared" si="0"/>
        <v>0x48BF2F2C,</v>
      </c>
      <c r="Z30" s="37"/>
    </row>
    <row r="31" spans="1:26">
      <c r="A31" s="2" t="s">
        <v>94</v>
      </c>
      <c r="B31" s="2" t="s">
        <v>95</v>
      </c>
      <c r="C31" s="3" t="s">
        <v>53</v>
      </c>
      <c r="D31" s="4"/>
      <c r="E31" s="2" t="s">
        <v>96</v>
      </c>
      <c r="F31" s="2" t="s">
        <v>96</v>
      </c>
      <c r="G31" s="2" t="s">
        <v>96</v>
      </c>
      <c r="H31" s="2" t="s">
        <v>96</v>
      </c>
      <c r="I31" s="2" t="s">
        <v>96</v>
      </c>
      <c r="J31" s="2" t="s">
        <v>96</v>
      </c>
      <c r="K31" s="2" t="s">
        <v>96</v>
      </c>
      <c r="L31" s="2" t="s">
        <v>96</v>
      </c>
      <c r="M31" s="2" t="s">
        <v>96</v>
      </c>
      <c r="N31" s="2" t="s">
        <v>96</v>
      </c>
      <c r="O31" s="2" t="s">
        <v>96</v>
      </c>
      <c r="P31" s="2" t="s">
        <v>96</v>
      </c>
      <c r="Q31" s="2" t="s">
        <v>96</v>
      </c>
      <c r="R31" s="2" t="s">
        <v>96</v>
      </c>
      <c r="S31" s="2" t="s">
        <v>96</v>
      </c>
      <c r="V31" s="35"/>
      <c r="W31" s="34" t="s">
        <v>20</v>
      </c>
      <c r="X31" s="36" t="str">
        <f>J41</f>
        <v>440010E</v>
      </c>
      <c r="Y31" t="str">
        <f t="shared" si="0"/>
        <v>0x0440010E,</v>
      </c>
      <c r="Z31" s="37"/>
    </row>
    <row r="32" spans="1:26">
      <c r="A32" s="2" t="s">
        <v>97</v>
      </c>
      <c r="B32" s="2" t="s">
        <v>98</v>
      </c>
      <c r="C32" s="3" t="s">
        <v>25</v>
      </c>
      <c r="D32" s="4"/>
      <c r="E32" s="2" t="s">
        <v>52</v>
      </c>
      <c r="F32" s="2" t="s">
        <v>52</v>
      </c>
      <c r="G32" s="2" t="s">
        <v>52</v>
      </c>
      <c r="H32" s="2" t="s">
        <v>52</v>
      </c>
      <c r="I32" s="2" t="s">
        <v>52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2" t="s">
        <v>52</v>
      </c>
      <c r="P32" s="2" t="s">
        <v>52</v>
      </c>
      <c r="Q32" s="2" t="s">
        <v>52</v>
      </c>
      <c r="R32" s="2" t="s">
        <v>52</v>
      </c>
      <c r="S32" s="2" t="s">
        <v>52</v>
      </c>
      <c r="V32" s="35" t="s">
        <v>99</v>
      </c>
      <c r="W32" s="34" t="s">
        <v>13</v>
      </c>
      <c r="X32" s="36" t="str">
        <f>I43</f>
        <v>103B700F</v>
      </c>
      <c r="Y32" t="str">
        <f t="shared" si="0"/>
        <v>0x103B700F,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51</v>
      </c>
      <c r="D33" s="4"/>
      <c r="E33" s="9" t="s">
        <v>51</v>
      </c>
      <c r="F33" s="9" t="s">
        <v>51</v>
      </c>
      <c r="G33" s="4" t="s">
        <v>51</v>
      </c>
      <c r="H33" s="4" t="s">
        <v>51</v>
      </c>
      <c r="I33" s="4" t="s">
        <v>51</v>
      </c>
      <c r="J33" s="4" t="s">
        <v>51</v>
      </c>
      <c r="K33" s="4" t="s">
        <v>51</v>
      </c>
      <c r="L33" s="4" t="s">
        <v>51</v>
      </c>
      <c r="M33" s="4" t="s">
        <v>51</v>
      </c>
      <c r="N33" s="4" t="s">
        <v>51</v>
      </c>
      <c r="O33" s="4" t="s">
        <v>51</v>
      </c>
      <c r="P33" s="4" t="s">
        <v>51</v>
      </c>
      <c r="Q33" s="4" t="s">
        <v>51</v>
      </c>
      <c r="R33" s="4" t="s">
        <v>51</v>
      </c>
      <c r="S33" s="4" t="s">
        <v>51</v>
      </c>
      <c r="V33" s="35"/>
      <c r="W33" s="34" t="s">
        <v>16</v>
      </c>
      <c r="X33" s="36" t="str">
        <f>I42</f>
        <v>48BF2F2C</v>
      </c>
      <c r="Y33" t="str">
        <f t="shared" si="0"/>
        <v>0x48BF2F2C,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440010A</v>
      </c>
      <c r="Y34" t="str">
        <f t="shared" si="0"/>
        <v>0x0440010A,</v>
      </c>
      <c r="Z34" s="37"/>
    </row>
    <row r="35" spans="1:26">
      <c r="A35" s="2" t="s">
        <v>104</v>
      </c>
      <c r="B35" s="2" t="s">
        <v>105</v>
      </c>
      <c r="C35" s="3" t="s">
        <v>51</v>
      </c>
      <c r="D35" s="4"/>
      <c r="E35" s="2" t="s">
        <v>52</v>
      </c>
      <c r="F35" s="2" t="s">
        <v>52</v>
      </c>
      <c r="G35" s="2" t="s">
        <v>52</v>
      </c>
      <c r="H35" s="2" t="s">
        <v>52</v>
      </c>
      <c r="I35" s="2" t="s">
        <v>52</v>
      </c>
      <c r="J35" s="2" t="s">
        <v>52</v>
      </c>
      <c r="K35" s="2" t="s">
        <v>52</v>
      </c>
      <c r="L35" s="2" t="s">
        <v>52</v>
      </c>
      <c r="M35" s="2" t="s">
        <v>52</v>
      </c>
      <c r="N35" s="2" t="s">
        <v>52</v>
      </c>
      <c r="O35" s="2" t="s">
        <v>52</v>
      </c>
      <c r="P35" s="2" t="s">
        <v>52</v>
      </c>
      <c r="Q35" s="2" t="s">
        <v>52</v>
      </c>
      <c r="R35" s="2" t="s">
        <v>52</v>
      </c>
      <c r="S35" s="2" t="s">
        <v>52</v>
      </c>
      <c r="V35" s="35" t="s">
        <v>106</v>
      </c>
      <c r="W35" s="34" t="s">
        <v>13</v>
      </c>
      <c r="X35" s="36" t="str">
        <f>H43</f>
        <v>103B700F</v>
      </c>
      <c r="Y35" t="str">
        <f t="shared" si="0"/>
        <v>0x103B700F,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53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48BF2F2C</v>
      </c>
      <c r="Y36" t="str">
        <f t="shared" si="0"/>
        <v>0x48BF2F2C,</v>
      </c>
      <c r="Z36" s="37"/>
    </row>
    <row r="37" spans="1:26">
      <c r="A37" s="2" t="s">
        <v>110</v>
      </c>
      <c r="B37" s="2" t="s">
        <v>111</v>
      </c>
      <c r="C37" s="3" t="s">
        <v>53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440016A</v>
      </c>
      <c r="Y37" t="str">
        <f t="shared" si="0"/>
        <v>0x0440016A,</v>
      </c>
      <c r="Z37" s="37"/>
    </row>
    <row r="38" spans="22:26">
      <c r="V38" s="35" t="s">
        <v>112</v>
      </c>
      <c r="W38" s="34" t="s">
        <v>13</v>
      </c>
      <c r="X38" s="36" t="str">
        <f>G43</f>
        <v>103B700F</v>
      </c>
      <c r="Y38" t="str">
        <f t="shared" si="0"/>
        <v>0x103B700F,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48BF2F2C</v>
      </c>
      <c r="Y39" t="str">
        <f t="shared" si="0"/>
        <v>0x48BF2F2C,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4400192</v>
      </c>
      <c r="Y40" t="str">
        <f t="shared" si="0"/>
        <v>0x04400192,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44001FE</v>
      </c>
      <c r="F41" s="13" t="str">
        <f t="shared" si="1"/>
        <v>44001BA</v>
      </c>
      <c r="G41" s="13" t="str">
        <f t="shared" si="1"/>
        <v>4400192</v>
      </c>
      <c r="H41" s="13" t="str">
        <f t="shared" si="1"/>
        <v>440016A</v>
      </c>
      <c r="I41" s="13" t="str">
        <f t="shared" si="1"/>
        <v>440010A</v>
      </c>
      <c r="J41" s="13" t="str">
        <f t="shared" si="1"/>
        <v>440010E</v>
      </c>
      <c r="K41" s="13" t="str">
        <f t="shared" si="1"/>
        <v>4400106</v>
      </c>
      <c r="L41" s="13" t="str">
        <f t="shared" si="1"/>
        <v>440014A</v>
      </c>
      <c r="M41" s="13" t="str">
        <f t="shared" si="1"/>
        <v>4400126</v>
      </c>
      <c r="N41" s="13" t="str">
        <f t="shared" si="1"/>
        <v>440012E</v>
      </c>
      <c r="O41" s="13" t="str">
        <f t="shared" si="1"/>
        <v>440010A</v>
      </c>
      <c r="P41" s="13" t="str">
        <f t="shared" si="1"/>
        <v>44000E6</v>
      </c>
      <c r="Q41" s="13" t="str">
        <f t="shared" si="1"/>
        <v>4400076</v>
      </c>
      <c r="R41" s="13" t="str">
        <f t="shared" si="1"/>
        <v>440006E</v>
      </c>
      <c r="S41" s="13" t="str">
        <f t="shared" si="1"/>
        <v>44000B2</v>
      </c>
      <c r="V41" s="35" t="s">
        <v>117</v>
      </c>
      <c r="W41" s="34" t="s">
        <v>13</v>
      </c>
      <c r="X41" s="36" t="str">
        <f>F43</f>
        <v>103B700F</v>
      </c>
      <c r="Y41" t="str">
        <f t="shared" si="0"/>
        <v>0x103B700F,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48BF2F2C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48BF2F2C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48BF2F2C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48BF2F2C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48BF2F2C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48BF2F2C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48BF2F2C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48BF2F2C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48BF2F2C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48BF2F2C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48BF2F2C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48BF2F2C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48BF2F2C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48BF2F2C</v>
      </c>
      <c r="V42" s="35"/>
      <c r="W42" s="34" t="s">
        <v>16</v>
      </c>
      <c r="X42" s="36" t="str">
        <f>F42</f>
        <v>48BF2F2C</v>
      </c>
      <c r="Y42" t="str">
        <f t="shared" si="0"/>
        <v>0x48BF2F2C,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103B700F</v>
      </c>
      <c r="F43" s="13" t="str">
        <f>DEC2HEX(F37+64*F36+POWER(2,12)*F35+POWER(2,15)*F34+POWER(2,16)*F33+POWER(2,19)*F32+POWER(2,23)*F31+POWER(2,29)*F30+POWER(2,31)*MOD(F29,$C29))</f>
        <v>103B700F</v>
      </c>
      <c r="G43" s="13" t="str">
        <f>DEC2HEX(G37+64*G36+POWER(2,12)*G35+POWER(2,15)*G34+POWER(2,16)*G33+POWER(2,19)*G32+POWER(2,23)*G31+POWER(2,29)*G30+POWER(2,31)*MOD(G29,$C29))</f>
        <v>103B700F</v>
      </c>
      <c r="H43" s="13" t="str">
        <f>DEC2HEX(H37+64*H36+POWER(2,12)*H35+POWER(2,15)*H34+POWER(2,16)*H33+POWER(2,19)*H32+POWER(2,23)*H31+POWER(2,29)*H30+POWER(2,31)*MOD(H29,$C29))</f>
        <v>103B700F</v>
      </c>
      <c r="I43" s="13" t="str">
        <f>DEC2HEX(I37+64*I36+POWER(2,12)*I35+POWER(2,15)*I34+POWER(2,16)*I33+POWER(2,19)*I32+POWER(2,23)*I31+POWER(2,29)*I30+POWER(2,31)*MOD(I29,$C29))</f>
        <v>103B700F</v>
      </c>
      <c r="J43" s="13" t="str">
        <f>DEC2HEX(J37+64*J36+POWER(2,12)*J35+POWER(2,15)*J34+POWER(2,16)*J33+POWER(2,19)*J32+POWER(2,23)*J31+POWER(2,29)*J30+POWER(2,31)*MOD(J29,$C29))</f>
        <v>103B700C</v>
      </c>
      <c r="K43" s="13" t="str">
        <f>DEC2HEX(K37+64*K36+POWER(2,12)*K35+POWER(2,15)*K34+POWER(2,16)*K33+POWER(2,19)*K32+POWER(2,23)*K31+POWER(2,29)*K30+POWER(2,31)*MOD(K29,$C29))</f>
        <v>103B700C</v>
      </c>
      <c r="L43" s="13" t="str">
        <f>DEC2HEX(L37+64*L36+POWER(2,12)*L35+POWER(2,15)*L34+POWER(2,16)*L33+POWER(2,19)*L32+POWER(2,23)*L31+POWER(2,29)*L30+POWER(2,31)*MOD(L29,$C29))</f>
        <v>103B7008</v>
      </c>
      <c r="M43" s="13" t="str">
        <f>DEC2HEX(M37+64*M36+POWER(2,12)*M35+POWER(2,15)*M34+POWER(2,16)*M33+POWER(2,19)*M32+POWER(2,23)*M31+POWER(2,29)*M30+POWER(2,31)*MOD(M29,$C29))</f>
        <v>103B7008</v>
      </c>
      <c r="N43" s="13" t="str">
        <f>DEC2HEX(N37+64*N36+POWER(2,12)*N35+POWER(2,15)*N34+POWER(2,16)*N33+POWER(2,19)*N32+POWER(2,23)*N31+POWER(2,29)*N30+POWER(2,31)*MOD(N29,$C29))</f>
        <v>103B7004</v>
      </c>
      <c r="O43" s="13" t="str">
        <f>DEC2HEX(O37+64*O36+POWER(2,12)*O35+POWER(2,15)*O34+POWER(2,16)*O33+POWER(2,19)*O32+POWER(2,23)*O31+POWER(2,29)*O30+POWER(2,31)*MOD(O29,$C29))</f>
        <v>103B7004</v>
      </c>
      <c r="P43" s="13" t="str">
        <f>DEC2HEX(P37+64*P36+POWER(2,12)*P35+POWER(2,15)*P34+POWER(2,16)*P33+POWER(2,19)*P32+POWER(2,23)*P31+POWER(2,29)*P30+POWER(2,31)*MOD(P29,$C29))</f>
        <v>103B7004</v>
      </c>
      <c r="Q43" s="13" t="str">
        <f>DEC2HEX(Q37+64*Q36+POWER(2,12)*Q35+POWER(2,15)*Q34+POWER(2,16)*Q33+POWER(2,19)*Q32+POWER(2,23)*Q31+POWER(2,29)*Q30+POWER(2,31)*MOD(Q29,$C29))</f>
        <v>103B7004</v>
      </c>
      <c r="R43" s="13" t="str">
        <f>DEC2HEX(R37+64*R36+POWER(2,12)*R35+POWER(2,15)*R34+POWER(2,16)*R33+POWER(2,19)*R32+POWER(2,23)*R31+POWER(2,29)*R30+POWER(2,31)*MOD(R29,$C29))</f>
        <v>103B7004</v>
      </c>
      <c r="S43" s="13" t="str">
        <f>DEC2HEX(S37+64*S36+POWER(2,12)*S35+POWER(2,15)*S34+POWER(2,16)*S33+POWER(2,19)*S32+POWER(2,23)*S31+POWER(2,29)*S30+POWER(2,31)*MOD(S29,$C29))</f>
        <v>103B7002</v>
      </c>
      <c r="V43" s="35"/>
      <c r="W43" s="34" t="s">
        <v>20</v>
      </c>
      <c r="X43" s="36" t="str">
        <f>F41</f>
        <v>44001BA</v>
      </c>
      <c r="Y43" t="str">
        <f t="shared" si="0"/>
        <v>0x044001BA,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103B700F</v>
      </c>
      <c r="Y44" t="str">
        <f t="shared" si="0"/>
        <v>0x103B700F,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48BF2F2C</v>
      </c>
      <c r="Y45" t="str">
        <f t="shared" si="0"/>
        <v>0x48BF2F2C,</v>
      </c>
      <c r="Z45" s="37"/>
    </row>
    <row r="46" spans="1:26">
      <c r="A46" s="16"/>
      <c r="B46" s="15"/>
      <c r="C46" s="15"/>
      <c r="D46" s="17"/>
      <c r="E46" s="17"/>
      <c r="F46" s="17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44001FE</v>
      </c>
      <c r="Y46" t="str">
        <f t="shared" si="0"/>
        <v>0x044001FE,</v>
      </c>
      <c r="Z46" s="37"/>
    </row>
    <row r="47" spans="1:26">
      <c r="A47" s="15"/>
      <c r="B47" s="18"/>
      <c r="C47" s="18"/>
      <c r="D47" s="18"/>
      <c r="E47" s="19"/>
      <c r="F47" s="18"/>
      <c r="G47" s="20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4"/>
    </row>
    <row r="51" spans="1:6">
      <c r="A51" s="16"/>
      <c r="B51" s="16"/>
      <c r="C51" s="16"/>
      <c r="D51" s="16"/>
      <c r="E51" s="16"/>
      <c r="F51" s="16"/>
    </row>
    <row r="52" spans="1:6">
      <c r="A52" s="16"/>
      <c r="B52" s="16"/>
      <c r="C52" s="16"/>
      <c r="D52" s="16"/>
      <c r="E52" s="25"/>
      <c r="F52" s="16"/>
    </row>
    <row r="53" spans="1:5">
      <c r="A53" s="26"/>
      <c r="B53" s="26"/>
      <c r="C53" s="26"/>
      <c r="D53" s="26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CH42</vt:lpstr>
      <vt:lpstr>CH58</vt:lpstr>
      <vt:lpstr>CH106</vt:lpstr>
      <vt:lpstr>CH122</vt:lpstr>
      <vt:lpstr>CH138</vt:lpstr>
      <vt:lpstr>CH155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2024-08-13T06:13:37Z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