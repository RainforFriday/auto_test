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3"/>
  </bookViews>
  <sheets>
    <sheet name="CH42" sheetId="1" r:id="rId1"/>
    <sheet name="CH58" sheetId="4" r:id="rId2"/>
    <sheet name="CH106" sheetId="2" r:id="rId3"/>
    <sheet name="CH122" sheetId="5" r:id="rId4"/>
    <sheet name="CH138" sheetId="6" r:id="rId5"/>
    <sheet name="CH155" sheetId="7" r:id="rId6"/>
  </sheets>
  <calcPr calcId="144525"/>
</workbook>
</file>

<file path=xl/sharedStrings.xml><?xml version="1.0" encoding="utf-8"?>
<sst xmlns="http://schemas.openxmlformats.org/spreadsheetml/2006/main" count="4380" uniqueCount="125">
  <si>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</si>
  <si>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</si>
  <si>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</si>
  <si>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</si>
  <si>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</si>
  <si>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</si>
  <si>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</si>
  <si>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</si>
  <si>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</si>
  <si>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</si>
  <si>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</si>
  <si>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</si>
  <si>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</si>
  <si>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</si>
  <si>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</si>
  <si>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</si>
  <si>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</si>
  <si>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</si>
  <si>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</si>
  <si>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</si>
  <si>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</si>
  <si>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</si>
  <si>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</si>
  <si>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</si>
  <si>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</si>
  <si>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</si>
  <si>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</si>
  <si>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</si>
  <si>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</si>
  <si>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</si>
  <si>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</si>
  <si>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</si>
  <si>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</si>
  <si>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</si>
  <si>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</si>
  <si>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</si>
  <si>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</si>
  <si>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</si>
  <si>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</si>
  <si>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</si>
  <si>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</si>
  <si>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</si>
  <si>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11</t>
  </si>
  <si>
    <t>13</t>
  </si>
  <si>
    <t>10</t>
  </si>
  <si>
    <t>12</t>
  </si>
  <si>
    <t>14</t>
  </si>
  <si>
    <t>9</t>
  </si>
  <si>
    <t>5</t>
  </si>
  <si>
    <t>3</t>
  </si>
  <si>
    <t>wf_dtmx_dac_gbit1</t>
  </si>
  <si>
    <t>68:66</t>
  </si>
  <si>
    <t>6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</si>
  <si>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</si>
  <si>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</si>
  <si>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</si>
  <si>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</si>
  <si>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</si>
  <si>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</si>
  <si>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</si>
  <si>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</si>
  <si>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</si>
  <si>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</si>
  <si>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</si>
  <si>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</si>
  <si>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</si>
  <si>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</si>
  <si>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</si>
  <si>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</si>
  <si>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</si>
  <si>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</si>
  <si>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</si>
  <si>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</si>
  <si>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</si>
  <si>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</si>
  <si>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</si>
  <si>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</si>
  <si>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</si>
  <si>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</si>
  <si>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</si>
  <si>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</si>
  <si>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</si>
  <si>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</si>
  <si>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</si>
  <si>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</si>
  <si>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</si>
  <si>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</si>
  <si>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</si>
  <si>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</si>
  <si>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</si>
  <si>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</si>
  <si>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</si>
  <si>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</si>
  <si>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</si>
  <si>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</si>
  <si>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</si>
  <si>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</si>
  <si>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</si>
  <si>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7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</si>
  <si>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</si>
  <si>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</si>
  <si>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</si>
  <si>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</si>
  <si>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</si>
  <si>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</si>
  <si>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</si>
  <si>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</si>
  <si>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</si>
  <si>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</si>
  <si>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</si>
  <si>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</si>
  <si>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</si>
  <si>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</si>
  <si>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</si>
  <si>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APC_5G_MCS7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</si>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</sst>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5" fillId="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7" fillId="11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2" borderId="3">
      <alignment vertical="center"/>
    </xf>
    <xf numFmtId="0" fontId="7" fillId="13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4" borderId="0">
      <alignment vertical="center"/>
    </xf>
    <xf numFmtId="0" fontId="10" fillId="0" borderId="5">
      <alignment vertical="center"/>
    </xf>
    <xf numFmtId="0" fontId="7" fillId="15" borderId="0">
      <alignment vertical="center"/>
    </xf>
    <xf numFmtId="0" fontId="16" fillId="16" borderId="6">
      <alignment vertical="center"/>
    </xf>
    <xf numFmtId="0" fontId="17" fillId="16" borderId="2">
      <alignment vertical="center"/>
    </xf>
    <xf numFmtId="0" fontId="18" fillId="17" borderId="7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7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7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7" fillId="34" borderId="0">
      <alignment vertical="center"/>
    </xf>
    <xf numFmtId="0" fontId="4" fillId="35" borderId="0">
      <alignment vertical="center"/>
    </xf>
    <xf numFmtId="0" fontId="7" fillId="36" borderId="0">
      <alignment vertical="center"/>
    </xf>
  </cellStyleXfs>
  <cellXfs count="4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 applyFill="1"/>
    <xf numFmtId="0" fontId="0" fillId="0" borderId="0" xfId="0" applyFill="1"/>
    <xf numFmtId="0" fontId="2" fillId="0" borderId="0" xfId="0" applyFont="1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6" borderId="0" xfId="31" applyFont="1" applyFill="1">
      <alignment vertic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E12" sqref="E12:G12"/>
    </sheetView>
  </sheetViews>
  <sheetFormatPr defaultColWidth="9" defaultRowHeight="14.25"/>
  <cols>
    <col min="1" max="1" width="24.625" customWidth="1"/>
    <col min="4" max="4" width="14.875" customWidth="1"/>
    <col min="19" max="19" width="10.37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F03A7004</v>
      </c>
      <c r="Y2" t="str">
        <f>"0x"&amp;RIGHT("00000000"&amp;X2,8)&amp;","</f>
        <v>0xF03A7004,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48BF4F4D</v>
      </c>
      <c r="Y3" t="str">
        <f t="shared" ref="Y3:Y49" si="0">"0x"&amp;RIGHT("00000000"&amp;X3,8)&amp;","</f>
        <v>0x48BF4F4D,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F03A7004</v>
      </c>
      <c r="Y5" t="str">
        <f t="shared" si="0"/>
        <v>0xF03A7004,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48BF4F4D</v>
      </c>
      <c r="Y6" t="str">
        <f t="shared" si="0"/>
        <v>0x48BF4F4D,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F03A7004</v>
      </c>
      <c r="Y8" t="str">
        <f t="shared" si="0"/>
        <v>0xF03A7004,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48BF4F4D</v>
      </c>
      <c r="Y9" t="str">
        <f t="shared" si="0"/>
        <v>0x48BF4F4D,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F03A7004</v>
      </c>
      <c r="Y11" t="str">
        <f t="shared" si="0"/>
        <v>0xF03A7004,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49</v>
      </c>
      <c r="V12" s="35"/>
      <c r="W12" s="34" t="s">
        <v>16</v>
      </c>
      <c r="X12" s="36" t="str">
        <f>P42</f>
        <v>48BF4F4D</v>
      </c>
      <c r="Y12" t="str">
        <f t="shared" si="0"/>
        <v>0x48BF4F4D,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4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3" t="s">
        <v>19</v>
      </c>
      <c r="Q13" s="33" t="s">
        <v>11</v>
      </c>
      <c r="R13" s="5" t="s">
        <v>49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F03A7004</v>
      </c>
      <c r="Y14" t="str">
        <f t="shared" si="0"/>
        <v>0xF03A7004,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48BF4F4D</v>
      </c>
      <c r="Y15" t="str">
        <f t="shared" si="0"/>
        <v>0x48BF4F4D,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F03A7004</v>
      </c>
      <c r="Y17" t="str">
        <f t="shared" si="0"/>
        <v>0xF03A7004,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48BF4F4D</v>
      </c>
      <c r="Y18" t="str">
        <f t="shared" si="0"/>
        <v>0x48BF4F4D,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F03A7004</v>
      </c>
      <c r="Y20" t="str">
        <f t="shared" si="0"/>
        <v>0xF03A7004,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48BF4F4D</v>
      </c>
      <c r="Y21" t="str">
        <f t="shared" si="0"/>
        <v>0x48BF4F4D,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F03A7005</v>
      </c>
      <c r="Y23" t="str">
        <f t="shared" si="0"/>
        <v>0xF03A7005,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48BF4F4D</v>
      </c>
      <c r="Y24" t="str">
        <f t="shared" si="0"/>
        <v>0x48BF4F4D,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F03A700C</v>
      </c>
      <c r="Y26" t="str">
        <f t="shared" si="0"/>
        <v>0xF03A700C,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48BF4F4D</v>
      </c>
      <c r="Y27" t="str">
        <f t="shared" si="0"/>
        <v>0x48BF4F4D,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49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49</v>
      </c>
      <c r="N29" s="2" t="s">
        <v>49</v>
      </c>
      <c r="O29" s="2" t="s">
        <v>49</v>
      </c>
      <c r="P29" s="2" t="s">
        <v>49</v>
      </c>
      <c r="Q29" s="2" t="s">
        <v>49</v>
      </c>
      <c r="R29" s="2" t="s">
        <v>49</v>
      </c>
      <c r="S29" s="2" t="s">
        <v>49</v>
      </c>
      <c r="V29" s="35">
        <v>9</v>
      </c>
      <c r="W29" s="34" t="s">
        <v>13</v>
      </c>
      <c r="X29" s="36" t="str">
        <f>J43</f>
        <v>F03A700C</v>
      </c>
      <c r="Y29" t="str">
        <f t="shared" si="0"/>
        <v>0xF03A700C,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5"/>
      <c r="W30" s="34" t="s">
        <v>16</v>
      </c>
      <c r="X30" s="36" t="str">
        <f>J42</f>
        <v>48BF4F4D</v>
      </c>
      <c r="Y30" t="str">
        <f t="shared" si="0"/>
        <v>0x48BF4F4D,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41</v>
      </c>
      <c r="F32" s="4" t="s">
        <v>41</v>
      </c>
      <c r="G32" s="2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F03A700F</v>
      </c>
      <c r="Y32" t="str">
        <f t="shared" si="0"/>
        <v>0xF03A700F,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48</v>
      </c>
      <c r="F33" s="4" t="s">
        <v>48</v>
      </c>
      <c r="G33" s="2" t="s">
        <v>48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48BF4F4D</v>
      </c>
      <c r="Y33" t="str">
        <f t="shared" si="0"/>
        <v>0x48BF4F4D,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F03A700F</v>
      </c>
      <c r="Y35" t="str">
        <f t="shared" si="0"/>
        <v>0xF03A700F,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48BF4F4D</v>
      </c>
      <c r="Y36" t="str">
        <f t="shared" si="0"/>
        <v>0x48BF4F4D,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F07D700F</v>
      </c>
      <c r="Y38" t="str">
        <f t="shared" si="0"/>
        <v>0xF07D700F,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48BF4F4D</v>
      </c>
      <c r="Y39" t="str">
        <f t="shared" si="0"/>
        <v>0x48BF4F4D,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F07D700F</v>
      </c>
      <c r="Y41" t="str">
        <f t="shared" si="0"/>
        <v>0xF07D700F,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5"/>
      <c r="W42" s="34" t="s">
        <v>16</v>
      </c>
      <c r="X42" s="36" t="str">
        <f>F42</f>
        <v>48BF4F4D</v>
      </c>
      <c r="Y42" t="str">
        <f t="shared" si="0"/>
        <v>0x48BF4F4D,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F07D700F</v>
      </c>
      <c r="F43" s="13" t="str">
        <f>DEC2HEX(F37+64*F36+POWER(2,12)*F35+POWER(2,15)*F34+POWER(2,16)*F33+POWER(2,19)*F32+POWER(2,23)*F31+POWER(2,29)*F30+POWER(2,31)*MOD(F29,$C29))</f>
        <v>F07D700F</v>
      </c>
      <c r="G43" s="13" t="str">
        <f>DEC2HEX(G37+64*G36+POWER(2,12)*G35+POWER(2,15)*G34+POWER(2,16)*G33+POWER(2,19)*G32+POWER(2,23)*G31+POWER(2,29)*G30+POWER(2,31)*MOD(G29,$C29))</f>
        <v>F07D700F</v>
      </c>
      <c r="H43" s="13" t="str">
        <f>DEC2HEX(H37+64*H36+POWER(2,12)*H35+POWER(2,15)*H34+POWER(2,16)*H33+POWER(2,19)*H32+POWER(2,23)*H31+POWER(2,29)*H30+POWER(2,31)*MOD(H29,$C29))</f>
        <v>F03A700F</v>
      </c>
      <c r="I43" s="13" t="str">
        <f>DEC2HEX(I37+64*I36+POWER(2,12)*I35+POWER(2,15)*I34+POWER(2,16)*I33+POWER(2,19)*I32+POWER(2,23)*I31+POWER(2,29)*I30+POWER(2,31)*MOD(I29,$C29))</f>
        <v>F03A700F</v>
      </c>
      <c r="J43" s="13" t="str">
        <f>DEC2HEX(J37+64*J36+POWER(2,12)*J35+POWER(2,15)*J34+POWER(2,16)*J33+POWER(2,19)*J32+POWER(2,23)*J31+POWER(2,29)*J30+POWER(2,31)*MOD(J29,$C29))</f>
        <v>F03A700C</v>
      </c>
      <c r="K43" s="13" t="str">
        <f>DEC2HEX(K37+64*K36+POWER(2,12)*K35+POWER(2,15)*K34+POWER(2,16)*K33+POWER(2,19)*K32+POWER(2,23)*K31+POWER(2,29)*K30+POWER(2,31)*MOD(K29,$C29))</f>
        <v>F03A700C</v>
      </c>
      <c r="L43" s="13" t="str">
        <f>DEC2HEX(L37+64*L36+POWER(2,12)*L35+POWER(2,15)*L34+POWER(2,16)*L33+POWER(2,19)*L32+POWER(2,23)*L31+POWER(2,29)*L30+POWER(2,31)*MOD(L29,$C29))</f>
        <v>F03A7005</v>
      </c>
      <c r="M43" s="13" t="str">
        <f>DEC2HEX(M37+64*M36+POWER(2,12)*M35+POWER(2,15)*M34+POWER(2,16)*M33+POWER(2,19)*M32+POWER(2,23)*M31+POWER(2,29)*M30+POWER(2,31)*MOD(M29,$C29))</f>
        <v>F03A7004</v>
      </c>
      <c r="N43" s="13" t="str">
        <f>DEC2HEX(N37+64*N36+POWER(2,12)*N35+POWER(2,15)*N34+POWER(2,16)*N33+POWER(2,19)*N32+POWER(2,23)*N31+POWER(2,29)*N30+POWER(2,31)*MOD(N29,$C29))</f>
        <v>F03A7004</v>
      </c>
      <c r="O43" s="13" t="str">
        <f>DEC2HEX(O37+64*O36+POWER(2,12)*O35+POWER(2,15)*O34+POWER(2,16)*O33+POWER(2,19)*O32+POWER(2,23)*O31+POWER(2,29)*O30+POWER(2,31)*MOD(O29,$C29))</f>
        <v>F03A7004</v>
      </c>
      <c r="P43" s="13" t="str">
        <f>DEC2HEX(P37+64*P36+POWER(2,12)*P35+POWER(2,15)*P34+POWER(2,16)*P33+POWER(2,19)*P32+POWER(2,23)*P31+POWER(2,29)*P30+POWER(2,31)*MOD(P29,$C29))</f>
        <v>F03A7004</v>
      </c>
      <c r="Q43" s="13" t="str">
        <f>DEC2HEX(Q37+64*Q36+POWER(2,12)*Q35+POWER(2,15)*Q34+POWER(2,16)*Q33+POWER(2,19)*Q32+POWER(2,23)*Q31+POWER(2,29)*Q30+POWER(2,31)*MOD(Q29,$C29))</f>
        <v>F03A7004</v>
      </c>
      <c r="R43" s="13" t="str">
        <f>DEC2HEX(R37+64*R36+POWER(2,12)*R35+POWER(2,15)*R34+POWER(2,16)*R33+POWER(2,19)*R32+POWER(2,23)*R31+POWER(2,29)*R30+POWER(2,31)*MOD(R29,$C29))</f>
        <v>F03A7004</v>
      </c>
      <c r="S43" s="13" t="str">
        <f>DEC2HEX(S37+64*S36+POWER(2,12)*S35+POWER(2,15)*S34+POWER(2,16)*S33+POWER(2,19)*S32+POWER(2,23)*S31+POWER(2,29)*S30+POWER(2,31)*MOD(S29,$C29))</f>
        <v>F03A7004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F07D700F</v>
      </c>
      <c r="Y44" t="str">
        <f t="shared" si="0"/>
        <v>0xF07D700F,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48BF4F4D</v>
      </c>
      <c r="Y45" t="str">
        <f t="shared" si="0"/>
        <v>0x48BF4F4D,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D20" sqref="D20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703A7004</v>
      </c>
      <c r="Y2" t="str">
        <f t="shared" ref="Y2:Y49" si="0">"0x"&amp;RIGHT("00000000"&amp;X2,8)&amp;","</f>
        <v>0x703A7004,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48BF4F4D</v>
      </c>
      <c r="Y3" t="str">
        <f t="shared" si="0"/>
        <v>0x48BF4F4D,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703A7004</v>
      </c>
      <c r="Y5" t="str">
        <f t="shared" si="0"/>
        <v>0x703A7004,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48BF4F4D</v>
      </c>
      <c r="Y6" t="str">
        <f t="shared" si="0"/>
        <v>0x48BF4F4D,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703A7004</v>
      </c>
      <c r="Y8" t="str">
        <f t="shared" si="0"/>
        <v>0x703A7004,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48BF4F4D</v>
      </c>
      <c r="Y9" t="str">
        <f t="shared" si="0"/>
        <v>0x48BF4F4D,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703A7004</v>
      </c>
      <c r="Y11" t="str">
        <f t="shared" si="0"/>
        <v>0x703A7004,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49</v>
      </c>
      <c r="V12" s="35"/>
      <c r="W12" s="34" t="s">
        <v>16</v>
      </c>
      <c r="X12" s="36" t="str">
        <f>P42</f>
        <v>48BF4F4D</v>
      </c>
      <c r="Y12" t="str">
        <f t="shared" si="0"/>
        <v>0x48BF4F4D,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7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3" t="s">
        <v>19</v>
      </c>
      <c r="Q13" s="33" t="s">
        <v>11</v>
      </c>
      <c r="R13" s="5" t="s">
        <v>49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703A7004</v>
      </c>
      <c r="Y14" t="str">
        <f t="shared" si="0"/>
        <v>0x703A7004,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48BF4F4D</v>
      </c>
      <c r="Y15" t="str">
        <f t="shared" si="0"/>
        <v>0x48BF4F4D,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703A7004</v>
      </c>
      <c r="Y17" t="str">
        <f t="shared" si="0"/>
        <v>0x703A7004,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48BF4F4D</v>
      </c>
      <c r="Y18" t="str">
        <f t="shared" si="0"/>
        <v>0x48BF4F4D,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703A7004</v>
      </c>
      <c r="Y20" t="str">
        <f t="shared" si="0"/>
        <v>0x703A7004,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48BF4F4D</v>
      </c>
      <c r="Y21" t="str">
        <f t="shared" si="0"/>
        <v>0x48BF4F4D,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703A7005</v>
      </c>
      <c r="Y23" t="str">
        <f t="shared" si="0"/>
        <v>0x703A7005,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48BF4F4D</v>
      </c>
      <c r="Y24" t="str">
        <f t="shared" si="0"/>
        <v>0x48BF4F4D,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703A700C</v>
      </c>
      <c r="Y26" t="str">
        <f t="shared" si="0"/>
        <v>0x703A700C,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48BF4F4D</v>
      </c>
      <c r="Y27" t="str">
        <f t="shared" si="0"/>
        <v>0x48BF4F4D,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V29" s="35">
        <v>9</v>
      </c>
      <c r="W29" s="34" t="s">
        <v>13</v>
      </c>
      <c r="X29" s="36" t="str">
        <f>J43</f>
        <v>703A700C</v>
      </c>
      <c r="Y29" t="str">
        <f t="shared" si="0"/>
        <v>0x703A700C,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5"/>
      <c r="W30" s="34" t="s">
        <v>16</v>
      </c>
      <c r="X30" s="36" t="str">
        <f>J42</f>
        <v>48BF4F4D</v>
      </c>
      <c r="Y30" t="str">
        <f t="shared" si="0"/>
        <v>0x48BF4F4D,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41</v>
      </c>
      <c r="F32" s="4" t="s">
        <v>41</v>
      </c>
      <c r="G32" s="2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703A700F</v>
      </c>
      <c r="Y32" t="str">
        <f t="shared" si="0"/>
        <v>0x703A700F,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48</v>
      </c>
      <c r="F33" s="4" t="s">
        <v>48</v>
      </c>
      <c r="G33" s="2" t="s">
        <v>48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48BF4F4D</v>
      </c>
      <c r="Y33" t="str">
        <f t="shared" si="0"/>
        <v>0x48BF4F4D,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703A700F</v>
      </c>
      <c r="Y35" t="str">
        <f t="shared" si="0"/>
        <v>0x703A700F,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48BF4F4D</v>
      </c>
      <c r="Y36" t="str">
        <f t="shared" si="0"/>
        <v>0x48BF4F4D,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707D700F</v>
      </c>
      <c r="Y38" t="str">
        <f t="shared" si="0"/>
        <v>0x707D700F,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48BF4F4D</v>
      </c>
      <c r="Y39" t="str">
        <f t="shared" si="0"/>
        <v>0x48BF4F4D,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707D700F</v>
      </c>
      <c r="Y41" t="str">
        <f t="shared" si="0"/>
        <v>0x707D700F,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5"/>
      <c r="W42" s="34" t="s">
        <v>16</v>
      </c>
      <c r="X42" s="36" t="str">
        <f>F42</f>
        <v>48BF4F4D</v>
      </c>
      <c r="Y42" t="str">
        <f t="shared" si="0"/>
        <v>0x48BF4F4D,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707D700F</v>
      </c>
      <c r="F43" s="13" t="str">
        <f>DEC2HEX(F37+64*F36+POWER(2,12)*F35+POWER(2,15)*F34+POWER(2,16)*F33+POWER(2,19)*F32+POWER(2,23)*F31+POWER(2,29)*F30+POWER(2,31)*MOD(F29,$C29))</f>
        <v>707D700F</v>
      </c>
      <c r="G43" s="13" t="str">
        <f>DEC2HEX(G37+64*G36+POWER(2,12)*G35+POWER(2,15)*G34+POWER(2,16)*G33+POWER(2,19)*G32+POWER(2,23)*G31+POWER(2,29)*G30+POWER(2,31)*MOD(G29,$C29))</f>
        <v>707D700F</v>
      </c>
      <c r="H43" s="13" t="str">
        <f>DEC2HEX(H37+64*H36+POWER(2,12)*H35+POWER(2,15)*H34+POWER(2,16)*H33+POWER(2,19)*H32+POWER(2,23)*H31+POWER(2,29)*H30+POWER(2,31)*MOD(H29,$C29))</f>
        <v>703A700F</v>
      </c>
      <c r="I43" s="13" t="str">
        <f>DEC2HEX(I37+64*I36+POWER(2,12)*I35+POWER(2,15)*I34+POWER(2,16)*I33+POWER(2,19)*I32+POWER(2,23)*I31+POWER(2,29)*I30+POWER(2,31)*MOD(I29,$C29))</f>
        <v>703A700F</v>
      </c>
      <c r="J43" s="13" t="str">
        <f>DEC2HEX(J37+64*J36+POWER(2,12)*J35+POWER(2,15)*J34+POWER(2,16)*J33+POWER(2,19)*J32+POWER(2,23)*J31+POWER(2,29)*J30+POWER(2,31)*MOD(J29,$C29))</f>
        <v>703A700C</v>
      </c>
      <c r="K43" s="13" t="str">
        <f>DEC2HEX(K37+64*K36+POWER(2,12)*K35+POWER(2,15)*K34+POWER(2,16)*K33+POWER(2,19)*K32+POWER(2,23)*K31+POWER(2,29)*K30+POWER(2,31)*MOD(K29,$C29))</f>
        <v>703A700C</v>
      </c>
      <c r="L43" s="13" t="str">
        <f>DEC2HEX(L37+64*L36+POWER(2,12)*L35+POWER(2,15)*L34+POWER(2,16)*L33+POWER(2,19)*L32+POWER(2,23)*L31+POWER(2,29)*L30+POWER(2,31)*MOD(L29,$C29))</f>
        <v>703A7005</v>
      </c>
      <c r="M43" s="13" t="str">
        <f>DEC2HEX(M37+64*M36+POWER(2,12)*M35+POWER(2,15)*M34+POWER(2,16)*M33+POWER(2,19)*M32+POWER(2,23)*M31+POWER(2,29)*M30+POWER(2,31)*MOD(M29,$C29))</f>
        <v>703A7004</v>
      </c>
      <c r="N43" s="13" t="str">
        <f>DEC2HEX(N37+64*N36+POWER(2,12)*N35+POWER(2,15)*N34+POWER(2,16)*N33+POWER(2,19)*N32+POWER(2,23)*N31+POWER(2,29)*N30+POWER(2,31)*MOD(N29,$C29))</f>
        <v>703A7004</v>
      </c>
      <c r="O43" s="13" t="str">
        <f>DEC2HEX(O37+64*O36+POWER(2,12)*O35+POWER(2,15)*O34+POWER(2,16)*O33+POWER(2,19)*O32+POWER(2,23)*O31+POWER(2,29)*O30+POWER(2,31)*MOD(O29,$C29))</f>
        <v>703A7004</v>
      </c>
      <c r="P43" s="13" t="str">
        <f>DEC2HEX(P37+64*P36+POWER(2,12)*P35+POWER(2,15)*P34+POWER(2,16)*P33+POWER(2,19)*P32+POWER(2,23)*P31+POWER(2,29)*P30+POWER(2,31)*MOD(P29,$C29))</f>
        <v>703A7004</v>
      </c>
      <c r="Q43" s="13" t="str">
        <f>DEC2HEX(Q37+64*Q36+POWER(2,12)*Q35+POWER(2,15)*Q34+POWER(2,16)*Q33+POWER(2,19)*Q32+POWER(2,23)*Q31+POWER(2,29)*Q30+POWER(2,31)*MOD(Q29,$C29))</f>
        <v>703A7004</v>
      </c>
      <c r="R43" s="13" t="str">
        <f>DEC2HEX(R37+64*R36+POWER(2,12)*R35+POWER(2,15)*R34+POWER(2,16)*R33+POWER(2,19)*R32+POWER(2,23)*R31+POWER(2,29)*R30+POWER(2,31)*MOD(R29,$C29))</f>
        <v>703A7004</v>
      </c>
      <c r="S43" s="13" t="str">
        <f>DEC2HEX(S37+64*S36+POWER(2,12)*S35+POWER(2,15)*S34+POWER(2,16)*S33+POWER(2,19)*S32+POWER(2,23)*S31+POWER(2,29)*S30+POWER(2,31)*MOD(S29,$C29))</f>
        <v>703A7004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707D700F</v>
      </c>
      <c r="Y44" t="str">
        <f t="shared" si="0"/>
        <v>0x707D700F,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48BF4F4D</v>
      </c>
      <c r="Y45" t="str">
        <f t="shared" si="0"/>
        <v>0x48BF4F4D,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2:26"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F22" sqref="F22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ref="Y3:Y49" si="0">"0x"&amp;RIGHT("00000000"&amp;X3,8)&amp;","</f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44080B2</v>
      </c>
      <c r="Y4" t="str">
        <f t="shared" si="0"/>
        <v>0x044080B2,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440806E</v>
      </c>
      <c r="Y7" t="str">
        <f t="shared" si="0"/>
        <v>0x0440806E,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4408076</v>
      </c>
      <c r="Y10" t="str">
        <f t="shared" si="0"/>
        <v>0x04408076,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44080E6</v>
      </c>
      <c r="Y13" t="str">
        <f t="shared" si="0"/>
        <v>0x044080E6,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440810A</v>
      </c>
      <c r="Y16" t="str">
        <f t="shared" si="0"/>
        <v>0x0440810A,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440812E</v>
      </c>
      <c r="Y19" t="str">
        <f t="shared" si="0"/>
        <v>0x0440812E,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4408126</v>
      </c>
      <c r="Y22" t="str">
        <f t="shared" si="0"/>
        <v>0x04408126,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440814A</v>
      </c>
      <c r="Y25" t="str">
        <f t="shared" si="0"/>
        <v>0x0440814A,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4408106</v>
      </c>
      <c r="Y28" t="str">
        <f t="shared" si="0"/>
        <v>0x04408106,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440810E</v>
      </c>
      <c r="Y31" t="str">
        <f t="shared" si="0"/>
        <v>0x0440810E,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48</v>
      </c>
      <c r="F33" s="9" t="s">
        <v>48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440810A</v>
      </c>
      <c r="Y34" t="str">
        <f t="shared" si="0"/>
        <v>0x0440810A,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440816A</v>
      </c>
      <c r="Y37" t="str">
        <f t="shared" si="0"/>
        <v>0x0440816A,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4408192</v>
      </c>
      <c r="Y40" t="str">
        <f t="shared" si="0"/>
        <v>0x04408192,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44081FE</v>
      </c>
      <c r="F41" s="13" t="str">
        <f t="shared" si="1"/>
        <v>44081DA</v>
      </c>
      <c r="G41" s="13" t="str">
        <f t="shared" si="1"/>
        <v>4408192</v>
      </c>
      <c r="H41" s="13" t="str">
        <f t="shared" si="1"/>
        <v>440816A</v>
      </c>
      <c r="I41" s="13" t="str">
        <f t="shared" si="1"/>
        <v>440810A</v>
      </c>
      <c r="J41" s="13" t="str">
        <f t="shared" si="1"/>
        <v>440810E</v>
      </c>
      <c r="K41" s="13" t="str">
        <f t="shared" si="1"/>
        <v>4408106</v>
      </c>
      <c r="L41" s="13" t="str">
        <f t="shared" si="1"/>
        <v>440814A</v>
      </c>
      <c r="M41" s="13" t="str">
        <f t="shared" si="1"/>
        <v>4408126</v>
      </c>
      <c r="N41" s="13" t="str">
        <f t="shared" si="1"/>
        <v>440812E</v>
      </c>
      <c r="O41" s="13" t="str">
        <f t="shared" si="1"/>
        <v>440810A</v>
      </c>
      <c r="P41" s="13" t="str">
        <f t="shared" si="1"/>
        <v>44080E6</v>
      </c>
      <c r="Q41" s="13" t="str">
        <f t="shared" si="1"/>
        <v>4408076</v>
      </c>
      <c r="R41" s="13" t="str">
        <f t="shared" si="1"/>
        <v>440806E</v>
      </c>
      <c r="S41" s="13" t="str">
        <f t="shared" si="1"/>
        <v>44080B2</v>
      </c>
      <c r="V41" s="35" t="s">
        <v>117</v>
      </c>
      <c r="W41" s="34" t="s">
        <v>13</v>
      </c>
      <c r="X41" s="36" t="str">
        <f>F43</f>
        <v>103D700F</v>
      </c>
      <c r="Y41" t="str">
        <f t="shared" si="0"/>
        <v>0x103D700F,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103D700F</v>
      </c>
      <c r="F43" s="13" t="str">
        <f>DEC2HEX(F37+64*F36+POWER(2,12)*F35+POWER(2,15)*F34+POWER(2,16)*F33+POWER(2,19)*F32+POWER(2,23)*F31+POWER(2,29)*F30+POWER(2,31)*MOD(F29,$C29))</f>
        <v>103D700F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44081DA</v>
      </c>
      <c r="Y43" t="str">
        <f t="shared" si="0"/>
        <v>0x044081DA,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103D700F</v>
      </c>
      <c r="Y44" t="str">
        <f t="shared" si="0"/>
        <v>0x103D700F,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44081FE</v>
      </c>
      <c r="Y46" t="str">
        <f t="shared" si="0"/>
        <v>0x044081FE,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tabSelected="1" workbookViewId="0">
      <selection activeCell="F48" sqref="F48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si="0"/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44040B2</v>
      </c>
      <c r="Y4" t="str">
        <f t="shared" si="0"/>
        <v>0x044040B2,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440406E</v>
      </c>
      <c r="Y7" t="str">
        <f t="shared" si="0"/>
        <v>0x0440406E,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V10" s="35"/>
      <c r="W10" s="34" t="s">
        <v>20</v>
      </c>
      <c r="X10" s="36" t="str">
        <f>Q41</f>
        <v>4404076</v>
      </c>
      <c r="Y10" t="str">
        <f t="shared" si="0"/>
        <v>0x04404076,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8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44040E6</v>
      </c>
      <c r="Y13" t="str">
        <f t="shared" si="0"/>
        <v>0x044040E6,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440410A</v>
      </c>
      <c r="Y16" t="str">
        <f t="shared" si="0"/>
        <v>0x0440410A,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440412E</v>
      </c>
      <c r="Y19" t="str">
        <f t="shared" si="0"/>
        <v>0x0440412E,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4404126</v>
      </c>
      <c r="Y22" t="str">
        <f t="shared" si="0"/>
        <v>0x04404126,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440414A</v>
      </c>
      <c r="Y25" t="str">
        <f t="shared" si="0"/>
        <v>0x0440414A,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4404106</v>
      </c>
      <c r="Y28" t="str">
        <f t="shared" si="0"/>
        <v>0x04404106,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440410E</v>
      </c>
      <c r="Y31" t="str">
        <f t="shared" si="0"/>
        <v>0x0440410E,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48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25"/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440410A</v>
      </c>
      <c r="Y34" t="str">
        <f t="shared" si="0"/>
        <v>0x0440410A,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440416A</v>
      </c>
      <c r="Y37" t="str">
        <f t="shared" si="0"/>
        <v>0x0440416A,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44041B2</v>
      </c>
      <c r="Y40" t="str">
        <f t="shared" si="0"/>
        <v>0x044041B2,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44041FE</v>
      </c>
      <c r="F41" s="13" t="str">
        <f t="shared" si="1"/>
        <v>44041DA</v>
      </c>
      <c r="G41" s="13" t="str">
        <f t="shared" si="1"/>
        <v>44041B2</v>
      </c>
      <c r="H41" s="13" t="str">
        <f t="shared" si="1"/>
        <v>440416A</v>
      </c>
      <c r="I41" s="13" t="str">
        <f t="shared" si="1"/>
        <v>440410A</v>
      </c>
      <c r="J41" s="13" t="str">
        <f t="shared" si="1"/>
        <v>440410E</v>
      </c>
      <c r="K41" s="13" t="str">
        <f t="shared" si="1"/>
        <v>4404106</v>
      </c>
      <c r="L41" s="13" t="str">
        <f t="shared" si="1"/>
        <v>440414A</v>
      </c>
      <c r="M41" s="13" t="str">
        <f t="shared" si="1"/>
        <v>4404126</v>
      </c>
      <c r="N41" s="13" t="str">
        <f t="shared" si="1"/>
        <v>440412E</v>
      </c>
      <c r="O41" s="13" t="str">
        <f t="shared" si="1"/>
        <v>440410A</v>
      </c>
      <c r="P41" s="13" t="str">
        <f t="shared" si="1"/>
        <v>44040E6</v>
      </c>
      <c r="Q41" s="13" t="str">
        <f t="shared" si="1"/>
        <v>4404076</v>
      </c>
      <c r="R41" s="13" t="str">
        <f t="shared" si="1"/>
        <v>440406E</v>
      </c>
      <c r="S41" s="13" t="str">
        <f t="shared" si="1"/>
        <v>44040B2</v>
      </c>
      <c r="V41" s="35" t="s">
        <v>117</v>
      </c>
      <c r="W41" s="34" t="s">
        <v>13</v>
      </c>
      <c r="X41" s="36" t="str">
        <f>F43</f>
        <v>103D700F</v>
      </c>
      <c r="Y41" t="str">
        <f t="shared" si="0"/>
        <v>0x103D700F,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103D700F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44041DA</v>
      </c>
      <c r="Y43" t="str">
        <f t="shared" si="0"/>
        <v>0x044041DA,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7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7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44041FE</v>
      </c>
      <c r="Y46" t="str">
        <f t="shared" si="0"/>
        <v>0x044041FE,</v>
      </c>
      <c r="Z46" s="37"/>
    </row>
    <row r="47" spans="1:26">
      <c r="A47" s="15"/>
      <c r="B47" s="18"/>
      <c r="C47" s="18"/>
      <c r="D47" s="18"/>
      <c r="E47" s="19"/>
      <c r="F47" s="18"/>
      <c r="G47" s="1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3"/>
    </row>
    <row r="51" spans="1:7">
      <c r="A51" s="16"/>
      <c r="B51" s="16"/>
      <c r="C51" s="16"/>
      <c r="D51" s="16"/>
      <c r="E51" s="16"/>
      <c r="F51" s="16"/>
      <c r="G51" s="16"/>
    </row>
    <row r="52" spans="1:7">
      <c r="A52" s="16"/>
      <c r="B52" s="16"/>
      <c r="C52" s="16"/>
      <c r="D52" s="16"/>
      <c r="E52" s="25"/>
      <c r="F52" s="16"/>
      <c r="G52" s="16"/>
    </row>
    <row r="53" spans="1:7">
      <c r="A53" s="15"/>
      <c r="B53" s="15"/>
      <c r="C53" s="15"/>
      <c r="D53" s="15"/>
      <c r="E53" s="25"/>
      <c r="F53" s="16"/>
      <c r="G53" s="16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F33" sqref="F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si="0"/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7" t="s">
        <v>46</v>
      </c>
      <c r="G12" s="7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48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44001B2</v>
      </c>
      <c r="Y40" t="str">
        <f t="shared" si="0"/>
        <v>0x044001B2,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44001DA</v>
      </c>
      <c r="G41" s="13" t="str">
        <f t="shared" si="1"/>
        <v>44001B2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103D700F</v>
      </c>
      <c r="Y41" t="str">
        <f t="shared" si="0"/>
        <v>0x103D700F,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103D700F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44001DA</v>
      </c>
      <c r="Y43" t="str">
        <f t="shared" si="0"/>
        <v>0x044001DA,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5:5">
      <c r="E52" s="27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G47" sqref="G47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si="0"/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43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48</v>
      </c>
      <c r="F33" s="9" t="s">
        <v>48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4400192</v>
      </c>
      <c r="Y40" t="str">
        <f t="shared" si="0"/>
        <v>0x04400192,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44001BA</v>
      </c>
      <c r="G41" s="13" t="str">
        <f t="shared" si="1"/>
        <v>4400192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103D700F</v>
      </c>
      <c r="Y41" t="str">
        <f t="shared" si="0"/>
        <v>0x103D700F,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103D700F</v>
      </c>
      <c r="F43" s="13" t="str">
        <f>DEC2HEX(F37+64*F36+POWER(2,12)*F35+POWER(2,15)*F34+POWER(2,16)*F33+POWER(2,19)*F32+POWER(2,23)*F31+POWER(2,29)*F30+POWER(2,31)*MOD(F29,$C29))</f>
        <v>103D700F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44001BA</v>
      </c>
      <c r="Y43" t="str">
        <f t="shared" si="0"/>
        <v>0x044001BA,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103D700F</v>
      </c>
      <c r="Y44" t="str">
        <f t="shared" si="0"/>
        <v>0x103D700F,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2024-05-16T08:01:13Z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