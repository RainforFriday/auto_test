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 activeTab="5"/>
  </bookViews>
  <sheets>
    <sheet name="CH42" sheetId="1" r:id="rId1"/>
    <sheet name="CH58" sheetId="4" r:id="rId2"/>
    <sheet name="CH106" sheetId="2" r:id="rId3"/>
    <sheet name="CH122" sheetId="5" r:id="rId4"/>
    <sheet name="CH138" sheetId="6" r:id="rId5"/>
    <sheet name="CH155" sheetId="7" r:id="rId6"/>
  </sheets>
  <calcPr calcId="144525"/>
</workbook>
</file>

<file path=xl/sharedStrings.xml><?xml version="1.0" encoding="utf-8"?>
<sst xmlns="http://schemas.openxmlformats.org/spreadsheetml/2006/main" count="4380" uniqueCount="125">
  <si>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</si>
  <si>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</si>
  <si>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</si>
  <si>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</si>
  <si>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</si>
  <si>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</si>
  <si>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</si>
  <si>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</si>
  <si>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</si>
  <si>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</si>
  <si>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</si>
  <si>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</si>
  <si>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</si>
  <si>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</si>
  <si>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</si>
  <si>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</si>
  <si>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</si>
  <si>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</si>
  <si>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</si>
  <si>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</si>
  <si>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</si>
  <si>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</si>
  <si>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</si>
  <si>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</si>
  <si>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</si>
  <si>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</si>
  <si>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</si>
  <si>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</si>
  <si>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</si>
  <si>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</si>
  <si>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</si>
  <si>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</si>
  <si>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</si>
  <si>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</si>
  <si>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</si>
  <si>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</si>
  <si>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</si>
  <si>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</si>
  <si>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</si>
  <si>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</si>
  <si>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</si>
  <si>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</si>
  <si>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11</t>
  </si>
  <si>
    <t>13</t>
  </si>
  <si>
    <t>10</t>
  </si>
  <si>
    <t>12</t>
  </si>
  <si>
    <t>14</t>
  </si>
  <si>
    <t>9</t>
  </si>
  <si>
    <t>5</t>
  </si>
  <si>
    <t>3</t>
  </si>
  <si>
    <t>wf_dtmx_dac_gbit1</t>
  </si>
  <si>
    <t>68:66</t>
  </si>
  <si>
    <t>6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</si>
  <si>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</si>
  <si>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</si>
  <si>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</si>
  <si>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</si>
  <si>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</si>
  <si>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</si>
  <si>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</si>
  <si>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</si>
  <si>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</si>
  <si>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</si>
  <si>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</si>
  <si>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</si>
  <si>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</si>
  <si>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</si>
  <si>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</si>
  <si>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</si>
  <si>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</si>
  <si>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</si>
  <si>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</si>
  <si>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</si>
  <si>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</si>
  <si>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</si>
  <si>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</si>
  <si>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</si>
  <si>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</si>
  <si>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</si>
  <si>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</si>
  <si>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</si>
  <si>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</si>
  <si>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</si>
  <si>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</si>
  <si>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</si>
  <si>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</si>
  <si>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</si>
  <si>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</si>
  <si>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</si>
  <si>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</si>
  <si>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</si>
  <si>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</si>
  <si>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</si>
  <si>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</si>
  <si>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</si>
  <si>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</si>
  <si>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</si>
  <si>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</si>
  <si>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7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</si>
  <si>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</si>
  <si>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</si>
  <si>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</si>
  <si>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</si>
  <si>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</si>
  <si>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</si>
  <si>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</si>
  <si>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</si>
  <si>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</si>
  <si>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</si>
  <si>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</si>
  <si>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</si>
  <si>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</si>
  <si>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</si>
  <si>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</si>
  <si>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APC_5G_MCS7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</si>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</sst>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4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4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 applyFill="1"/>
    <xf numFmtId="0" fontId="0" fillId="0" borderId="0" xfId="0" applyFill="1"/>
    <xf numFmtId="0" fontId="2" fillId="0" borderId="0" xfId="0" applyFont="1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0" fillId="8" borderId="1" xfId="0" applyNumberForma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G33" sqref="G33"/>
    </sheetView>
  </sheetViews>
  <sheetFormatPr defaultColWidth="9" defaultRowHeight="14.25"/>
  <cols>
    <col min="1" max="1" width="24.625" customWidth="1"/>
    <col min="4" max="4" width="14.875" customWidth="1"/>
    <col min="19" max="19" width="10.37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6" t="s">
        <v>9</v>
      </c>
      <c r="W1" s="36"/>
      <c r="X1" s="36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7">
        <v>0</v>
      </c>
      <c r="W2" s="36" t="s">
        <v>13</v>
      </c>
      <c r="X2" s="38" t="str">
        <f>S43</f>
        <v>F03A7004</v>
      </c>
      <c r="Y2" t="str">
        <f>"0x"&amp;RIGHT("00000000"&amp;X2,8)&amp;","</f>
        <v>0xF03A7004,</v>
      </c>
      <c r="Z2" s="39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7"/>
      <c r="W3" s="36" t="s">
        <v>16</v>
      </c>
      <c r="X3" s="38" t="str">
        <f>S42</f>
        <v>48BF4F4D</v>
      </c>
      <c r="Y3" t="str">
        <f t="shared" ref="Y3:Y49" si="0">"0x"&amp;RIGHT("00000000"&amp;X3,8)&amp;","</f>
        <v>0x48BF4F4D,</v>
      </c>
      <c r="Z3" s="39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7"/>
      <c r="W4" s="36" t="s">
        <v>20</v>
      </c>
      <c r="X4" s="38" t="str">
        <f>S41</f>
        <v>4408076</v>
      </c>
      <c r="Y4" t="str">
        <f t="shared" si="0"/>
        <v>0x04408076,</v>
      </c>
      <c r="Z4" s="39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7">
        <v>1</v>
      </c>
      <c r="W5" s="36" t="s">
        <v>13</v>
      </c>
      <c r="X5" s="38" t="str">
        <f>R43</f>
        <v>F03A7004</v>
      </c>
      <c r="Y5" t="str">
        <f t="shared" si="0"/>
        <v>0xF03A7004,</v>
      </c>
      <c r="Z5" s="39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7"/>
      <c r="W6" s="36" t="s">
        <v>16</v>
      </c>
      <c r="X6" s="38" t="str">
        <f>R42</f>
        <v>48BF4F4D</v>
      </c>
      <c r="Y6" t="str">
        <f t="shared" si="0"/>
        <v>0x48BF4F4D,</v>
      </c>
      <c r="Z6" s="39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7"/>
      <c r="W7" s="36" t="s">
        <v>20</v>
      </c>
      <c r="X7" s="38" t="str">
        <f>R41</f>
        <v>44080AE</v>
      </c>
      <c r="Y7" t="str">
        <f t="shared" si="0"/>
        <v>0x044080AE,</v>
      </c>
      <c r="Z7" s="39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7">
        <v>2</v>
      </c>
      <c r="W8" s="36" t="s">
        <v>13</v>
      </c>
      <c r="X8" s="38" t="str">
        <f>Q43</f>
        <v>F03A7004</v>
      </c>
      <c r="Y8" t="str">
        <f t="shared" si="0"/>
        <v>0xF03A7004,</v>
      </c>
      <c r="Z8" s="39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7"/>
      <c r="W9" s="36" t="s">
        <v>16</v>
      </c>
      <c r="X9" s="38" t="str">
        <f>Q42</f>
        <v>48BF4F4D</v>
      </c>
      <c r="Y9" t="str">
        <f t="shared" si="0"/>
        <v>0x48BF4F4D,</v>
      </c>
      <c r="Z9" s="39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7"/>
      <c r="W10" s="36" t="s">
        <v>20</v>
      </c>
      <c r="X10" s="38" t="str">
        <f>Q41</f>
        <v>4408126</v>
      </c>
      <c r="Y10" t="str">
        <f t="shared" si="0"/>
        <v>0x04408126,</v>
      </c>
      <c r="Z10" s="39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7">
        <v>3</v>
      </c>
      <c r="W11" s="36" t="s">
        <v>13</v>
      </c>
      <c r="X11" s="38" t="str">
        <f>P43</f>
        <v>F03A7004</v>
      </c>
      <c r="Y11" t="str">
        <f t="shared" si="0"/>
        <v>0xF03A7004,</v>
      </c>
      <c r="Z11" s="39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10" t="s">
        <v>41</v>
      </c>
      <c r="F12" s="10" t="s">
        <v>41</v>
      </c>
      <c r="G12" s="10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5" t="s">
        <v>44</v>
      </c>
      <c r="Q12" s="35" t="s">
        <v>47</v>
      </c>
      <c r="R12" s="5" t="s">
        <v>48</v>
      </c>
      <c r="S12" s="5" t="s">
        <v>49</v>
      </c>
      <c r="V12" s="37"/>
      <c r="W12" s="36" t="s">
        <v>16</v>
      </c>
      <c r="X12" s="38" t="str">
        <f>P42</f>
        <v>48BF4F4D</v>
      </c>
      <c r="Y12" t="str">
        <f t="shared" si="0"/>
        <v>0x48BF4F4D,</v>
      </c>
      <c r="Z12" s="39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4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5" t="s">
        <v>19</v>
      </c>
      <c r="Q13" s="35" t="s">
        <v>11</v>
      </c>
      <c r="R13" s="5" t="s">
        <v>49</v>
      </c>
      <c r="S13" s="5" t="s">
        <v>48</v>
      </c>
      <c r="V13" s="37"/>
      <c r="W13" s="36" t="s">
        <v>20</v>
      </c>
      <c r="X13" s="38" t="str">
        <f>P41</f>
        <v>440814A</v>
      </c>
      <c r="Y13" t="str">
        <f t="shared" si="0"/>
        <v>0x0440814A,</v>
      </c>
      <c r="Z13" s="39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7">
        <v>4</v>
      </c>
      <c r="W14" s="36" t="s">
        <v>13</v>
      </c>
      <c r="X14" s="38" t="str">
        <f>O43</f>
        <v>F03A7004</v>
      </c>
      <c r="Y14" t="str">
        <f t="shared" si="0"/>
        <v>0xF03A7004,</v>
      </c>
      <c r="Z14" s="39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7"/>
      <c r="W15" s="36" t="s">
        <v>16</v>
      </c>
      <c r="X15" s="38" t="str">
        <f>O42</f>
        <v>48BF4F4D</v>
      </c>
      <c r="Y15" t="str">
        <f t="shared" si="0"/>
        <v>0x48BF4F4D,</v>
      </c>
      <c r="Z15" s="39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7"/>
      <c r="W16" s="36" t="s">
        <v>20</v>
      </c>
      <c r="X16" s="38" t="str">
        <f>O41</f>
        <v>4408136</v>
      </c>
      <c r="Y16" t="str">
        <f t="shared" si="0"/>
        <v>0x04408136,</v>
      </c>
      <c r="Z16" s="39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7">
        <v>5</v>
      </c>
      <c r="W17" s="36" t="s">
        <v>13</v>
      </c>
      <c r="X17" s="38" t="str">
        <f>N43</f>
        <v>F03A7004</v>
      </c>
      <c r="Y17" t="str">
        <f t="shared" si="0"/>
        <v>0xF03A7004,</v>
      </c>
      <c r="Z17" s="39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7"/>
      <c r="W18" s="36" t="s">
        <v>16</v>
      </c>
      <c r="X18" s="38" t="str">
        <f>N42</f>
        <v>48BF4F4D</v>
      </c>
      <c r="Y18" t="str">
        <f t="shared" si="0"/>
        <v>0x48BF4F4D,</v>
      </c>
      <c r="Z18" s="39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7"/>
      <c r="W19" s="36" t="s">
        <v>20</v>
      </c>
      <c r="X19" s="38" t="str">
        <f>N41</f>
        <v>440817A</v>
      </c>
      <c r="Y19" t="str">
        <f t="shared" si="0"/>
        <v>0x0440817A,</v>
      </c>
      <c r="Z19" s="39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7">
        <v>6</v>
      </c>
      <c r="W20" s="36" t="s">
        <v>13</v>
      </c>
      <c r="X20" s="38" t="str">
        <f>M43</f>
        <v>F03A7004</v>
      </c>
      <c r="Y20" t="str">
        <f t="shared" si="0"/>
        <v>0xF03A7004,</v>
      </c>
      <c r="Z20" s="39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7"/>
      <c r="W21" s="36" t="s">
        <v>16</v>
      </c>
      <c r="X21" s="38" t="str">
        <f>M42</f>
        <v>48BF4F4D</v>
      </c>
      <c r="Y21" t="str">
        <f t="shared" si="0"/>
        <v>0x48BF4F4D,</v>
      </c>
      <c r="Z21" s="39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7"/>
      <c r="W22" s="36" t="s">
        <v>20</v>
      </c>
      <c r="X22" s="38" t="str">
        <f>M41</f>
        <v>44081DA</v>
      </c>
      <c r="Y22" t="str">
        <f t="shared" si="0"/>
        <v>0x044081DA,</v>
      </c>
      <c r="Z22" s="39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7">
        <v>7</v>
      </c>
      <c r="W23" s="36" t="s">
        <v>13</v>
      </c>
      <c r="X23" s="38" t="str">
        <f>L43</f>
        <v>F03A7005</v>
      </c>
      <c r="Y23" t="str">
        <f t="shared" si="0"/>
        <v>0xF03A7005,</v>
      </c>
      <c r="Z23" s="39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7"/>
      <c r="W24" s="36" t="s">
        <v>16</v>
      </c>
      <c r="X24" s="38" t="str">
        <f>L42</f>
        <v>48BF4F4D</v>
      </c>
      <c r="Y24" t="str">
        <f t="shared" si="0"/>
        <v>0x48BF4F4D,</v>
      </c>
      <c r="Z24" s="39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7"/>
      <c r="W25" s="36" t="s">
        <v>20</v>
      </c>
      <c r="X25" s="38" t="str">
        <f>L41</f>
        <v>4408196</v>
      </c>
      <c r="Y25" t="str">
        <f t="shared" si="0"/>
        <v>0x04408196,</v>
      </c>
      <c r="Z25" s="39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7">
        <v>8</v>
      </c>
      <c r="W26" s="36" t="s">
        <v>13</v>
      </c>
      <c r="X26" s="38" t="str">
        <f>K43</f>
        <v>F03A700C</v>
      </c>
      <c r="Y26" t="str">
        <f t="shared" si="0"/>
        <v>0xF03A700C,</v>
      </c>
      <c r="Z26" s="39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7"/>
      <c r="W27" s="36" t="s">
        <v>16</v>
      </c>
      <c r="X27" s="38" t="str">
        <f>K42</f>
        <v>48BF4F4D</v>
      </c>
      <c r="Y27" t="str">
        <f t="shared" si="0"/>
        <v>0x48BF4F4D,</v>
      </c>
      <c r="Z27" s="39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7"/>
      <c r="W28" s="36" t="s">
        <v>20</v>
      </c>
      <c r="X28" s="38" t="str">
        <f>K41</f>
        <v>440814E</v>
      </c>
      <c r="Y28" t="str">
        <f t="shared" si="0"/>
        <v>0x0440814E,</v>
      </c>
      <c r="Z28" s="39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49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49</v>
      </c>
      <c r="N29" s="2" t="s">
        <v>49</v>
      </c>
      <c r="O29" s="2" t="s">
        <v>49</v>
      </c>
      <c r="P29" s="2" t="s">
        <v>49</v>
      </c>
      <c r="Q29" s="2" t="s">
        <v>49</v>
      </c>
      <c r="R29" s="2" t="s">
        <v>49</v>
      </c>
      <c r="S29" s="2" t="s">
        <v>49</v>
      </c>
      <c r="V29" s="37">
        <v>9</v>
      </c>
      <c r="W29" s="36" t="s">
        <v>13</v>
      </c>
      <c r="X29" s="38" t="str">
        <f>J43</f>
        <v>F03A700C</v>
      </c>
      <c r="Y29" t="str">
        <f t="shared" si="0"/>
        <v>0xF03A700C,</v>
      </c>
      <c r="Z29" s="39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7"/>
      <c r="W30" s="36" t="s">
        <v>16</v>
      </c>
      <c r="X30" s="38" t="str">
        <f>J42</f>
        <v>48BF4F4D</v>
      </c>
      <c r="Y30" t="str">
        <f t="shared" si="0"/>
        <v>0x48BF4F4D,</v>
      </c>
      <c r="Z30" s="39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7"/>
      <c r="W31" s="36" t="s">
        <v>20</v>
      </c>
      <c r="X31" s="38" t="str">
        <f>J41</f>
        <v>440818E</v>
      </c>
      <c r="Y31" t="str">
        <f t="shared" si="0"/>
        <v>0x0440818E,</v>
      </c>
      <c r="Z31" s="39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41</v>
      </c>
      <c r="F32" s="4" t="s">
        <v>41</v>
      </c>
      <c r="G32" s="2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7" t="s">
        <v>99</v>
      </c>
      <c r="W32" s="36" t="s">
        <v>13</v>
      </c>
      <c r="X32" s="38" t="str">
        <f>I43</f>
        <v>F03A700F</v>
      </c>
      <c r="Y32" t="str">
        <f t="shared" si="0"/>
        <v>0xF03A700F,</v>
      </c>
      <c r="Z32" s="39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48</v>
      </c>
      <c r="F33" s="4" t="s">
        <v>48</v>
      </c>
      <c r="G33" s="2" t="s">
        <v>48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7"/>
      <c r="W33" s="36" t="s">
        <v>16</v>
      </c>
      <c r="X33" s="38" t="str">
        <f>I42</f>
        <v>48BF4F4D</v>
      </c>
      <c r="Y33" t="str">
        <f t="shared" si="0"/>
        <v>0x48BF4F4D,</v>
      </c>
      <c r="Z33" s="39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7"/>
      <c r="W34" s="36" t="s">
        <v>20</v>
      </c>
      <c r="X34" s="38" t="str">
        <f>I41</f>
        <v>4408152</v>
      </c>
      <c r="Y34" t="str">
        <f t="shared" si="0"/>
        <v>0x04408152,</v>
      </c>
      <c r="Z34" s="39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7" t="s">
        <v>106</v>
      </c>
      <c r="W35" s="36" t="s">
        <v>13</v>
      </c>
      <c r="X35" s="38" t="str">
        <f>H43</f>
        <v>F03A700F</v>
      </c>
      <c r="Y35" t="str">
        <f t="shared" si="0"/>
        <v>0xF03A700F,</v>
      </c>
      <c r="Z35" s="39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7"/>
      <c r="W36" s="36" t="s">
        <v>16</v>
      </c>
      <c r="X36" s="38" t="str">
        <f>H42</f>
        <v>48BF4F4D</v>
      </c>
      <c r="Y36" t="str">
        <f t="shared" si="0"/>
        <v>0x48BF4F4D,</v>
      </c>
      <c r="Z36" s="39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7"/>
      <c r="W37" s="36" t="s">
        <v>20</v>
      </c>
      <c r="X37" s="38" t="str">
        <f>H41</f>
        <v>44081B2</v>
      </c>
      <c r="Y37" t="str">
        <f t="shared" si="0"/>
        <v>0x044081B2,</v>
      </c>
      <c r="Z37" s="39"/>
    </row>
    <row r="38" spans="22:26">
      <c r="V38" s="37" t="s">
        <v>112</v>
      </c>
      <c r="W38" s="36" t="s">
        <v>13</v>
      </c>
      <c r="X38" s="38" t="str">
        <f>G43</f>
        <v>F07D700F</v>
      </c>
      <c r="Y38" t="str">
        <f t="shared" si="0"/>
        <v>0xF07D700F,</v>
      </c>
      <c r="Z38" s="39" t="s">
        <v>113</v>
      </c>
    </row>
    <row r="39" spans="1:26">
      <c r="A39" t="s">
        <v>114</v>
      </c>
      <c r="V39" s="37"/>
      <c r="W39" s="36" t="s">
        <v>16</v>
      </c>
      <c r="X39" s="38" t="str">
        <f>G42</f>
        <v>48BF4F4D</v>
      </c>
      <c r="Y39" t="str">
        <f t="shared" si="0"/>
        <v>0x48BF4F4D,</v>
      </c>
      <c r="Z39" s="39"/>
    </row>
    <row r="40" spans="1:26">
      <c r="A40" s="12" t="s">
        <v>115</v>
      </c>
      <c r="B40" s="12"/>
      <c r="C40" s="12"/>
      <c r="D40" s="12">
        <v>22</v>
      </c>
      <c r="E40" s="12">
        <v>20</v>
      </c>
      <c r="F40" s="12">
        <v>18</v>
      </c>
      <c r="G40" s="12">
        <v>16</v>
      </c>
      <c r="H40" s="12">
        <v>14</v>
      </c>
      <c r="I40" s="12">
        <v>12</v>
      </c>
      <c r="J40" s="12">
        <v>10</v>
      </c>
      <c r="K40" s="12">
        <v>8</v>
      </c>
      <c r="L40" s="12">
        <v>6</v>
      </c>
      <c r="M40" s="12">
        <v>4</v>
      </c>
      <c r="N40" s="12">
        <v>2</v>
      </c>
      <c r="O40" s="12">
        <v>0</v>
      </c>
      <c r="P40" s="12">
        <v>-2</v>
      </c>
      <c r="Q40" s="12">
        <v>-4</v>
      </c>
      <c r="R40" s="12">
        <v>-6</v>
      </c>
      <c r="S40" s="12">
        <v>-8</v>
      </c>
      <c r="V40" s="37"/>
      <c r="W40" s="36" t="s">
        <v>20</v>
      </c>
      <c r="X40" s="38" t="str">
        <f>G41</f>
        <v>4408166</v>
      </c>
      <c r="Y40" t="str">
        <f t="shared" si="0"/>
        <v>0x04408166,</v>
      </c>
      <c r="Z40" s="39"/>
    </row>
    <row r="41" spans="1:26">
      <c r="A41" s="13" t="s">
        <v>116</v>
      </c>
      <c r="B41" s="14"/>
      <c r="C41" s="14"/>
      <c r="D41" s="15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5" t="str">
        <f t="shared" si="1"/>
        <v>44081F6</v>
      </c>
      <c r="F41" s="15" t="str">
        <f t="shared" si="1"/>
        <v>44081EA</v>
      </c>
      <c r="G41" s="15" t="str">
        <f t="shared" si="1"/>
        <v>4408166</v>
      </c>
      <c r="H41" s="15" t="str">
        <f t="shared" si="1"/>
        <v>44081B2</v>
      </c>
      <c r="I41" s="15" t="str">
        <f t="shared" si="1"/>
        <v>4408152</v>
      </c>
      <c r="J41" s="15" t="str">
        <f t="shared" si="1"/>
        <v>440818E</v>
      </c>
      <c r="K41" s="15" t="str">
        <f t="shared" si="1"/>
        <v>440814E</v>
      </c>
      <c r="L41" s="15" t="str">
        <f t="shared" si="1"/>
        <v>4408196</v>
      </c>
      <c r="M41" s="15" t="str">
        <f t="shared" si="1"/>
        <v>44081DA</v>
      </c>
      <c r="N41" s="15" t="str">
        <f t="shared" si="1"/>
        <v>440817A</v>
      </c>
      <c r="O41" s="15" t="str">
        <f t="shared" si="1"/>
        <v>4408136</v>
      </c>
      <c r="P41" s="15" t="str">
        <f t="shared" si="1"/>
        <v>440814A</v>
      </c>
      <c r="Q41" s="15" t="str">
        <f t="shared" si="1"/>
        <v>4408126</v>
      </c>
      <c r="R41" s="15" t="str">
        <f t="shared" si="1"/>
        <v>44080AE</v>
      </c>
      <c r="S41" s="15" t="str">
        <f t="shared" si="1"/>
        <v>4408076</v>
      </c>
      <c r="V41" s="37" t="s">
        <v>117</v>
      </c>
      <c r="W41" s="36" t="s">
        <v>13</v>
      </c>
      <c r="X41" s="38" t="str">
        <f>F43</f>
        <v>F07D700F</v>
      </c>
      <c r="Y41" t="str">
        <f t="shared" si="0"/>
        <v>0xF07D700F,</v>
      </c>
      <c r="Z41" s="39" t="s">
        <v>118</v>
      </c>
    </row>
    <row r="42" spans="1:26">
      <c r="A42" s="13" t="s">
        <v>119</v>
      </c>
      <c r="B42" s="14"/>
      <c r="C42" s="14"/>
      <c r="D42" s="15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5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5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5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5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5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5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5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5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5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5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5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5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5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5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5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7"/>
      <c r="W42" s="36" t="s">
        <v>16</v>
      </c>
      <c r="X42" s="38" t="str">
        <f>F42</f>
        <v>48BF4F4D</v>
      </c>
      <c r="Y42" t="str">
        <f t="shared" si="0"/>
        <v>0x48BF4F4D,</v>
      </c>
      <c r="Z42" s="39"/>
    </row>
    <row r="43" spans="1:26">
      <c r="A43" s="13" t="s">
        <v>120</v>
      </c>
      <c r="B43" s="14"/>
      <c r="C43" s="14"/>
      <c r="D43" s="15" t="str">
        <f>DEC2HEX(D37+64*D36+POWER(2,12)*D35+POWER(2,15)*D34+POWER(2,16)*D33+POWER(2,19)*D32+POWER(2,23)*D31+POWER(2,29)*D30+POWER(2,31)*MOD(D29,$C29))</f>
        <v>0</v>
      </c>
      <c r="E43" s="15" t="str">
        <f>DEC2HEX(E37+64*E36+POWER(2,12)*E35+POWER(2,15)*E34+POWER(2,16)*E33+POWER(2,19)*E32+POWER(2,23)*E31+POWER(2,29)*E30+POWER(2,31)*MOD(E29,$C29))</f>
        <v>F07D700F</v>
      </c>
      <c r="F43" s="15" t="str">
        <f>DEC2HEX(F37+64*F36+POWER(2,12)*F35+POWER(2,15)*F34+POWER(2,16)*F33+POWER(2,19)*F32+POWER(2,23)*F31+POWER(2,29)*F30+POWER(2,31)*MOD(F29,$C29))</f>
        <v>F07D700F</v>
      </c>
      <c r="G43" s="15" t="str">
        <f>DEC2HEX(G37+64*G36+POWER(2,12)*G35+POWER(2,15)*G34+POWER(2,16)*G33+POWER(2,19)*G32+POWER(2,23)*G31+POWER(2,29)*G30+POWER(2,31)*MOD(G29,$C29))</f>
        <v>F07D700F</v>
      </c>
      <c r="H43" s="15" t="str">
        <f>DEC2HEX(H37+64*H36+POWER(2,12)*H35+POWER(2,15)*H34+POWER(2,16)*H33+POWER(2,19)*H32+POWER(2,23)*H31+POWER(2,29)*H30+POWER(2,31)*MOD(H29,$C29))</f>
        <v>F03A700F</v>
      </c>
      <c r="I43" s="15" t="str">
        <f>DEC2HEX(I37+64*I36+POWER(2,12)*I35+POWER(2,15)*I34+POWER(2,16)*I33+POWER(2,19)*I32+POWER(2,23)*I31+POWER(2,29)*I30+POWER(2,31)*MOD(I29,$C29))</f>
        <v>F03A700F</v>
      </c>
      <c r="J43" s="15" t="str">
        <f>DEC2HEX(J37+64*J36+POWER(2,12)*J35+POWER(2,15)*J34+POWER(2,16)*J33+POWER(2,19)*J32+POWER(2,23)*J31+POWER(2,29)*J30+POWER(2,31)*MOD(J29,$C29))</f>
        <v>F03A700C</v>
      </c>
      <c r="K43" s="15" t="str">
        <f>DEC2HEX(K37+64*K36+POWER(2,12)*K35+POWER(2,15)*K34+POWER(2,16)*K33+POWER(2,19)*K32+POWER(2,23)*K31+POWER(2,29)*K30+POWER(2,31)*MOD(K29,$C29))</f>
        <v>F03A700C</v>
      </c>
      <c r="L43" s="15" t="str">
        <f>DEC2HEX(L37+64*L36+POWER(2,12)*L35+POWER(2,15)*L34+POWER(2,16)*L33+POWER(2,19)*L32+POWER(2,23)*L31+POWER(2,29)*L30+POWER(2,31)*MOD(L29,$C29))</f>
        <v>F03A7005</v>
      </c>
      <c r="M43" s="15" t="str">
        <f>DEC2HEX(M37+64*M36+POWER(2,12)*M35+POWER(2,15)*M34+POWER(2,16)*M33+POWER(2,19)*M32+POWER(2,23)*M31+POWER(2,29)*M30+POWER(2,31)*MOD(M29,$C29))</f>
        <v>F03A7004</v>
      </c>
      <c r="N43" s="15" t="str">
        <f>DEC2HEX(N37+64*N36+POWER(2,12)*N35+POWER(2,15)*N34+POWER(2,16)*N33+POWER(2,19)*N32+POWER(2,23)*N31+POWER(2,29)*N30+POWER(2,31)*MOD(N29,$C29))</f>
        <v>F03A7004</v>
      </c>
      <c r="O43" s="15" t="str">
        <f>DEC2HEX(O37+64*O36+POWER(2,12)*O35+POWER(2,15)*O34+POWER(2,16)*O33+POWER(2,19)*O32+POWER(2,23)*O31+POWER(2,29)*O30+POWER(2,31)*MOD(O29,$C29))</f>
        <v>F03A7004</v>
      </c>
      <c r="P43" s="15" t="str">
        <f>DEC2HEX(P37+64*P36+POWER(2,12)*P35+POWER(2,15)*P34+POWER(2,16)*P33+POWER(2,19)*P32+POWER(2,23)*P31+POWER(2,29)*P30+POWER(2,31)*MOD(P29,$C29))</f>
        <v>F03A7004</v>
      </c>
      <c r="Q43" s="15" t="str">
        <f>DEC2HEX(Q37+64*Q36+POWER(2,12)*Q35+POWER(2,15)*Q34+POWER(2,16)*Q33+POWER(2,19)*Q32+POWER(2,23)*Q31+POWER(2,29)*Q30+POWER(2,31)*MOD(Q29,$C29))</f>
        <v>F03A7004</v>
      </c>
      <c r="R43" s="15" t="str">
        <f>DEC2HEX(R37+64*R36+POWER(2,12)*R35+POWER(2,15)*R34+POWER(2,16)*R33+POWER(2,19)*R32+POWER(2,23)*R31+POWER(2,29)*R30+POWER(2,31)*MOD(R29,$C29))</f>
        <v>F03A7004</v>
      </c>
      <c r="S43" s="15" t="str">
        <f>DEC2HEX(S37+64*S36+POWER(2,12)*S35+POWER(2,15)*S34+POWER(2,16)*S33+POWER(2,19)*S32+POWER(2,23)*S31+POWER(2,29)*S30+POWER(2,31)*MOD(S29,$C29))</f>
        <v>F03A7004</v>
      </c>
      <c r="V43" s="37"/>
      <c r="W43" s="36" t="s">
        <v>20</v>
      </c>
      <c r="X43" s="38" t="str">
        <f>F41</f>
        <v>44081EA</v>
      </c>
      <c r="Y43" t="str">
        <f t="shared" si="0"/>
        <v>0x044081EA,</v>
      </c>
      <c r="Z43" s="39"/>
    </row>
    <row r="44" spans="4:26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V44" s="37" t="s">
        <v>121</v>
      </c>
      <c r="W44" s="36" t="s">
        <v>13</v>
      </c>
      <c r="X44" s="38" t="str">
        <f>E43</f>
        <v>F07D700F</v>
      </c>
      <c r="Y44" t="str">
        <f t="shared" si="0"/>
        <v>0xF07D700F,</v>
      </c>
      <c r="Z44" s="39" t="s">
        <v>122</v>
      </c>
    </row>
    <row r="45" spans="1:26">
      <c r="A45" s="28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V45" s="37"/>
      <c r="W45" s="36" t="s">
        <v>16</v>
      </c>
      <c r="X45" s="38" t="str">
        <f>E42</f>
        <v>48BF4F4D</v>
      </c>
      <c r="Y45" t="str">
        <f t="shared" si="0"/>
        <v>0x48BF4F4D,</v>
      </c>
      <c r="Z45" s="39"/>
    </row>
    <row r="46" spans="2:26">
      <c r="B46" s="28"/>
      <c r="C46" s="28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V46" s="37"/>
      <c r="W46" s="36" t="s">
        <v>20</v>
      </c>
      <c r="X46" s="38" t="str">
        <f>E41</f>
        <v>44081F6</v>
      </c>
      <c r="Y46" t="str">
        <f t="shared" si="0"/>
        <v>0x044081F6,</v>
      </c>
      <c r="Z46" s="39"/>
    </row>
    <row r="47" spans="1:26">
      <c r="A47" s="17"/>
      <c r="B47" s="20"/>
      <c r="C47" s="20"/>
      <c r="D47" s="22"/>
      <c r="E47" s="30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V47" s="37" t="s">
        <v>123</v>
      </c>
      <c r="W47" s="36" t="s">
        <v>13</v>
      </c>
      <c r="X47" s="38" t="str">
        <f>D43</f>
        <v>0</v>
      </c>
      <c r="Y47" t="str">
        <f t="shared" si="0"/>
        <v>0x00000000,</v>
      </c>
      <c r="Z47" s="39" t="s">
        <v>124</v>
      </c>
    </row>
    <row r="48" spans="1:26">
      <c r="A48" s="17"/>
      <c r="B48" s="24"/>
      <c r="C48" s="24"/>
      <c r="D48" s="26"/>
      <c r="E48" s="4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V48" s="36"/>
      <c r="W48" s="36" t="s">
        <v>16</v>
      </c>
      <c r="X48" s="38" t="str">
        <f>D42</f>
        <v>0</v>
      </c>
      <c r="Y48" t="str">
        <f t="shared" si="0"/>
        <v>0x00000000,</v>
      </c>
      <c r="Z48" s="39"/>
    </row>
    <row r="49" spans="1:26">
      <c r="A49" s="18"/>
      <c r="B49" s="26"/>
      <c r="C49" s="26"/>
      <c r="D49" s="26"/>
      <c r="E49" s="4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V49" s="36"/>
      <c r="W49" s="36" t="s">
        <v>20</v>
      </c>
      <c r="X49" s="38" t="str">
        <f>D41</f>
        <v>0</v>
      </c>
      <c r="Y49" t="str">
        <f t="shared" si="0"/>
        <v>0x00000000,</v>
      </c>
      <c r="Z49" s="39"/>
    </row>
    <row r="50" spans="2:5">
      <c r="B50" s="26"/>
      <c r="C50" s="26"/>
      <c r="D50" s="26"/>
      <c r="E50" s="46"/>
    </row>
    <row r="51" spans="1:4">
      <c r="A51" s="28"/>
      <c r="B51" s="28"/>
      <c r="C51" s="28"/>
      <c r="D51" s="28"/>
    </row>
    <row r="52" spans="1:5">
      <c r="A52" s="30"/>
      <c r="B52" s="31"/>
      <c r="C52" s="31"/>
      <c r="D52" s="31"/>
      <c r="E52" s="29"/>
    </row>
    <row r="53" spans="1:5">
      <c r="A53" s="30"/>
      <c r="B53" s="31"/>
      <c r="C53" s="31"/>
      <c r="D53" s="31"/>
      <c r="E53" s="29"/>
    </row>
    <row r="54" spans="1:5">
      <c r="A54" s="30"/>
      <c r="B54" s="31"/>
      <c r="C54" s="31"/>
      <c r="D54" s="31"/>
      <c r="E54" s="29"/>
    </row>
    <row r="55" spans="1:5">
      <c r="A55" s="30"/>
      <c r="B55" s="31"/>
      <c r="C55" s="31"/>
      <c r="D55" s="31"/>
      <c r="E55" s="29"/>
    </row>
    <row r="56" spans="1:5">
      <c r="A56" s="30"/>
      <c r="B56" s="31"/>
      <c r="C56" s="31"/>
      <c r="D56" s="31"/>
      <c r="E56" s="29"/>
    </row>
    <row r="57" spans="1:5">
      <c r="A57" s="30"/>
      <c r="B57" s="31"/>
      <c r="C57" s="32"/>
      <c r="D57" s="32"/>
      <c r="E57" s="29"/>
    </row>
    <row r="58" spans="1:5">
      <c r="A58" s="30"/>
      <c r="B58" s="31"/>
      <c r="C58" s="31"/>
      <c r="D58" s="31"/>
      <c r="E58" s="29"/>
    </row>
    <row r="59" spans="1:4">
      <c r="A59" s="22"/>
      <c r="B59" s="28"/>
      <c r="C59" s="28"/>
      <c r="D59" s="28"/>
    </row>
    <row r="60" spans="1:4">
      <c r="A60" s="40"/>
      <c r="B60" s="41"/>
      <c r="C60" s="41"/>
      <c r="D60" s="41"/>
    </row>
    <row r="61" spans="1:4">
      <c r="A61" s="40"/>
      <c r="B61" s="43"/>
      <c r="C61" s="43"/>
      <c r="D61" s="47"/>
    </row>
    <row r="62" spans="1:4">
      <c r="A62" s="40"/>
      <c r="B62" s="41"/>
      <c r="C62" s="41"/>
      <c r="D62" s="41"/>
    </row>
    <row r="63" spans="1:4">
      <c r="A63" s="40"/>
      <c r="B63" s="41"/>
      <c r="C63" s="41"/>
      <c r="D63" s="41"/>
    </row>
    <row r="64" spans="1:4">
      <c r="A64" s="40"/>
      <c r="B64" s="41"/>
      <c r="C64" s="41"/>
      <c r="D64" s="41"/>
    </row>
    <row r="65" spans="1:5">
      <c r="A65" s="30"/>
      <c r="B65" s="31"/>
      <c r="C65" s="31"/>
      <c r="D65" s="31"/>
      <c r="E65" s="16"/>
    </row>
    <row r="66" spans="1:5">
      <c r="A66" s="30"/>
      <c r="B66" s="31"/>
      <c r="C66" s="31"/>
      <c r="D66" s="31"/>
      <c r="E66" s="16"/>
    </row>
    <row r="67" spans="1:5">
      <c r="A67" s="30"/>
      <c r="B67" s="31"/>
      <c r="C67" s="31"/>
      <c r="D67" s="31"/>
      <c r="E67" s="16"/>
    </row>
    <row r="68" spans="1:5">
      <c r="A68" s="30"/>
      <c r="B68" s="31"/>
      <c r="C68" s="31"/>
      <c r="D68" s="31"/>
      <c r="E68" s="16"/>
    </row>
    <row r="69" spans="1:4">
      <c r="A69" s="30"/>
      <c r="B69" s="31"/>
      <c r="C69" s="31"/>
      <c r="D69" s="31"/>
    </row>
    <row r="70" spans="1:4">
      <c r="A70" s="30"/>
      <c r="B70" s="31"/>
      <c r="C70" s="31"/>
      <c r="D70" s="31"/>
    </row>
    <row r="71" spans="1:4">
      <c r="A71" s="30"/>
      <c r="B71" s="31"/>
      <c r="C71" s="31"/>
      <c r="D71" s="31"/>
    </row>
    <row r="72" spans="1:4">
      <c r="A72" s="30"/>
      <c r="B72" s="31"/>
      <c r="C72" s="31"/>
      <c r="D72" s="31"/>
    </row>
    <row r="73" spans="1:4">
      <c r="A73" s="42"/>
      <c r="B73" s="43"/>
      <c r="C73" s="43"/>
      <c r="D73" s="43"/>
    </row>
    <row r="74" spans="1:4">
      <c r="A74" s="42"/>
      <c r="B74" s="48"/>
      <c r="C74" s="43"/>
      <c r="D74" s="43"/>
    </row>
    <row r="75" spans="1:4">
      <c r="A75" s="22"/>
      <c r="B75" s="28"/>
      <c r="C75" s="28"/>
      <c r="D75" s="28"/>
    </row>
    <row r="76" spans="1:4">
      <c r="A76" s="22"/>
      <c r="B76" s="28"/>
      <c r="C76" s="28"/>
      <c r="D76" s="28"/>
    </row>
    <row r="77" spans="1:4">
      <c r="A77" s="22"/>
      <c r="B77" s="28"/>
      <c r="C77" s="28"/>
      <c r="D77" s="2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D20" sqref="D20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6" t="s">
        <v>9</v>
      </c>
      <c r="W1" s="36"/>
      <c r="X1" s="36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7">
        <v>0</v>
      </c>
      <c r="W2" s="36" t="s">
        <v>13</v>
      </c>
      <c r="X2" s="38" t="str">
        <f>S43</f>
        <v>703A7004</v>
      </c>
      <c r="Y2" t="str">
        <f t="shared" ref="Y2:Y49" si="0">"0x"&amp;RIGHT("00000000"&amp;X2,8)&amp;","</f>
        <v>0x703A7004,</v>
      </c>
      <c r="Z2" s="39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7"/>
      <c r="W3" s="36" t="s">
        <v>16</v>
      </c>
      <c r="X3" s="38" t="str">
        <f>S42</f>
        <v>48BF4F4D</v>
      </c>
      <c r="Y3" t="str">
        <f t="shared" si="0"/>
        <v>0x48BF4F4D,</v>
      </c>
      <c r="Z3" s="39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7"/>
      <c r="W4" s="36" t="s">
        <v>20</v>
      </c>
      <c r="X4" s="38" t="str">
        <f>S41</f>
        <v>4408076</v>
      </c>
      <c r="Y4" t="str">
        <f t="shared" si="0"/>
        <v>0x04408076,</v>
      </c>
      <c r="Z4" s="39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7">
        <v>1</v>
      </c>
      <c r="W5" s="36" t="s">
        <v>13</v>
      </c>
      <c r="X5" s="38" t="str">
        <f>R43</f>
        <v>703A7004</v>
      </c>
      <c r="Y5" t="str">
        <f t="shared" si="0"/>
        <v>0x703A7004,</v>
      </c>
      <c r="Z5" s="39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7"/>
      <c r="W6" s="36" t="s">
        <v>16</v>
      </c>
      <c r="X6" s="38" t="str">
        <f>R42</f>
        <v>48BF4F4D</v>
      </c>
      <c r="Y6" t="str">
        <f t="shared" si="0"/>
        <v>0x48BF4F4D,</v>
      </c>
      <c r="Z6" s="39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7"/>
      <c r="W7" s="36" t="s">
        <v>20</v>
      </c>
      <c r="X7" s="38" t="str">
        <f>R41</f>
        <v>44080AE</v>
      </c>
      <c r="Y7" t="str">
        <f t="shared" si="0"/>
        <v>0x044080AE,</v>
      </c>
      <c r="Z7" s="39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7">
        <v>2</v>
      </c>
      <c r="W8" s="36" t="s">
        <v>13</v>
      </c>
      <c r="X8" s="38" t="str">
        <f>Q43</f>
        <v>703A7004</v>
      </c>
      <c r="Y8" t="str">
        <f t="shared" si="0"/>
        <v>0x703A7004,</v>
      </c>
      <c r="Z8" s="39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7"/>
      <c r="W9" s="36" t="s">
        <v>16</v>
      </c>
      <c r="X9" s="38" t="str">
        <f>Q42</f>
        <v>48BF4F4D</v>
      </c>
      <c r="Y9" t="str">
        <f t="shared" si="0"/>
        <v>0x48BF4F4D,</v>
      </c>
      <c r="Z9" s="39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7"/>
      <c r="W10" s="36" t="s">
        <v>20</v>
      </c>
      <c r="X10" s="38" t="str">
        <f>Q41</f>
        <v>4408126</v>
      </c>
      <c r="Y10" t="str">
        <f t="shared" si="0"/>
        <v>0x04408126,</v>
      </c>
      <c r="Z10" s="39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7">
        <v>3</v>
      </c>
      <c r="W11" s="36" t="s">
        <v>13</v>
      </c>
      <c r="X11" s="38" t="str">
        <f>P43</f>
        <v>703A7004</v>
      </c>
      <c r="Y11" t="str">
        <f t="shared" si="0"/>
        <v>0x703A7004,</v>
      </c>
      <c r="Z11" s="39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10" t="s">
        <v>41</v>
      </c>
      <c r="F12" s="10" t="s">
        <v>41</v>
      </c>
      <c r="G12" s="10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5" t="s">
        <v>44</v>
      </c>
      <c r="Q12" s="35" t="s">
        <v>47</v>
      </c>
      <c r="R12" s="5" t="s">
        <v>48</v>
      </c>
      <c r="S12" s="5" t="s">
        <v>49</v>
      </c>
      <c r="V12" s="37"/>
      <c r="W12" s="36" t="s">
        <v>16</v>
      </c>
      <c r="X12" s="38" t="str">
        <f>P42</f>
        <v>48BF4F4D</v>
      </c>
      <c r="Y12" t="str">
        <f t="shared" si="0"/>
        <v>0x48BF4F4D,</v>
      </c>
      <c r="Z12" s="39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7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5" t="s">
        <v>19</v>
      </c>
      <c r="Q13" s="35" t="s">
        <v>11</v>
      </c>
      <c r="R13" s="5" t="s">
        <v>49</v>
      </c>
      <c r="S13" s="5" t="s">
        <v>48</v>
      </c>
      <c r="V13" s="37"/>
      <c r="W13" s="36" t="s">
        <v>20</v>
      </c>
      <c r="X13" s="38" t="str">
        <f>P41</f>
        <v>440814A</v>
      </c>
      <c r="Y13" t="str">
        <f t="shared" si="0"/>
        <v>0x0440814A,</v>
      </c>
      <c r="Z13" s="39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7">
        <v>4</v>
      </c>
      <c r="W14" s="36" t="s">
        <v>13</v>
      </c>
      <c r="X14" s="38" t="str">
        <f>O43</f>
        <v>703A7004</v>
      </c>
      <c r="Y14" t="str">
        <f t="shared" si="0"/>
        <v>0x703A7004,</v>
      </c>
      <c r="Z14" s="39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7"/>
      <c r="W15" s="36" t="s">
        <v>16</v>
      </c>
      <c r="X15" s="38" t="str">
        <f>O42</f>
        <v>48BF4F4D</v>
      </c>
      <c r="Y15" t="str">
        <f t="shared" si="0"/>
        <v>0x48BF4F4D,</v>
      </c>
      <c r="Z15" s="39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7"/>
      <c r="W16" s="36" t="s">
        <v>20</v>
      </c>
      <c r="X16" s="38" t="str">
        <f>O41</f>
        <v>4408136</v>
      </c>
      <c r="Y16" t="str">
        <f t="shared" si="0"/>
        <v>0x04408136,</v>
      </c>
      <c r="Z16" s="39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7">
        <v>5</v>
      </c>
      <c r="W17" s="36" t="s">
        <v>13</v>
      </c>
      <c r="X17" s="38" t="str">
        <f>N43</f>
        <v>703A7004</v>
      </c>
      <c r="Y17" t="str">
        <f t="shared" si="0"/>
        <v>0x703A7004,</v>
      </c>
      <c r="Z17" s="39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7"/>
      <c r="W18" s="36" t="s">
        <v>16</v>
      </c>
      <c r="X18" s="38" t="str">
        <f>N42</f>
        <v>48BF4F4D</v>
      </c>
      <c r="Y18" t="str">
        <f t="shared" si="0"/>
        <v>0x48BF4F4D,</v>
      </c>
      <c r="Z18" s="39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7"/>
      <c r="W19" s="36" t="s">
        <v>20</v>
      </c>
      <c r="X19" s="38" t="str">
        <f>N41</f>
        <v>440817A</v>
      </c>
      <c r="Y19" t="str">
        <f t="shared" si="0"/>
        <v>0x0440817A,</v>
      </c>
      <c r="Z19" s="39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7">
        <v>6</v>
      </c>
      <c r="W20" s="36" t="s">
        <v>13</v>
      </c>
      <c r="X20" s="38" t="str">
        <f>M43</f>
        <v>703A7004</v>
      </c>
      <c r="Y20" t="str">
        <f t="shared" si="0"/>
        <v>0x703A7004,</v>
      </c>
      <c r="Z20" s="39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7"/>
      <c r="W21" s="36" t="s">
        <v>16</v>
      </c>
      <c r="X21" s="38" t="str">
        <f>M42</f>
        <v>48BF4F4D</v>
      </c>
      <c r="Y21" t="str">
        <f t="shared" si="0"/>
        <v>0x48BF4F4D,</v>
      </c>
      <c r="Z21" s="39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7"/>
      <c r="W22" s="36" t="s">
        <v>20</v>
      </c>
      <c r="X22" s="38" t="str">
        <f>M41</f>
        <v>44081DA</v>
      </c>
      <c r="Y22" t="str">
        <f t="shared" si="0"/>
        <v>0x044081DA,</v>
      </c>
      <c r="Z22" s="39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7">
        <v>7</v>
      </c>
      <c r="W23" s="36" t="s">
        <v>13</v>
      </c>
      <c r="X23" s="38" t="str">
        <f>L43</f>
        <v>703A7005</v>
      </c>
      <c r="Y23" t="str">
        <f t="shared" si="0"/>
        <v>0x703A7005,</v>
      </c>
      <c r="Z23" s="39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7"/>
      <c r="W24" s="36" t="s">
        <v>16</v>
      </c>
      <c r="X24" s="38" t="str">
        <f>L42</f>
        <v>48BF4F4D</v>
      </c>
      <c r="Y24" t="str">
        <f t="shared" si="0"/>
        <v>0x48BF4F4D,</v>
      </c>
      <c r="Z24" s="39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7"/>
      <c r="W25" s="36" t="s">
        <v>20</v>
      </c>
      <c r="X25" s="38" t="str">
        <f>L41</f>
        <v>4408196</v>
      </c>
      <c r="Y25" t="str">
        <f t="shared" si="0"/>
        <v>0x04408196,</v>
      </c>
      <c r="Z25" s="39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7">
        <v>8</v>
      </c>
      <c r="W26" s="36" t="s">
        <v>13</v>
      </c>
      <c r="X26" s="38" t="str">
        <f>K43</f>
        <v>703A700C</v>
      </c>
      <c r="Y26" t="str">
        <f t="shared" si="0"/>
        <v>0x703A700C,</v>
      </c>
      <c r="Z26" s="39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7"/>
      <c r="W27" s="36" t="s">
        <v>16</v>
      </c>
      <c r="X27" s="38" t="str">
        <f>K42</f>
        <v>48BF4F4D</v>
      </c>
      <c r="Y27" t="str">
        <f t="shared" si="0"/>
        <v>0x48BF4F4D,</v>
      </c>
      <c r="Z27" s="39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7"/>
      <c r="W28" s="36" t="s">
        <v>20</v>
      </c>
      <c r="X28" s="38" t="str">
        <f>K41</f>
        <v>440814E</v>
      </c>
      <c r="Y28" t="str">
        <f t="shared" si="0"/>
        <v>0x0440814E,</v>
      </c>
      <c r="Z28" s="39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V29" s="37">
        <v>9</v>
      </c>
      <c r="W29" s="36" t="s">
        <v>13</v>
      </c>
      <c r="X29" s="38" t="str">
        <f>J43</f>
        <v>703A700C</v>
      </c>
      <c r="Y29" t="str">
        <f t="shared" si="0"/>
        <v>0x703A700C,</v>
      </c>
      <c r="Z29" s="39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7"/>
      <c r="W30" s="36" t="s">
        <v>16</v>
      </c>
      <c r="X30" s="38" t="str">
        <f>J42</f>
        <v>48BF4F4D</v>
      </c>
      <c r="Y30" t="str">
        <f t="shared" si="0"/>
        <v>0x48BF4F4D,</v>
      </c>
      <c r="Z30" s="39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7"/>
      <c r="W31" s="36" t="s">
        <v>20</v>
      </c>
      <c r="X31" s="38" t="str">
        <f>J41</f>
        <v>440818E</v>
      </c>
      <c r="Y31" t="str">
        <f t="shared" si="0"/>
        <v>0x0440818E,</v>
      </c>
      <c r="Z31" s="39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41</v>
      </c>
      <c r="F32" s="4" t="s">
        <v>41</v>
      </c>
      <c r="G32" s="2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7" t="s">
        <v>99</v>
      </c>
      <c r="W32" s="36" t="s">
        <v>13</v>
      </c>
      <c r="X32" s="38" t="str">
        <f>I43</f>
        <v>703A700F</v>
      </c>
      <c r="Y32" t="str">
        <f t="shared" si="0"/>
        <v>0x703A700F,</v>
      </c>
      <c r="Z32" s="39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48</v>
      </c>
      <c r="F33" s="4" t="s">
        <v>48</v>
      </c>
      <c r="G33" s="2" t="s">
        <v>48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7"/>
      <c r="W33" s="36" t="s">
        <v>16</v>
      </c>
      <c r="X33" s="38" t="str">
        <f>I42</f>
        <v>48BF4F4D</v>
      </c>
      <c r="Y33" t="str">
        <f t="shared" si="0"/>
        <v>0x48BF4F4D,</v>
      </c>
      <c r="Z33" s="39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7"/>
      <c r="W34" s="36" t="s">
        <v>20</v>
      </c>
      <c r="X34" s="38" t="str">
        <f>I41</f>
        <v>4408152</v>
      </c>
      <c r="Y34" t="str">
        <f t="shared" si="0"/>
        <v>0x04408152,</v>
      </c>
      <c r="Z34" s="39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7" t="s">
        <v>106</v>
      </c>
      <c r="W35" s="36" t="s">
        <v>13</v>
      </c>
      <c r="X35" s="38" t="str">
        <f>H43</f>
        <v>703A700F</v>
      </c>
      <c r="Y35" t="str">
        <f t="shared" si="0"/>
        <v>0x703A700F,</v>
      </c>
      <c r="Z35" s="39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7"/>
      <c r="W36" s="36" t="s">
        <v>16</v>
      </c>
      <c r="X36" s="38" t="str">
        <f>H42</f>
        <v>48BF4F4D</v>
      </c>
      <c r="Y36" t="str">
        <f t="shared" si="0"/>
        <v>0x48BF4F4D,</v>
      </c>
      <c r="Z36" s="39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7"/>
      <c r="W37" s="36" t="s">
        <v>20</v>
      </c>
      <c r="X37" s="38" t="str">
        <f>H41</f>
        <v>44081B2</v>
      </c>
      <c r="Y37" t="str">
        <f t="shared" si="0"/>
        <v>0x044081B2,</v>
      </c>
      <c r="Z37" s="39"/>
    </row>
    <row r="38" spans="22:26">
      <c r="V38" s="37" t="s">
        <v>112</v>
      </c>
      <c r="W38" s="36" t="s">
        <v>13</v>
      </c>
      <c r="X38" s="38" t="str">
        <f>G43</f>
        <v>707D700F</v>
      </c>
      <c r="Y38" t="str">
        <f t="shared" si="0"/>
        <v>0x707D700F,</v>
      </c>
      <c r="Z38" s="39" t="s">
        <v>113</v>
      </c>
    </row>
    <row r="39" spans="1:26">
      <c r="A39" t="s">
        <v>114</v>
      </c>
      <c r="V39" s="37"/>
      <c r="W39" s="36" t="s">
        <v>16</v>
      </c>
      <c r="X39" s="38" t="str">
        <f>G42</f>
        <v>48BF4F4D</v>
      </c>
      <c r="Y39" t="str">
        <f t="shared" si="0"/>
        <v>0x48BF4F4D,</v>
      </c>
      <c r="Z39" s="39"/>
    </row>
    <row r="40" spans="1:26">
      <c r="A40" s="12" t="s">
        <v>115</v>
      </c>
      <c r="B40" s="12"/>
      <c r="C40" s="12"/>
      <c r="D40" s="12">
        <v>22</v>
      </c>
      <c r="E40" s="12">
        <v>20</v>
      </c>
      <c r="F40" s="12">
        <v>18</v>
      </c>
      <c r="G40" s="12">
        <v>16</v>
      </c>
      <c r="H40" s="12">
        <v>14</v>
      </c>
      <c r="I40" s="12">
        <v>12</v>
      </c>
      <c r="J40" s="12">
        <v>10</v>
      </c>
      <c r="K40" s="12">
        <v>8</v>
      </c>
      <c r="L40" s="12">
        <v>6</v>
      </c>
      <c r="M40" s="12">
        <v>4</v>
      </c>
      <c r="N40" s="12">
        <v>2</v>
      </c>
      <c r="O40" s="12">
        <v>0</v>
      </c>
      <c r="P40" s="12">
        <v>-2</v>
      </c>
      <c r="Q40" s="12">
        <v>-4</v>
      </c>
      <c r="R40" s="12">
        <v>-6</v>
      </c>
      <c r="S40" s="12">
        <v>-8</v>
      </c>
      <c r="V40" s="37"/>
      <c r="W40" s="36" t="s">
        <v>20</v>
      </c>
      <c r="X40" s="38" t="str">
        <f>G41</f>
        <v>4408166</v>
      </c>
      <c r="Y40" t="str">
        <f t="shared" si="0"/>
        <v>0x04408166,</v>
      </c>
      <c r="Z40" s="39"/>
    </row>
    <row r="41" spans="1:26">
      <c r="A41" s="13" t="s">
        <v>116</v>
      </c>
      <c r="B41" s="14"/>
      <c r="C41" s="14"/>
      <c r="D41" s="15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5" t="str">
        <f t="shared" si="1"/>
        <v>44081F6</v>
      </c>
      <c r="F41" s="15" t="str">
        <f t="shared" si="1"/>
        <v>44081EA</v>
      </c>
      <c r="G41" s="15" t="str">
        <f t="shared" si="1"/>
        <v>4408166</v>
      </c>
      <c r="H41" s="15" t="str">
        <f t="shared" si="1"/>
        <v>44081B2</v>
      </c>
      <c r="I41" s="15" t="str">
        <f t="shared" si="1"/>
        <v>4408152</v>
      </c>
      <c r="J41" s="15" t="str">
        <f t="shared" si="1"/>
        <v>440818E</v>
      </c>
      <c r="K41" s="15" t="str">
        <f t="shared" si="1"/>
        <v>440814E</v>
      </c>
      <c r="L41" s="15" t="str">
        <f t="shared" si="1"/>
        <v>4408196</v>
      </c>
      <c r="M41" s="15" t="str">
        <f t="shared" si="1"/>
        <v>44081DA</v>
      </c>
      <c r="N41" s="15" t="str">
        <f t="shared" si="1"/>
        <v>440817A</v>
      </c>
      <c r="O41" s="15" t="str">
        <f t="shared" si="1"/>
        <v>4408136</v>
      </c>
      <c r="P41" s="15" t="str">
        <f t="shared" si="1"/>
        <v>440814A</v>
      </c>
      <c r="Q41" s="15" t="str">
        <f t="shared" si="1"/>
        <v>4408126</v>
      </c>
      <c r="R41" s="15" t="str">
        <f t="shared" si="1"/>
        <v>44080AE</v>
      </c>
      <c r="S41" s="15" t="str">
        <f t="shared" si="1"/>
        <v>4408076</v>
      </c>
      <c r="V41" s="37" t="s">
        <v>117</v>
      </c>
      <c r="W41" s="36" t="s">
        <v>13</v>
      </c>
      <c r="X41" s="38" t="str">
        <f>F43</f>
        <v>707D700F</v>
      </c>
      <c r="Y41" t="str">
        <f t="shared" si="0"/>
        <v>0x707D700F,</v>
      </c>
      <c r="Z41" s="39" t="s">
        <v>118</v>
      </c>
    </row>
    <row r="42" spans="1:26">
      <c r="A42" s="13" t="s">
        <v>119</v>
      </c>
      <c r="B42" s="14"/>
      <c r="C42" s="14"/>
      <c r="D42" s="15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5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5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5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5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5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5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5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5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5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5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5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5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5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5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5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7"/>
      <c r="W42" s="36" t="s">
        <v>16</v>
      </c>
      <c r="X42" s="38" t="str">
        <f>F42</f>
        <v>48BF4F4D</v>
      </c>
      <c r="Y42" t="str">
        <f t="shared" si="0"/>
        <v>0x48BF4F4D,</v>
      </c>
      <c r="Z42" s="39"/>
    </row>
    <row r="43" spans="1:26">
      <c r="A43" s="13" t="s">
        <v>120</v>
      </c>
      <c r="B43" s="14"/>
      <c r="C43" s="14"/>
      <c r="D43" s="15" t="str">
        <f>DEC2HEX(D37+64*D36+POWER(2,12)*D35+POWER(2,15)*D34+POWER(2,16)*D33+POWER(2,19)*D32+POWER(2,23)*D31+POWER(2,29)*D30+POWER(2,31)*MOD(D29,$C29))</f>
        <v>0</v>
      </c>
      <c r="E43" s="15" t="str">
        <f>DEC2HEX(E37+64*E36+POWER(2,12)*E35+POWER(2,15)*E34+POWER(2,16)*E33+POWER(2,19)*E32+POWER(2,23)*E31+POWER(2,29)*E30+POWER(2,31)*MOD(E29,$C29))</f>
        <v>707D700F</v>
      </c>
      <c r="F43" s="15" t="str">
        <f>DEC2HEX(F37+64*F36+POWER(2,12)*F35+POWER(2,15)*F34+POWER(2,16)*F33+POWER(2,19)*F32+POWER(2,23)*F31+POWER(2,29)*F30+POWER(2,31)*MOD(F29,$C29))</f>
        <v>707D700F</v>
      </c>
      <c r="G43" s="15" t="str">
        <f>DEC2HEX(G37+64*G36+POWER(2,12)*G35+POWER(2,15)*G34+POWER(2,16)*G33+POWER(2,19)*G32+POWER(2,23)*G31+POWER(2,29)*G30+POWER(2,31)*MOD(G29,$C29))</f>
        <v>707D700F</v>
      </c>
      <c r="H43" s="15" t="str">
        <f>DEC2HEX(H37+64*H36+POWER(2,12)*H35+POWER(2,15)*H34+POWER(2,16)*H33+POWER(2,19)*H32+POWER(2,23)*H31+POWER(2,29)*H30+POWER(2,31)*MOD(H29,$C29))</f>
        <v>703A700F</v>
      </c>
      <c r="I43" s="15" t="str">
        <f>DEC2HEX(I37+64*I36+POWER(2,12)*I35+POWER(2,15)*I34+POWER(2,16)*I33+POWER(2,19)*I32+POWER(2,23)*I31+POWER(2,29)*I30+POWER(2,31)*MOD(I29,$C29))</f>
        <v>703A700F</v>
      </c>
      <c r="J43" s="15" t="str">
        <f>DEC2HEX(J37+64*J36+POWER(2,12)*J35+POWER(2,15)*J34+POWER(2,16)*J33+POWER(2,19)*J32+POWER(2,23)*J31+POWER(2,29)*J30+POWER(2,31)*MOD(J29,$C29))</f>
        <v>703A700C</v>
      </c>
      <c r="K43" s="15" t="str">
        <f>DEC2HEX(K37+64*K36+POWER(2,12)*K35+POWER(2,15)*K34+POWER(2,16)*K33+POWER(2,19)*K32+POWER(2,23)*K31+POWER(2,29)*K30+POWER(2,31)*MOD(K29,$C29))</f>
        <v>703A700C</v>
      </c>
      <c r="L43" s="15" t="str">
        <f>DEC2HEX(L37+64*L36+POWER(2,12)*L35+POWER(2,15)*L34+POWER(2,16)*L33+POWER(2,19)*L32+POWER(2,23)*L31+POWER(2,29)*L30+POWER(2,31)*MOD(L29,$C29))</f>
        <v>703A7005</v>
      </c>
      <c r="M43" s="15" t="str">
        <f>DEC2HEX(M37+64*M36+POWER(2,12)*M35+POWER(2,15)*M34+POWER(2,16)*M33+POWER(2,19)*M32+POWER(2,23)*M31+POWER(2,29)*M30+POWER(2,31)*MOD(M29,$C29))</f>
        <v>703A7004</v>
      </c>
      <c r="N43" s="15" t="str">
        <f>DEC2HEX(N37+64*N36+POWER(2,12)*N35+POWER(2,15)*N34+POWER(2,16)*N33+POWER(2,19)*N32+POWER(2,23)*N31+POWER(2,29)*N30+POWER(2,31)*MOD(N29,$C29))</f>
        <v>703A7004</v>
      </c>
      <c r="O43" s="15" t="str">
        <f>DEC2HEX(O37+64*O36+POWER(2,12)*O35+POWER(2,15)*O34+POWER(2,16)*O33+POWER(2,19)*O32+POWER(2,23)*O31+POWER(2,29)*O30+POWER(2,31)*MOD(O29,$C29))</f>
        <v>703A7004</v>
      </c>
      <c r="P43" s="15" t="str">
        <f>DEC2HEX(P37+64*P36+POWER(2,12)*P35+POWER(2,15)*P34+POWER(2,16)*P33+POWER(2,19)*P32+POWER(2,23)*P31+POWER(2,29)*P30+POWER(2,31)*MOD(P29,$C29))</f>
        <v>703A7004</v>
      </c>
      <c r="Q43" s="15" t="str">
        <f>DEC2HEX(Q37+64*Q36+POWER(2,12)*Q35+POWER(2,15)*Q34+POWER(2,16)*Q33+POWER(2,19)*Q32+POWER(2,23)*Q31+POWER(2,29)*Q30+POWER(2,31)*MOD(Q29,$C29))</f>
        <v>703A7004</v>
      </c>
      <c r="R43" s="15" t="str">
        <f>DEC2HEX(R37+64*R36+POWER(2,12)*R35+POWER(2,15)*R34+POWER(2,16)*R33+POWER(2,19)*R32+POWER(2,23)*R31+POWER(2,29)*R30+POWER(2,31)*MOD(R29,$C29))</f>
        <v>703A7004</v>
      </c>
      <c r="S43" s="15" t="str">
        <f>DEC2HEX(S37+64*S36+POWER(2,12)*S35+POWER(2,15)*S34+POWER(2,16)*S33+POWER(2,19)*S32+POWER(2,23)*S31+POWER(2,29)*S30+POWER(2,31)*MOD(S29,$C29))</f>
        <v>703A7004</v>
      </c>
      <c r="V43" s="37"/>
      <c r="W43" s="36" t="s">
        <v>20</v>
      </c>
      <c r="X43" s="38" t="str">
        <f>F41</f>
        <v>44081EA</v>
      </c>
      <c r="Y43" t="str">
        <f t="shared" si="0"/>
        <v>0x044081EA,</v>
      </c>
      <c r="Z43" s="39"/>
    </row>
    <row r="44" spans="4:26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V44" s="37" t="s">
        <v>121</v>
      </c>
      <c r="W44" s="36" t="s">
        <v>13</v>
      </c>
      <c r="X44" s="38" t="str">
        <f>E43</f>
        <v>707D700F</v>
      </c>
      <c r="Y44" t="str">
        <f t="shared" si="0"/>
        <v>0x707D700F,</v>
      </c>
      <c r="Z44" s="39" t="s">
        <v>122</v>
      </c>
    </row>
    <row r="45" spans="1:26">
      <c r="A45" s="28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V45" s="37"/>
      <c r="W45" s="36" t="s">
        <v>16</v>
      </c>
      <c r="X45" s="38" t="str">
        <f>E42</f>
        <v>48BF4F4D</v>
      </c>
      <c r="Y45" t="str">
        <f t="shared" si="0"/>
        <v>0x48BF4F4D,</v>
      </c>
      <c r="Z45" s="39"/>
    </row>
    <row r="46" spans="2:26">
      <c r="B46" s="28"/>
      <c r="C46" s="28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V46" s="37"/>
      <c r="W46" s="36" t="s">
        <v>20</v>
      </c>
      <c r="X46" s="38" t="str">
        <f>E41</f>
        <v>44081F6</v>
      </c>
      <c r="Y46" t="str">
        <f t="shared" si="0"/>
        <v>0x044081F6,</v>
      </c>
      <c r="Z46" s="39"/>
    </row>
    <row r="47" spans="1:26">
      <c r="A47" s="17"/>
      <c r="B47" s="20"/>
      <c r="C47" s="20"/>
      <c r="D47" s="22"/>
      <c r="E47" s="30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V47" s="37" t="s">
        <v>123</v>
      </c>
      <c r="W47" s="36" t="s">
        <v>13</v>
      </c>
      <c r="X47" s="38" t="str">
        <f>D43</f>
        <v>0</v>
      </c>
      <c r="Y47" t="str">
        <f t="shared" si="0"/>
        <v>0x00000000,</v>
      </c>
      <c r="Z47" s="39" t="s">
        <v>124</v>
      </c>
    </row>
    <row r="48" spans="1:26">
      <c r="A48" s="17"/>
      <c r="B48" s="24"/>
      <c r="C48" s="24"/>
      <c r="D48" s="26"/>
      <c r="E48" s="4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V48" s="36"/>
      <c r="W48" s="36" t="s">
        <v>16</v>
      </c>
      <c r="X48" s="38" t="str">
        <f>D42</f>
        <v>0</v>
      </c>
      <c r="Y48" t="str">
        <f t="shared" si="0"/>
        <v>0x00000000,</v>
      </c>
      <c r="Z48" s="39"/>
    </row>
    <row r="49" spans="2:26">
      <c r="B49" s="26"/>
      <c r="C49" s="26"/>
      <c r="D49" s="26"/>
      <c r="E49" s="4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V49" s="36"/>
      <c r="W49" s="36" t="s">
        <v>20</v>
      </c>
      <c r="X49" s="38" t="str">
        <f>D41</f>
        <v>0</v>
      </c>
      <c r="Y49" t="str">
        <f t="shared" si="0"/>
        <v>0x00000000,</v>
      </c>
      <c r="Z49" s="39"/>
    </row>
    <row r="50" spans="2:5">
      <c r="B50" s="26"/>
      <c r="C50" s="26"/>
      <c r="D50" s="26"/>
      <c r="E50" s="46"/>
    </row>
    <row r="51" spans="1:4">
      <c r="A51" s="28"/>
      <c r="B51" s="28"/>
      <c r="C51" s="28"/>
      <c r="D51" s="28"/>
    </row>
    <row r="52" spans="1:5">
      <c r="A52" s="30"/>
      <c r="B52" s="31"/>
      <c r="C52" s="31"/>
      <c r="D52" s="31"/>
      <c r="E52" s="29"/>
    </row>
    <row r="53" spans="1:5">
      <c r="A53" s="30"/>
      <c r="B53" s="31"/>
      <c r="C53" s="31"/>
      <c r="D53" s="31"/>
      <c r="E53" s="29"/>
    </row>
    <row r="54" spans="1:5">
      <c r="A54" s="30"/>
      <c r="B54" s="31"/>
      <c r="C54" s="31"/>
      <c r="D54" s="31"/>
      <c r="E54" s="29"/>
    </row>
    <row r="55" spans="1:5">
      <c r="A55" s="30"/>
      <c r="B55" s="31"/>
      <c r="C55" s="31"/>
      <c r="D55" s="31"/>
      <c r="E55" s="29"/>
    </row>
    <row r="56" spans="1:5">
      <c r="A56" s="30"/>
      <c r="B56" s="31"/>
      <c r="C56" s="31"/>
      <c r="D56" s="31"/>
      <c r="E56" s="29"/>
    </row>
    <row r="57" spans="1:5">
      <c r="A57" s="30"/>
      <c r="B57" s="31"/>
      <c r="C57" s="32"/>
      <c r="D57" s="32"/>
      <c r="E57" s="29"/>
    </row>
    <row r="58" spans="1:5">
      <c r="A58" s="30"/>
      <c r="B58" s="31"/>
      <c r="C58" s="31"/>
      <c r="D58" s="31"/>
      <c r="E58" s="29"/>
    </row>
    <row r="59" spans="1:4">
      <c r="A59" s="22"/>
      <c r="B59" s="28"/>
      <c r="C59" s="28"/>
      <c r="D59" s="28"/>
    </row>
    <row r="60" spans="1:4">
      <c r="A60" s="40"/>
      <c r="B60" s="41"/>
      <c r="C60" s="41"/>
      <c r="D60" s="41"/>
    </row>
    <row r="61" spans="1:4">
      <c r="A61" s="40"/>
      <c r="B61" s="43"/>
      <c r="C61" s="43"/>
      <c r="D61" s="47"/>
    </row>
    <row r="62" spans="1:4">
      <c r="A62" s="40"/>
      <c r="B62" s="41"/>
      <c r="C62" s="41"/>
      <c r="D62" s="41"/>
    </row>
    <row r="63" spans="1:4">
      <c r="A63" s="40"/>
      <c r="B63" s="41"/>
      <c r="C63" s="41"/>
      <c r="D63" s="41"/>
    </row>
    <row r="64" spans="1:4">
      <c r="A64" s="40"/>
      <c r="B64" s="41"/>
      <c r="C64" s="41"/>
      <c r="D64" s="41"/>
    </row>
    <row r="65" spans="1:5">
      <c r="A65" s="30"/>
      <c r="B65" s="31"/>
      <c r="C65" s="31"/>
      <c r="D65" s="31"/>
      <c r="E65" s="16"/>
    </row>
    <row r="66" spans="1:5">
      <c r="A66" s="30"/>
      <c r="B66" s="31"/>
      <c r="C66" s="31"/>
      <c r="D66" s="31"/>
      <c r="E66" s="16"/>
    </row>
    <row r="67" spans="1:5">
      <c r="A67" s="30"/>
      <c r="B67" s="31"/>
      <c r="C67" s="31"/>
      <c r="D67" s="31"/>
      <c r="E67" s="16"/>
    </row>
    <row r="68" spans="1:5">
      <c r="A68" s="30"/>
      <c r="B68" s="31"/>
      <c r="C68" s="31"/>
      <c r="D68" s="31"/>
      <c r="E68" s="16"/>
    </row>
    <row r="69" spans="1:4">
      <c r="A69" s="30"/>
      <c r="B69" s="31"/>
      <c r="C69" s="31"/>
      <c r="D69" s="31"/>
    </row>
    <row r="70" spans="1:4">
      <c r="A70" s="30"/>
      <c r="B70" s="31"/>
      <c r="C70" s="31"/>
      <c r="D70" s="31"/>
    </row>
    <row r="71" spans="1:4">
      <c r="A71" s="30"/>
      <c r="B71" s="31"/>
      <c r="C71" s="31"/>
      <c r="D71" s="31"/>
    </row>
    <row r="72" spans="1:4">
      <c r="A72" s="30"/>
      <c r="B72" s="31"/>
      <c r="C72" s="31"/>
      <c r="D72" s="31"/>
    </row>
    <row r="73" spans="1:4">
      <c r="A73" s="42"/>
      <c r="B73" s="43"/>
      <c r="C73" s="43"/>
      <c r="D73" s="43"/>
    </row>
    <row r="74" spans="1:4">
      <c r="A74" s="42"/>
      <c r="B74" s="48"/>
      <c r="C74" s="43"/>
      <c r="D74" s="43"/>
    </row>
    <row r="75" spans="1:4">
      <c r="A75" s="22"/>
      <c r="B75" s="28"/>
      <c r="C75" s="28"/>
      <c r="D75" s="28"/>
    </row>
    <row r="76" spans="1:4">
      <c r="A76" s="22"/>
      <c r="B76" s="28"/>
      <c r="C76" s="28"/>
      <c r="D76" s="28"/>
    </row>
    <row r="77" spans="1:4">
      <c r="A77" s="22"/>
      <c r="B77" s="28"/>
      <c r="C77" s="28"/>
      <c r="D77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C34" sqref="C34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6" t="s">
        <v>9</v>
      </c>
      <c r="W1" s="36"/>
      <c r="X1" s="36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7">
        <v>0</v>
      </c>
      <c r="W2" s="36" t="s">
        <v>13</v>
      </c>
      <c r="X2" s="38" t="str">
        <f>S43</f>
        <v>103C7002</v>
      </c>
      <c r="Y2" t="str">
        <f>"0x"&amp;RIGHT("00000000"&amp;X2,8)&amp;","</f>
        <v>0x103C7002,</v>
      </c>
      <c r="Z2" s="39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7"/>
      <c r="W3" s="36" t="s">
        <v>16</v>
      </c>
      <c r="X3" s="38" t="str">
        <f>S42</f>
        <v>48BF4F4C</v>
      </c>
      <c r="Y3" t="str">
        <f t="shared" ref="Y3:Y49" si="0">"0x"&amp;RIGHT("00000000"&amp;X3,8)&amp;","</f>
        <v>0x48BF4F4C,</v>
      </c>
      <c r="Z3" s="39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7"/>
      <c r="W4" s="36" t="s">
        <v>20</v>
      </c>
      <c r="X4" s="38" t="str">
        <f>S41</f>
        <v>44080B2</v>
      </c>
      <c r="Y4" t="str">
        <f t="shared" si="0"/>
        <v>0x044080B2,</v>
      </c>
      <c r="Z4" s="39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7">
        <v>1</v>
      </c>
      <c r="W5" s="36" t="s">
        <v>13</v>
      </c>
      <c r="X5" s="38" t="str">
        <f>R43</f>
        <v>103C7004</v>
      </c>
      <c r="Y5" t="str">
        <f t="shared" si="0"/>
        <v>0x103C7004,</v>
      </c>
      <c r="Z5" s="39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7"/>
      <c r="W6" s="36" t="s">
        <v>16</v>
      </c>
      <c r="X6" s="38" t="str">
        <f>R42</f>
        <v>48BF4F4C</v>
      </c>
      <c r="Y6" t="str">
        <f t="shared" si="0"/>
        <v>0x48BF4F4C,</v>
      </c>
      <c r="Z6" s="39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7"/>
      <c r="W7" s="36" t="s">
        <v>20</v>
      </c>
      <c r="X7" s="38" t="str">
        <f>R41</f>
        <v>440806E</v>
      </c>
      <c r="Y7" t="str">
        <f t="shared" si="0"/>
        <v>0x0440806E,</v>
      </c>
      <c r="Z7" s="39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7">
        <v>2</v>
      </c>
      <c r="W8" s="36" t="s">
        <v>13</v>
      </c>
      <c r="X8" s="38" t="str">
        <f>Q43</f>
        <v>103C7004</v>
      </c>
      <c r="Y8" t="str">
        <f t="shared" si="0"/>
        <v>0x103C7004,</v>
      </c>
      <c r="Z8" s="39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7"/>
      <c r="W9" s="36" t="s">
        <v>16</v>
      </c>
      <c r="X9" s="38" t="str">
        <f>Q42</f>
        <v>48BF4F4C</v>
      </c>
      <c r="Y9" t="str">
        <f t="shared" si="0"/>
        <v>0x48BF4F4C,</v>
      </c>
      <c r="Z9" s="39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7"/>
      <c r="W10" s="36" t="s">
        <v>20</v>
      </c>
      <c r="X10" s="38" t="str">
        <f>Q41</f>
        <v>4408076</v>
      </c>
      <c r="Y10" t="str">
        <f t="shared" si="0"/>
        <v>0x04408076,</v>
      </c>
      <c r="Z10" s="39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7">
        <v>3</v>
      </c>
      <c r="W11" s="36" t="s">
        <v>13</v>
      </c>
      <c r="X11" s="38" t="str">
        <f>P43</f>
        <v>103C7004</v>
      </c>
      <c r="Y11" t="str">
        <f t="shared" si="0"/>
        <v>0x103C7004,</v>
      </c>
      <c r="Z11" s="39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5" t="s">
        <v>98</v>
      </c>
      <c r="Q12" s="35" t="s">
        <v>49</v>
      </c>
      <c r="R12" s="5" t="s">
        <v>49</v>
      </c>
      <c r="S12" s="5" t="s">
        <v>48</v>
      </c>
      <c r="V12" s="37"/>
      <c r="W12" s="36" t="s">
        <v>16</v>
      </c>
      <c r="X12" s="38" t="str">
        <f>P42</f>
        <v>48BF4F4C</v>
      </c>
      <c r="Y12" t="str">
        <f t="shared" si="0"/>
        <v>0x48BF4F4C,</v>
      </c>
      <c r="Z12" s="39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5" t="s">
        <v>11</v>
      </c>
      <c r="Q13" s="35" t="s">
        <v>48</v>
      </c>
      <c r="R13" s="5" t="s">
        <v>49</v>
      </c>
      <c r="S13" s="5" t="s">
        <v>25</v>
      </c>
      <c r="V13" s="37"/>
      <c r="W13" s="36" t="s">
        <v>20</v>
      </c>
      <c r="X13" s="38" t="str">
        <f>P41</f>
        <v>44080E6</v>
      </c>
      <c r="Y13" t="str">
        <f t="shared" si="0"/>
        <v>0x044080E6,</v>
      </c>
      <c r="Z13" s="39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7">
        <v>4</v>
      </c>
      <c r="W14" s="36" t="s">
        <v>13</v>
      </c>
      <c r="X14" s="38" t="str">
        <f>O43</f>
        <v>103C7004</v>
      </c>
      <c r="Y14" t="str">
        <f t="shared" si="0"/>
        <v>0x103C7004,</v>
      </c>
      <c r="Z14" s="39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7"/>
      <c r="W15" s="36" t="s">
        <v>16</v>
      </c>
      <c r="X15" s="38" t="str">
        <f>O42</f>
        <v>48BF4F4C</v>
      </c>
      <c r="Y15" t="str">
        <f t="shared" si="0"/>
        <v>0x48BF4F4C,</v>
      </c>
      <c r="Z15" s="39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7"/>
      <c r="W16" s="36" t="s">
        <v>20</v>
      </c>
      <c r="X16" s="38" t="str">
        <f>O41</f>
        <v>440810A</v>
      </c>
      <c r="Y16" t="str">
        <f t="shared" si="0"/>
        <v>0x0440810A,</v>
      </c>
      <c r="Z16" s="39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7">
        <v>5</v>
      </c>
      <c r="W17" s="36" t="s">
        <v>13</v>
      </c>
      <c r="X17" s="38" t="str">
        <f>N43</f>
        <v>103C7004</v>
      </c>
      <c r="Y17" t="str">
        <f t="shared" si="0"/>
        <v>0x103C7004,</v>
      </c>
      <c r="Z17" s="39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7"/>
      <c r="W18" s="36" t="s">
        <v>16</v>
      </c>
      <c r="X18" s="38" t="str">
        <f>N42</f>
        <v>48BF4F4C</v>
      </c>
      <c r="Y18" t="str">
        <f t="shared" si="0"/>
        <v>0x48BF4F4C,</v>
      </c>
      <c r="Z18" s="39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7"/>
      <c r="W19" s="36" t="s">
        <v>20</v>
      </c>
      <c r="X19" s="38" t="str">
        <f>N41</f>
        <v>440812E</v>
      </c>
      <c r="Y19" t="str">
        <f t="shared" si="0"/>
        <v>0x0440812E,</v>
      </c>
      <c r="Z19" s="39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7">
        <v>6</v>
      </c>
      <c r="W20" s="36" t="s">
        <v>13</v>
      </c>
      <c r="X20" s="38" t="str">
        <f>M43</f>
        <v>103C7008</v>
      </c>
      <c r="Y20" t="str">
        <f t="shared" si="0"/>
        <v>0x103C7008,</v>
      </c>
      <c r="Z20" s="39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7"/>
      <c r="W21" s="36" t="s">
        <v>16</v>
      </c>
      <c r="X21" s="38" t="str">
        <f>M42</f>
        <v>48BF4F4C</v>
      </c>
      <c r="Y21" t="str">
        <f t="shared" si="0"/>
        <v>0x48BF4F4C,</v>
      </c>
      <c r="Z21" s="39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7"/>
      <c r="W22" s="36" t="s">
        <v>20</v>
      </c>
      <c r="X22" s="38" t="str">
        <f>M41</f>
        <v>4408126</v>
      </c>
      <c r="Y22" t="str">
        <f t="shared" si="0"/>
        <v>0x04408126,</v>
      </c>
      <c r="Z22" s="39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7">
        <v>7</v>
      </c>
      <c r="W23" s="36" t="s">
        <v>13</v>
      </c>
      <c r="X23" s="38" t="str">
        <f>L43</f>
        <v>103C7008</v>
      </c>
      <c r="Y23" t="str">
        <f t="shared" si="0"/>
        <v>0x103C7008,</v>
      </c>
      <c r="Z23" s="39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7"/>
      <c r="W24" s="36" t="s">
        <v>16</v>
      </c>
      <c r="X24" s="38" t="str">
        <f>L42</f>
        <v>48BF4F4C</v>
      </c>
      <c r="Y24" t="str">
        <f t="shared" si="0"/>
        <v>0x48BF4F4C,</v>
      </c>
      <c r="Z24" s="39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7"/>
      <c r="W25" s="36" t="s">
        <v>20</v>
      </c>
      <c r="X25" s="38" t="str">
        <f>L41</f>
        <v>440814A</v>
      </c>
      <c r="Y25" t="str">
        <f t="shared" si="0"/>
        <v>0x0440814A,</v>
      </c>
      <c r="Z25" s="39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7">
        <v>8</v>
      </c>
      <c r="W26" s="36" t="s">
        <v>13</v>
      </c>
      <c r="X26" s="38" t="str">
        <f>K43</f>
        <v>103C700C</v>
      </c>
      <c r="Y26" t="str">
        <f t="shared" si="0"/>
        <v>0x103C700C,</v>
      </c>
      <c r="Z26" s="39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7"/>
      <c r="W27" s="36" t="s">
        <v>16</v>
      </c>
      <c r="X27" s="38" t="str">
        <f>K42</f>
        <v>48BF4F4C</v>
      </c>
      <c r="Y27" t="str">
        <f t="shared" si="0"/>
        <v>0x48BF4F4C,</v>
      </c>
      <c r="Z27" s="39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7"/>
      <c r="W28" s="36" t="s">
        <v>20</v>
      </c>
      <c r="X28" s="38" t="str">
        <f>K41</f>
        <v>4408106</v>
      </c>
      <c r="Y28" t="str">
        <f t="shared" si="0"/>
        <v>0x04408106,</v>
      </c>
      <c r="Z28" s="39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7">
        <v>9</v>
      </c>
      <c r="W29" s="36" t="s">
        <v>13</v>
      </c>
      <c r="X29" s="38" t="str">
        <f>J43</f>
        <v>103C700C</v>
      </c>
      <c r="Y29" t="str">
        <f t="shared" si="0"/>
        <v>0x103C700C,</v>
      </c>
      <c r="Z29" s="39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7"/>
      <c r="W30" s="36" t="s">
        <v>16</v>
      </c>
      <c r="X30" s="38" t="str">
        <f>J42</f>
        <v>48BF4F4C</v>
      </c>
      <c r="Y30" t="str">
        <f t="shared" si="0"/>
        <v>0x48BF4F4C,</v>
      </c>
      <c r="Z30" s="39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7"/>
      <c r="W31" s="36" t="s">
        <v>20</v>
      </c>
      <c r="X31" s="38" t="str">
        <f>J41</f>
        <v>440810E</v>
      </c>
      <c r="Y31" t="str">
        <f t="shared" si="0"/>
        <v>0x0440810E,</v>
      </c>
      <c r="Z31" s="39"/>
    </row>
    <row r="32" spans="1:26">
      <c r="A32" s="2" t="s">
        <v>96</v>
      </c>
      <c r="B32" s="2" t="s">
        <v>97</v>
      </c>
      <c r="C32" s="3" t="s">
        <v>25</v>
      </c>
      <c r="D32" s="4"/>
      <c r="E32" s="10" t="s">
        <v>41</v>
      </c>
      <c r="F32" s="10" t="s">
        <v>41</v>
      </c>
      <c r="G32" s="10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7" t="s">
        <v>99</v>
      </c>
      <c r="W32" s="36" t="s">
        <v>13</v>
      </c>
      <c r="X32" s="38" t="str">
        <f>I43</f>
        <v>103C700F</v>
      </c>
      <c r="Y32" t="str">
        <f t="shared" si="0"/>
        <v>0x103C700F,</v>
      </c>
      <c r="Z32" s="39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11" t="s">
        <v>98</v>
      </c>
      <c r="F33" s="11" t="s">
        <v>98</v>
      </c>
      <c r="G33" s="11" t="s">
        <v>98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7"/>
      <c r="W33" s="36" t="s">
        <v>16</v>
      </c>
      <c r="X33" s="38" t="str">
        <f>I42</f>
        <v>48BF4F4C</v>
      </c>
      <c r="Y33" t="str">
        <f t="shared" si="0"/>
        <v>0x48BF4F4C,</v>
      </c>
      <c r="Z33" s="39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7"/>
      <c r="W34" s="36" t="s">
        <v>20</v>
      </c>
      <c r="X34" s="38" t="str">
        <f>I41</f>
        <v>440810A</v>
      </c>
      <c r="Y34" t="str">
        <f t="shared" si="0"/>
        <v>0x0440810A,</v>
      </c>
      <c r="Z34" s="39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7" t="s">
        <v>106</v>
      </c>
      <c r="W35" s="36" t="s">
        <v>13</v>
      </c>
      <c r="X35" s="38" t="str">
        <f>H43</f>
        <v>103C700F</v>
      </c>
      <c r="Y35" t="str">
        <f t="shared" si="0"/>
        <v>0x103C700F,</v>
      </c>
      <c r="Z35" s="39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7"/>
      <c r="W36" s="36" t="s">
        <v>16</v>
      </c>
      <c r="X36" s="38" t="str">
        <f>H42</f>
        <v>48BF4F4C</v>
      </c>
      <c r="Y36" t="str">
        <f t="shared" si="0"/>
        <v>0x48BF4F4C,</v>
      </c>
      <c r="Z36" s="39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7"/>
      <c r="W37" s="36" t="s">
        <v>20</v>
      </c>
      <c r="X37" s="38" t="str">
        <f>H41</f>
        <v>440816A</v>
      </c>
      <c r="Y37" t="str">
        <f t="shared" si="0"/>
        <v>0x0440816A,</v>
      </c>
      <c r="Z37" s="39"/>
    </row>
    <row r="38" spans="22:26">
      <c r="V38" s="37" t="s">
        <v>112</v>
      </c>
      <c r="W38" s="36" t="s">
        <v>13</v>
      </c>
      <c r="X38" s="38" t="str">
        <f>G43</f>
        <v>107F700F</v>
      </c>
      <c r="Y38" t="str">
        <f t="shared" si="0"/>
        <v>0x107F700F,</v>
      </c>
      <c r="Z38" s="39" t="s">
        <v>113</v>
      </c>
    </row>
    <row r="39" spans="1:26">
      <c r="A39" t="s">
        <v>114</v>
      </c>
      <c r="V39" s="37"/>
      <c r="W39" s="36" t="s">
        <v>16</v>
      </c>
      <c r="X39" s="38" t="str">
        <f>G42</f>
        <v>48BF4F4C</v>
      </c>
      <c r="Y39" t="str">
        <f t="shared" si="0"/>
        <v>0x48BF4F4C,</v>
      </c>
      <c r="Z39" s="39"/>
    </row>
    <row r="40" spans="1:26">
      <c r="A40" s="12" t="s">
        <v>115</v>
      </c>
      <c r="B40" s="12"/>
      <c r="C40" s="12"/>
      <c r="D40" s="12">
        <v>22</v>
      </c>
      <c r="E40" s="12">
        <v>20</v>
      </c>
      <c r="F40" s="12">
        <v>18</v>
      </c>
      <c r="G40" s="12">
        <v>16</v>
      </c>
      <c r="H40" s="12">
        <v>14</v>
      </c>
      <c r="I40" s="12">
        <v>12</v>
      </c>
      <c r="J40" s="12">
        <v>10</v>
      </c>
      <c r="K40" s="12">
        <v>8</v>
      </c>
      <c r="L40" s="12">
        <v>6</v>
      </c>
      <c r="M40" s="12">
        <v>4</v>
      </c>
      <c r="N40" s="12">
        <v>2</v>
      </c>
      <c r="O40" s="12">
        <v>0</v>
      </c>
      <c r="P40" s="12">
        <v>-2</v>
      </c>
      <c r="Q40" s="12">
        <v>-4</v>
      </c>
      <c r="R40" s="12">
        <v>-6</v>
      </c>
      <c r="S40" s="12">
        <v>-8</v>
      </c>
      <c r="V40" s="37"/>
      <c r="W40" s="36" t="s">
        <v>20</v>
      </c>
      <c r="X40" s="38" t="str">
        <f>G41</f>
        <v>4408192</v>
      </c>
      <c r="Y40" t="str">
        <f t="shared" si="0"/>
        <v>0x04408192,</v>
      </c>
      <c r="Z40" s="39"/>
    </row>
    <row r="41" spans="1:26">
      <c r="A41" s="13" t="s">
        <v>116</v>
      </c>
      <c r="B41" s="14"/>
      <c r="C41" s="14"/>
      <c r="D41" s="15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5" t="str">
        <f t="shared" si="1"/>
        <v>44081FE</v>
      </c>
      <c r="F41" s="15" t="str">
        <f t="shared" si="1"/>
        <v>44081DA</v>
      </c>
      <c r="G41" s="15" t="str">
        <f t="shared" si="1"/>
        <v>4408192</v>
      </c>
      <c r="H41" s="15" t="str">
        <f t="shared" si="1"/>
        <v>440816A</v>
      </c>
      <c r="I41" s="15" t="str">
        <f t="shared" si="1"/>
        <v>440810A</v>
      </c>
      <c r="J41" s="15" t="str">
        <f t="shared" si="1"/>
        <v>440810E</v>
      </c>
      <c r="K41" s="15" t="str">
        <f t="shared" si="1"/>
        <v>4408106</v>
      </c>
      <c r="L41" s="15" t="str">
        <f t="shared" si="1"/>
        <v>440814A</v>
      </c>
      <c r="M41" s="15" t="str">
        <f t="shared" si="1"/>
        <v>4408126</v>
      </c>
      <c r="N41" s="15" t="str">
        <f t="shared" si="1"/>
        <v>440812E</v>
      </c>
      <c r="O41" s="15" t="str">
        <f t="shared" si="1"/>
        <v>440810A</v>
      </c>
      <c r="P41" s="15" t="str">
        <f t="shared" si="1"/>
        <v>44080E6</v>
      </c>
      <c r="Q41" s="15" t="str">
        <f t="shared" si="1"/>
        <v>4408076</v>
      </c>
      <c r="R41" s="15" t="str">
        <f t="shared" si="1"/>
        <v>440806E</v>
      </c>
      <c r="S41" s="15" t="str">
        <f t="shared" si="1"/>
        <v>44080B2</v>
      </c>
      <c r="V41" s="37" t="s">
        <v>117</v>
      </c>
      <c r="W41" s="36" t="s">
        <v>13</v>
      </c>
      <c r="X41" s="38" t="str">
        <f>F43</f>
        <v>107F700F</v>
      </c>
      <c r="Y41" t="str">
        <f t="shared" si="0"/>
        <v>0x107F700F,</v>
      </c>
      <c r="Z41" s="39" t="s">
        <v>118</v>
      </c>
    </row>
    <row r="42" spans="1:26">
      <c r="A42" s="13" t="s">
        <v>119</v>
      </c>
      <c r="B42" s="14"/>
      <c r="C42" s="14"/>
      <c r="D42" s="15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5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5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5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5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5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5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5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5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5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5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5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5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5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5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5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7"/>
      <c r="W42" s="36" t="s">
        <v>16</v>
      </c>
      <c r="X42" s="38" t="str">
        <f>F42</f>
        <v>48BF4F4C</v>
      </c>
      <c r="Y42" t="str">
        <f t="shared" si="0"/>
        <v>0x48BF4F4C,</v>
      </c>
      <c r="Z42" s="39"/>
    </row>
    <row r="43" spans="1:26">
      <c r="A43" s="13" t="s">
        <v>120</v>
      </c>
      <c r="B43" s="14"/>
      <c r="C43" s="14"/>
      <c r="D43" s="15" t="str">
        <f>DEC2HEX(D37+64*D36+POWER(2,12)*D35+POWER(2,15)*D34+POWER(2,16)*D33+POWER(2,19)*D32+POWER(2,23)*D31+POWER(2,29)*D30+POWER(2,31)*MOD(D29,$C29))</f>
        <v>0</v>
      </c>
      <c r="E43" s="15" t="str">
        <f>DEC2HEX(E37+64*E36+POWER(2,12)*E35+POWER(2,15)*E34+POWER(2,16)*E33+POWER(2,19)*E32+POWER(2,23)*E31+POWER(2,29)*E30+POWER(2,31)*MOD(E29,$C29))</f>
        <v>107F700F</v>
      </c>
      <c r="F43" s="15" t="str">
        <f>DEC2HEX(F37+64*F36+POWER(2,12)*F35+POWER(2,15)*F34+POWER(2,16)*F33+POWER(2,19)*F32+POWER(2,23)*F31+POWER(2,29)*F30+POWER(2,31)*MOD(F29,$C29))</f>
        <v>107F700F</v>
      </c>
      <c r="G43" s="15" t="str">
        <f>DEC2HEX(G37+64*G36+POWER(2,12)*G35+POWER(2,15)*G34+POWER(2,16)*G33+POWER(2,19)*G32+POWER(2,23)*G31+POWER(2,29)*G30+POWER(2,31)*MOD(G29,$C29))</f>
        <v>107F700F</v>
      </c>
      <c r="H43" s="15" t="str">
        <f>DEC2HEX(H37+64*H36+POWER(2,12)*H35+POWER(2,15)*H34+POWER(2,16)*H33+POWER(2,19)*H32+POWER(2,23)*H31+POWER(2,29)*H30+POWER(2,31)*MOD(H29,$C29))</f>
        <v>103C700F</v>
      </c>
      <c r="I43" s="15" t="str">
        <f>DEC2HEX(I37+64*I36+POWER(2,12)*I35+POWER(2,15)*I34+POWER(2,16)*I33+POWER(2,19)*I32+POWER(2,23)*I31+POWER(2,29)*I30+POWER(2,31)*MOD(I29,$C29))</f>
        <v>103C700F</v>
      </c>
      <c r="J43" s="15" t="str">
        <f>DEC2HEX(J37+64*J36+POWER(2,12)*J35+POWER(2,15)*J34+POWER(2,16)*J33+POWER(2,19)*J32+POWER(2,23)*J31+POWER(2,29)*J30+POWER(2,31)*MOD(J29,$C29))</f>
        <v>103C700C</v>
      </c>
      <c r="K43" s="15" t="str">
        <f>DEC2HEX(K37+64*K36+POWER(2,12)*K35+POWER(2,15)*K34+POWER(2,16)*K33+POWER(2,19)*K32+POWER(2,23)*K31+POWER(2,29)*K30+POWER(2,31)*MOD(K29,$C29))</f>
        <v>103C700C</v>
      </c>
      <c r="L43" s="15" t="str">
        <f>DEC2HEX(L37+64*L36+POWER(2,12)*L35+POWER(2,15)*L34+POWER(2,16)*L33+POWER(2,19)*L32+POWER(2,23)*L31+POWER(2,29)*L30+POWER(2,31)*MOD(L29,$C29))</f>
        <v>103C7008</v>
      </c>
      <c r="M43" s="15" t="str">
        <f>DEC2HEX(M37+64*M36+POWER(2,12)*M35+POWER(2,15)*M34+POWER(2,16)*M33+POWER(2,19)*M32+POWER(2,23)*M31+POWER(2,29)*M30+POWER(2,31)*MOD(M29,$C29))</f>
        <v>103C7008</v>
      </c>
      <c r="N43" s="15" t="str">
        <f>DEC2HEX(N37+64*N36+POWER(2,12)*N35+POWER(2,15)*N34+POWER(2,16)*N33+POWER(2,19)*N32+POWER(2,23)*N31+POWER(2,29)*N30+POWER(2,31)*MOD(N29,$C29))</f>
        <v>103C7004</v>
      </c>
      <c r="O43" s="15" t="str">
        <f>DEC2HEX(O37+64*O36+POWER(2,12)*O35+POWER(2,15)*O34+POWER(2,16)*O33+POWER(2,19)*O32+POWER(2,23)*O31+POWER(2,29)*O30+POWER(2,31)*MOD(O29,$C29))</f>
        <v>103C7004</v>
      </c>
      <c r="P43" s="15" t="str">
        <f>DEC2HEX(P37+64*P36+POWER(2,12)*P35+POWER(2,15)*P34+POWER(2,16)*P33+POWER(2,19)*P32+POWER(2,23)*P31+POWER(2,29)*P30+POWER(2,31)*MOD(P29,$C29))</f>
        <v>103C7004</v>
      </c>
      <c r="Q43" s="15" t="str">
        <f>DEC2HEX(Q37+64*Q36+POWER(2,12)*Q35+POWER(2,15)*Q34+POWER(2,16)*Q33+POWER(2,19)*Q32+POWER(2,23)*Q31+POWER(2,29)*Q30+POWER(2,31)*MOD(Q29,$C29))</f>
        <v>103C7004</v>
      </c>
      <c r="R43" s="15" t="str">
        <f>DEC2HEX(R37+64*R36+POWER(2,12)*R35+POWER(2,15)*R34+POWER(2,16)*R33+POWER(2,19)*R32+POWER(2,23)*R31+POWER(2,29)*R30+POWER(2,31)*MOD(R29,$C29))</f>
        <v>103C7004</v>
      </c>
      <c r="S43" s="15" t="str">
        <f>DEC2HEX(S37+64*S36+POWER(2,12)*S35+POWER(2,15)*S34+POWER(2,16)*S33+POWER(2,19)*S32+POWER(2,23)*S31+POWER(2,29)*S30+POWER(2,31)*MOD(S29,$C29))</f>
        <v>103C7002</v>
      </c>
      <c r="V43" s="37"/>
      <c r="W43" s="36" t="s">
        <v>20</v>
      </c>
      <c r="X43" s="38" t="str">
        <f>F41</f>
        <v>44081DA</v>
      </c>
      <c r="Y43" t="str">
        <f t="shared" si="0"/>
        <v>0x044081DA,</v>
      </c>
      <c r="Z43" s="39"/>
    </row>
    <row r="44" spans="4:26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V44" s="37" t="s">
        <v>121</v>
      </c>
      <c r="W44" s="36" t="s">
        <v>13</v>
      </c>
      <c r="X44" s="38" t="str">
        <f>E43</f>
        <v>107F700F</v>
      </c>
      <c r="Y44" t="str">
        <f t="shared" si="0"/>
        <v>0x107F700F,</v>
      </c>
      <c r="Z44" s="39" t="s">
        <v>122</v>
      </c>
    </row>
    <row r="45" spans="1:26">
      <c r="A45" s="17"/>
      <c r="B45" s="18"/>
      <c r="C45" s="18"/>
      <c r="D45" s="19"/>
      <c r="E45" s="19"/>
      <c r="F45" s="1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V45" s="37"/>
      <c r="W45" s="36" t="s">
        <v>16</v>
      </c>
      <c r="X45" s="38" t="str">
        <f>E42</f>
        <v>48BF4F4C</v>
      </c>
      <c r="Y45" t="str">
        <f t="shared" si="0"/>
        <v>0x48BF4F4C,</v>
      </c>
      <c r="Z45" s="39"/>
    </row>
    <row r="46" spans="1:26">
      <c r="A46" s="18"/>
      <c r="B46" s="17"/>
      <c r="C46" s="17"/>
      <c r="D46" s="19"/>
      <c r="E46" s="19"/>
      <c r="F46" s="19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V46" s="37"/>
      <c r="W46" s="36" t="s">
        <v>20</v>
      </c>
      <c r="X46" s="38" t="str">
        <f>E41</f>
        <v>44081FE</v>
      </c>
      <c r="Y46" t="str">
        <f t="shared" si="0"/>
        <v>0x044081FE,</v>
      </c>
      <c r="Z46" s="39"/>
    </row>
    <row r="47" spans="1:26">
      <c r="A47" s="17"/>
      <c r="B47" s="20"/>
      <c r="C47" s="20"/>
      <c r="D47" s="20"/>
      <c r="E47" s="21"/>
      <c r="F47" s="20"/>
      <c r="G47" s="22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V47" s="37" t="s">
        <v>123</v>
      </c>
      <c r="W47" s="36" t="s">
        <v>13</v>
      </c>
      <c r="X47" s="38" t="str">
        <f>D43</f>
        <v>0</v>
      </c>
      <c r="Y47" t="str">
        <f t="shared" si="0"/>
        <v>0x00000000,</v>
      </c>
      <c r="Z47" s="39" t="s">
        <v>124</v>
      </c>
    </row>
    <row r="48" spans="1:26">
      <c r="A48" s="17"/>
      <c r="B48" s="23"/>
      <c r="C48" s="24"/>
      <c r="D48" s="24"/>
      <c r="E48" s="24"/>
      <c r="F48" s="25"/>
      <c r="G48" s="2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V48" s="36"/>
      <c r="W48" s="36" t="s">
        <v>16</v>
      </c>
      <c r="X48" s="38" t="str">
        <f>D42</f>
        <v>0</v>
      </c>
      <c r="Y48" t="str">
        <f t="shared" si="0"/>
        <v>0x00000000,</v>
      </c>
      <c r="Z48" s="39"/>
    </row>
    <row r="49" spans="1:26">
      <c r="A49" s="18"/>
      <c r="B49" s="23"/>
      <c r="C49" s="24"/>
      <c r="D49" s="24"/>
      <c r="E49" s="24"/>
      <c r="F49" s="25"/>
      <c r="G49" s="2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V49" s="36"/>
      <c r="W49" s="36" t="s">
        <v>20</v>
      </c>
      <c r="X49" s="38" t="str">
        <f>D41</f>
        <v>0</v>
      </c>
      <c r="Y49" t="str">
        <f t="shared" si="0"/>
        <v>0x00000000,</v>
      </c>
      <c r="Z49" s="39"/>
    </row>
    <row r="50" spans="1:7">
      <c r="A50" s="18"/>
      <c r="B50" s="23"/>
      <c r="C50" s="24"/>
      <c r="D50" s="24"/>
      <c r="E50" s="24"/>
      <c r="F50" s="25"/>
      <c r="G50" s="26"/>
    </row>
    <row r="51" spans="1:6">
      <c r="A51" s="18"/>
      <c r="B51" s="18"/>
      <c r="C51" s="18"/>
      <c r="D51" s="18"/>
      <c r="E51" s="18"/>
      <c r="F51" s="18"/>
    </row>
    <row r="52" spans="1:6">
      <c r="A52" s="18"/>
      <c r="B52" s="18"/>
      <c r="C52" s="18"/>
      <c r="D52" s="18"/>
      <c r="E52" s="27"/>
      <c r="F52" s="18"/>
    </row>
    <row r="53" spans="1:5">
      <c r="A53" s="28"/>
      <c r="B53" s="28"/>
      <c r="C53" s="28"/>
      <c r="D53" s="28"/>
      <c r="E53" s="29"/>
    </row>
    <row r="54" spans="1:5">
      <c r="A54" s="30"/>
      <c r="B54" s="31"/>
      <c r="C54" s="31"/>
      <c r="D54" s="31"/>
      <c r="E54" s="29"/>
    </row>
    <row r="55" spans="1:5">
      <c r="A55" s="30"/>
      <c r="B55" s="31"/>
      <c r="C55" s="31"/>
      <c r="D55" s="31"/>
      <c r="E55" s="29"/>
    </row>
    <row r="56" spans="1:5">
      <c r="A56" s="30"/>
      <c r="B56" s="31"/>
      <c r="C56" s="31"/>
      <c r="D56" s="31"/>
      <c r="E56" s="29"/>
    </row>
    <row r="57" spans="1:5">
      <c r="A57" s="30"/>
      <c r="B57" s="31"/>
      <c r="C57" s="31"/>
      <c r="D57" s="31"/>
      <c r="E57" s="29"/>
    </row>
    <row r="58" spans="1:5">
      <c r="A58" s="30"/>
      <c r="B58" s="31"/>
      <c r="C58" s="31"/>
      <c r="D58" s="31"/>
      <c r="E58" s="29"/>
    </row>
    <row r="59" spans="1:4">
      <c r="A59" s="30"/>
      <c r="B59" s="31"/>
      <c r="C59" s="32"/>
      <c r="D59" s="32"/>
    </row>
    <row r="60" spans="1:4">
      <c r="A60" s="30"/>
      <c r="B60" s="31"/>
      <c r="C60" s="31"/>
      <c r="D60" s="31"/>
    </row>
    <row r="61" spans="1:4">
      <c r="A61" s="22"/>
      <c r="B61" s="28"/>
      <c r="C61" s="28"/>
      <c r="D61" s="28"/>
    </row>
    <row r="62" spans="1:4">
      <c r="A62" s="22"/>
      <c r="B62" s="28"/>
      <c r="C62" s="28"/>
      <c r="D62" s="28"/>
    </row>
    <row r="63" spans="1:4">
      <c r="A63" s="22"/>
      <c r="B63" s="33"/>
      <c r="C63" s="33"/>
      <c r="D63" s="34"/>
    </row>
    <row r="64" spans="1:4">
      <c r="A64" s="22"/>
      <c r="B64" s="28"/>
      <c r="C64" s="28"/>
      <c r="D64" s="28"/>
    </row>
    <row r="65" spans="1:5">
      <c r="A65" s="40"/>
      <c r="B65" s="41"/>
      <c r="C65" s="41"/>
      <c r="D65" s="41"/>
      <c r="E65" s="16"/>
    </row>
    <row r="66" spans="1:5">
      <c r="A66" s="22"/>
      <c r="B66" s="28"/>
      <c r="C66" s="28"/>
      <c r="D66" s="28"/>
      <c r="E66" s="16"/>
    </row>
    <row r="67" spans="1:5">
      <c r="A67" s="30"/>
      <c r="B67" s="31"/>
      <c r="C67" s="31"/>
      <c r="D67" s="31"/>
      <c r="E67" s="16"/>
    </row>
    <row r="68" spans="1:5">
      <c r="A68" s="30"/>
      <c r="B68" s="31"/>
      <c r="C68" s="31"/>
      <c r="D68" s="31"/>
      <c r="E68" s="16"/>
    </row>
    <row r="69" spans="1:4">
      <c r="A69" s="30"/>
      <c r="B69" s="31"/>
      <c r="C69" s="31"/>
      <c r="D69" s="31"/>
    </row>
    <row r="70" spans="1:4">
      <c r="A70" s="30"/>
      <c r="B70" s="31"/>
      <c r="C70" s="31"/>
      <c r="D70" s="31"/>
    </row>
    <row r="71" spans="1:4">
      <c r="A71" s="30"/>
      <c r="B71" s="31"/>
      <c r="C71" s="31"/>
      <c r="D71" s="31"/>
    </row>
    <row r="72" spans="1:4">
      <c r="A72" s="30"/>
      <c r="B72" s="31"/>
      <c r="C72" s="31"/>
      <c r="D72" s="31"/>
    </row>
    <row r="73" spans="1:4">
      <c r="A73" s="30"/>
      <c r="B73" s="31"/>
      <c r="C73" s="31"/>
      <c r="D73" s="31"/>
    </row>
    <row r="74" spans="1:4">
      <c r="A74" s="30"/>
      <c r="B74" s="31"/>
      <c r="C74" s="31"/>
      <c r="D74" s="31"/>
    </row>
    <row r="75" spans="1:4">
      <c r="A75" s="42"/>
      <c r="B75" s="43"/>
      <c r="C75" s="43"/>
      <c r="D75" s="4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26" sqref="E26:G26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6" t="s">
        <v>9</v>
      </c>
      <c r="W1" s="36"/>
      <c r="X1" s="36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7">
        <v>0</v>
      </c>
      <c r="W2" s="36" t="s">
        <v>13</v>
      </c>
      <c r="X2" s="38" t="str">
        <f>S43</f>
        <v>103C7002</v>
      </c>
      <c r="Y2" t="str">
        <f t="shared" ref="Y2:Y49" si="0">"0x"&amp;RIGHT("00000000"&amp;X2,8)&amp;","</f>
        <v>0x103C7002,</v>
      </c>
      <c r="Z2" s="39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7"/>
      <c r="W3" s="36" t="s">
        <v>16</v>
      </c>
      <c r="X3" s="38" t="str">
        <f>S42</f>
        <v>48BF4F4C</v>
      </c>
      <c r="Y3" t="str">
        <f t="shared" si="0"/>
        <v>0x48BF4F4C,</v>
      </c>
      <c r="Z3" s="39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7"/>
      <c r="W4" s="36" t="s">
        <v>20</v>
      </c>
      <c r="X4" s="38" t="str">
        <f>S41</f>
        <v>44040B2</v>
      </c>
      <c r="Y4" t="str">
        <f t="shared" si="0"/>
        <v>0x044040B2,</v>
      </c>
      <c r="Z4" s="39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7">
        <v>1</v>
      </c>
      <c r="W5" s="36" t="s">
        <v>13</v>
      </c>
      <c r="X5" s="38" t="str">
        <f>R43</f>
        <v>103C7004</v>
      </c>
      <c r="Y5" t="str">
        <f t="shared" si="0"/>
        <v>0x103C7004,</v>
      </c>
      <c r="Z5" s="39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7"/>
      <c r="W6" s="36" t="s">
        <v>16</v>
      </c>
      <c r="X6" s="38" t="str">
        <f>R42</f>
        <v>48BF4F4C</v>
      </c>
      <c r="Y6" t="str">
        <f t="shared" si="0"/>
        <v>0x48BF4F4C,</v>
      </c>
      <c r="Z6" s="39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7"/>
      <c r="W7" s="36" t="s">
        <v>20</v>
      </c>
      <c r="X7" s="38" t="str">
        <f>R41</f>
        <v>440406E</v>
      </c>
      <c r="Y7" t="str">
        <f t="shared" si="0"/>
        <v>0x0440406E,</v>
      </c>
      <c r="Z7" s="39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7">
        <v>2</v>
      </c>
      <c r="W8" s="36" t="s">
        <v>13</v>
      </c>
      <c r="X8" s="38" t="str">
        <f>Q43</f>
        <v>103C7004</v>
      </c>
      <c r="Y8" t="str">
        <f t="shared" si="0"/>
        <v>0x103C7004,</v>
      </c>
      <c r="Z8" s="39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7"/>
      <c r="W9" s="36" t="s">
        <v>16</v>
      </c>
      <c r="X9" s="38" t="str">
        <f>Q42</f>
        <v>48BF4F4C</v>
      </c>
      <c r="Y9" t="str">
        <f t="shared" si="0"/>
        <v>0x48BF4F4C,</v>
      </c>
      <c r="Z9" s="39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V10" s="37"/>
      <c r="W10" s="36" t="s">
        <v>20</v>
      </c>
      <c r="X10" s="38" t="str">
        <f>Q41</f>
        <v>4404076</v>
      </c>
      <c r="Y10" t="str">
        <f t="shared" si="0"/>
        <v>0x04404076,</v>
      </c>
      <c r="Z10" s="39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7">
        <v>3</v>
      </c>
      <c r="W11" s="36" t="s">
        <v>13</v>
      </c>
      <c r="X11" s="38" t="str">
        <f>P43</f>
        <v>103C7004</v>
      </c>
      <c r="Y11" t="str">
        <f t="shared" si="0"/>
        <v>0x103C7004,</v>
      </c>
      <c r="Z11" s="39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5" t="s">
        <v>46</v>
      </c>
      <c r="G12" s="5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5" t="s">
        <v>98</v>
      </c>
      <c r="Q12" s="35" t="s">
        <v>49</v>
      </c>
      <c r="R12" s="5" t="s">
        <v>49</v>
      </c>
      <c r="S12" s="5" t="s">
        <v>48</v>
      </c>
      <c r="V12" s="37"/>
      <c r="W12" s="36" t="s">
        <v>16</v>
      </c>
      <c r="X12" s="38" t="str">
        <f>P42</f>
        <v>48BF4F4C</v>
      </c>
      <c r="Y12" t="str">
        <f t="shared" si="0"/>
        <v>0x48BF4F4C,</v>
      </c>
      <c r="Z12" s="39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5" t="s">
        <v>11</v>
      </c>
      <c r="Q13" s="35" t="s">
        <v>48</v>
      </c>
      <c r="R13" s="5" t="s">
        <v>49</v>
      </c>
      <c r="S13" s="5" t="s">
        <v>25</v>
      </c>
      <c r="V13" s="37"/>
      <c r="W13" s="36" t="s">
        <v>20</v>
      </c>
      <c r="X13" s="38" t="str">
        <f>P41</f>
        <v>44040E6</v>
      </c>
      <c r="Y13" t="str">
        <f t="shared" si="0"/>
        <v>0x044040E6,</v>
      </c>
      <c r="Z13" s="39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7">
        <v>4</v>
      </c>
      <c r="W14" s="36" t="s">
        <v>13</v>
      </c>
      <c r="X14" s="38" t="str">
        <f>O43</f>
        <v>103C7004</v>
      </c>
      <c r="Y14" t="str">
        <f t="shared" si="0"/>
        <v>0x103C7004,</v>
      </c>
      <c r="Z14" s="39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7"/>
      <c r="W15" s="36" t="s">
        <v>16</v>
      </c>
      <c r="X15" s="38" t="str">
        <f>O42</f>
        <v>48BF4F4C</v>
      </c>
      <c r="Y15" t="str">
        <f t="shared" si="0"/>
        <v>0x48BF4F4C,</v>
      </c>
      <c r="Z15" s="39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7"/>
      <c r="W16" s="36" t="s">
        <v>20</v>
      </c>
      <c r="X16" s="38" t="str">
        <f>O41</f>
        <v>440410A</v>
      </c>
      <c r="Y16" t="str">
        <f t="shared" si="0"/>
        <v>0x0440410A,</v>
      </c>
      <c r="Z16" s="39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7">
        <v>5</v>
      </c>
      <c r="W17" s="36" t="s">
        <v>13</v>
      </c>
      <c r="X17" s="38" t="str">
        <f>N43</f>
        <v>103C7004</v>
      </c>
      <c r="Y17" t="str">
        <f t="shared" si="0"/>
        <v>0x103C7004,</v>
      </c>
      <c r="Z17" s="39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7"/>
      <c r="W18" s="36" t="s">
        <v>16</v>
      </c>
      <c r="X18" s="38" t="str">
        <f>N42</f>
        <v>48BF4F4C</v>
      </c>
      <c r="Y18" t="str">
        <f t="shared" si="0"/>
        <v>0x48BF4F4C,</v>
      </c>
      <c r="Z18" s="39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7"/>
      <c r="W19" s="36" t="s">
        <v>20</v>
      </c>
      <c r="X19" s="38" t="str">
        <f>N41</f>
        <v>440412E</v>
      </c>
      <c r="Y19" t="str">
        <f t="shared" si="0"/>
        <v>0x0440412E,</v>
      </c>
      <c r="Z19" s="39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7">
        <v>6</v>
      </c>
      <c r="W20" s="36" t="s">
        <v>13</v>
      </c>
      <c r="X20" s="38" t="str">
        <f>M43</f>
        <v>103C7008</v>
      </c>
      <c r="Y20" t="str">
        <f t="shared" si="0"/>
        <v>0x103C7008,</v>
      </c>
      <c r="Z20" s="39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7"/>
      <c r="W21" s="36" t="s">
        <v>16</v>
      </c>
      <c r="X21" s="38" t="str">
        <f>M42</f>
        <v>48BF4F4C</v>
      </c>
      <c r="Y21" t="str">
        <f t="shared" si="0"/>
        <v>0x48BF4F4C,</v>
      </c>
      <c r="Z21" s="39"/>
    </row>
    <row r="22" spans="1:26">
      <c r="A22" s="2" t="s">
        <v>72</v>
      </c>
      <c r="B22" s="2" t="s">
        <v>73</v>
      </c>
      <c r="C22" s="3" t="s">
        <v>49</v>
      </c>
      <c r="D22" s="4"/>
      <c r="E22" s="44" t="s">
        <v>49</v>
      </c>
      <c r="F22" s="44" t="s">
        <v>49</v>
      </c>
      <c r="G22" s="44" t="s">
        <v>49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7"/>
      <c r="W22" s="36" t="s">
        <v>20</v>
      </c>
      <c r="X22" s="38" t="str">
        <f>M41</f>
        <v>4404126</v>
      </c>
      <c r="Y22" t="str">
        <f t="shared" si="0"/>
        <v>0x04404126,</v>
      </c>
      <c r="Z22" s="39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7">
        <v>7</v>
      </c>
      <c r="W23" s="36" t="s">
        <v>13</v>
      </c>
      <c r="X23" s="38" t="str">
        <f>L43</f>
        <v>103C7008</v>
      </c>
      <c r="Y23" t="str">
        <f t="shared" si="0"/>
        <v>0x103C7008,</v>
      </c>
      <c r="Z23" s="39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7"/>
      <c r="W24" s="36" t="s">
        <v>16</v>
      </c>
      <c r="X24" s="38" t="str">
        <f>L42</f>
        <v>48BF4F4C</v>
      </c>
      <c r="Y24" t="str">
        <f t="shared" si="0"/>
        <v>0x48BF4F4C,</v>
      </c>
      <c r="Z24" s="39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7"/>
      <c r="W25" s="36" t="s">
        <v>20</v>
      </c>
      <c r="X25" s="38" t="str">
        <f>L41</f>
        <v>440414A</v>
      </c>
      <c r="Y25" t="str">
        <f t="shared" si="0"/>
        <v>0x0440414A,</v>
      </c>
      <c r="Z25" s="39"/>
    </row>
    <row r="26" spans="1:26">
      <c r="A26" s="2" t="s">
        <v>81</v>
      </c>
      <c r="B26" s="2" t="s">
        <v>82</v>
      </c>
      <c r="C26" s="3" t="s">
        <v>49</v>
      </c>
      <c r="D26" s="4"/>
      <c r="E26" s="44" t="s">
        <v>49</v>
      </c>
      <c r="F26" s="44" t="s">
        <v>49</v>
      </c>
      <c r="G26" s="44" t="s">
        <v>49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7">
        <v>8</v>
      </c>
      <c r="W26" s="36" t="s">
        <v>13</v>
      </c>
      <c r="X26" s="38" t="str">
        <f>K43</f>
        <v>103C700C</v>
      </c>
      <c r="Y26" t="str">
        <f t="shared" si="0"/>
        <v>0x103C700C,</v>
      </c>
      <c r="Z26" s="39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7"/>
      <c r="W27" s="36" t="s">
        <v>16</v>
      </c>
      <c r="X27" s="38" t="str">
        <f>K42</f>
        <v>48BF4F4C</v>
      </c>
      <c r="Y27" t="str">
        <f t="shared" si="0"/>
        <v>0x48BF4F4C,</v>
      </c>
      <c r="Z27" s="39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7"/>
      <c r="W28" s="36" t="s">
        <v>20</v>
      </c>
      <c r="X28" s="38" t="str">
        <f>K41</f>
        <v>4404106</v>
      </c>
      <c r="Y28" t="str">
        <f t="shared" si="0"/>
        <v>0x04404106,</v>
      </c>
      <c r="Z28" s="39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7">
        <v>9</v>
      </c>
      <c r="W29" s="36" t="s">
        <v>13</v>
      </c>
      <c r="X29" s="38" t="str">
        <f>J43</f>
        <v>103C700C</v>
      </c>
      <c r="Y29" t="str">
        <f t="shared" si="0"/>
        <v>0x103C700C,</v>
      </c>
      <c r="Z29" s="39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7"/>
      <c r="W30" s="36" t="s">
        <v>16</v>
      </c>
      <c r="X30" s="38" t="str">
        <f>J42</f>
        <v>48BF4F4C</v>
      </c>
      <c r="Y30" t="str">
        <f t="shared" si="0"/>
        <v>0x48BF4F4C,</v>
      </c>
      <c r="Z30" s="39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7"/>
      <c r="W31" s="36" t="s">
        <v>20</v>
      </c>
      <c r="X31" s="38" t="str">
        <f>J41</f>
        <v>440410E</v>
      </c>
      <c r="Y31" t="str">
        <f t="shared" si="0"/>
        <v>0x0440410E,</v>
      </c>
      <c r="Z31" s="39"/>
    </row>
    <row r="32" spans="1:26">
      <c r="A32" s="2" t="s">
        <v>96</v>
      </c>
      <c r="B32" s="2" t="s">
        <v>97</v>
      </c>
      <c r="C32" s="3" t="s">
        <v>25</v>
      </c>
      <c r="D32" s="4"/>
      <c r="E32" s="44" t="s">
        <v>41</v>
      </c>
      <c r="F32" s="44" t="s">
        <v>41</v>
      </c>
      <c r="G32" s="44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7" t="s">
        <v>99</v>
      </c>
      <c r="W32" s="36" t="s">
        <v>13</v>
      </c>
      <c r="X32" s="38" t="str">
        <f>I43</f>
        <v>103C700F</v>
      </c>
      <c r="Y32" t="str">
        <f t="shared" si="0"/>
        <v>0x103C700F,</v>
      </c>
      <c r="Z32" s="39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5" t="s">
        <v>98</v>
      </c>
      <c r="F33" s="45" t="s">
        <v>98</v>
      </c>
      <c r="G33" s="45" t="s">
        <v>98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27"/>
      <c r="V33" s="37"/>
      <c r="W33" s="36" t="s">
        <v>16</v>
      </c>
      <c r="X33" s="38" t="str">
        <f>I42</f>
        <v>48BF4F4C</v>
      </c>
      <c r="Y33" t="str">
        <f t="shared" si="0"/>
        <v>0x48BF4F4C,</v>
      </c>
      <c r="Z33" s="39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7"/>
      <c r="W34" s="36" t="s">
        <v>20</v>
      </c>
      <c r="X34" s="38" t="str">
        <f>I41</f>
        <v>440410A</v>
      </c>
      <c r="Y34" t="str">
        <f t="shared" si="0"/>
        <v>0x0440410A,</v>
      </c>
      <c r="Z34" s="39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7" t="s">
        <v>106</v>
      </c>
      <c r="W35" s="36" t="s">
        <v>13</v>
      </c>
      <c r="X35" s="38" t="str">
        <f>H43</f>
        <v>103C700F</v>
      </c>
      <c r="Y35" t="str">
        <f t="shared" si="0"/>
        <v>0x103C700F,</v>
      </c>
      <c r="Z35" s="39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7"/>
      <c r="W36" s="36" t="s">
        <v>16</v>
      </c>
      <c r="X36" s="38" t="str">
        <f>H42</f>
        <v>48BF4F4C</v>
      </c>
      <c r="Y36" t="str">
        <f t="shared" si="0"/>
        <v>0x48BF4F4C,</v>
      </c>
      <c r="Z36" s="39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7"/>
      <c r="W37" s="36" t="s">
        <v>20</v>
      </c>
      <c r="X37" s="38" t="str">
        <f>H41</f>
        <v>440416A</v>
      </c>
      <c r="Y37" t="str">
        <f t="shared" si="0"/>
        <v>0x0440416A,</v>
      </c>
      <c r="Z37" s="39"/>
    </row>
    <row r="38" spans="22:26">
      <c r="V38" s="37" t="s">
        <v>112</v>
      </c>
      <c r="W38" s="36" t="s">
        <v>13</v>
      </c>
      <c r="X38" s="38" t="str">
        <f>G43</f>
        <v>107F700F</v>
      </c>
      <c r="Y38" t="str">
        <f t="shared" si="0"/>
        <v>0x107F700F,</v>
      </c>
      <c r="Z38" s="39" t="s">
        <v>113</v>
      </c>
    </row>
    <row r="39" spans="1:26">
      <c r="A39" t="s">
        <v>114</v>
      </c>
      <c r="V39" s="37"/>
      <c r="W39" s="36" t="s">
        <v>16</v>
      </c>
      <c r="X39" s="38" t="str">
        <f>G42</f>
        <v>48BF3F3C</v>
      </c>
      <c r="Y39" t="str">
        <f t="shared" si="0"/>
        <v>0x48BF3F3C,</v>
      </c>
      <c r="Z39" s="39"/>
    </row>
    <row r="40" spans="1:26">
      <c r="A40" s="12" t="s">
        <v>115</v>
      </c>
      <c r="B40" s="12"/>
      <c r="C40" s="12"/>
      <c r="D40" s="12">
        <v>22</v>
      </c>
      <c r="E40" s="12">
        <v>20</v>
      </c>
      <c r="F40" s="12">
        <v>18</v>
      </c>
      <c r="G40" s="12">
        <v>16</v>
      </c>
      <c r="H40" s="12">
        <v>14</v>
      </c>
      <c r="I40" s="12">
        <v>12</v>
      </c>
      <c r="J40" s="12">
        <v>10</v>
      </c>
      <c r="K40" s="12">
        <v>8</v>
      </c>
      <c r="L40" s="12">
        <v>6</v>
      </c>
      <c r="M40" s="12">
        <v>4</v>
      </c>
      <c r="N40" s="12">
        <v>2</v>
      </c>
      <c r="O40" s="12">
        <v>0</v>
      </c>
      <c r="P40" s="12">
        <v>-2</v>
      </c>
      <c r="Q40" s="12">
        <v>-4</v>
      </c>
      <c r="R40" s="12">
        <v>-6</v>
      </c>
      <c r="S40" s="12">
        <v>-8</v>
      </c>
      <c r="V40" s="37"/>
      <c r="W40" s="36" t="s">
        <v>20</v>
      </c>
      <c r="X40" s="38" t="str">
        <f>G41</f>
        <v>44041B2</v>
      </c>
      <c r="Y40" t="str">
        <f t="shared" si="0"/>
        <v>0x044041B2,</v>
      </c>
      <c r="Z40" s="39"/>
    </row>
    <row r="41" spans="1:26">
      <c r="A41" s="13" t="s">
        <v>116</v>
      </c>
      <c r="B41" s="14"/>
      <c r="C41" s="14"/>
      <c r="D41" s="15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5" t="str">
        <f t="shared" si="1"/>
        <v>44041FE</v>
      </c>
      <c r="F41" s="15" t="str">
        <f t="shared" si="1"/>
        <v>44041DA</v>
      </c>
      <c r="G41" s="15" t="str">
        <f t="shared" si="1"/>
        <v>44041B2</v>
      </c>
      <c r="H41" s="15" t="str">
        <f t="shared" si="1"/>
        <v>440416A</v>
      </c>
      <c r="I41" s="15" t="str">
        <f t="shared" si="1"/>
        <v>440410A</v>
      </c>
      <c r="J41" s="15" t="str">
        <f t="shared" si="1"/>
        <v>440410E</v>
      </c>
      <c r="K41" s="15" t="str">
        <f t="shared" si="1"/>
        <v>4404106</v>
      </c>
      <c r="L41" s="15" t="str">
        <f t="shared" si="1"/>
        <v>440414A</v>
      </c>
      <c r="M41" s="15" t="str">
        <f t="shared" si="1"/>
        <v>4404126</v>
      </c>
      <c r="N41" s="15" t="str">
        <f t="shared" si="1"/>
        <v>440412E</v>
      </c>
      <c r="O41" s="15" t="str">
        <f t="shared" si="1"/>
        <v>440410A</v>
      </c>
      <c r="P41" s="15" t="str">
        <f t="shared" si="1"/>
        <v>44040E6</v>
      </c>
      <c r="Q41" s="15" t="str">
        <f t="shared" si="1"/>
        <v>4404076</v>
      </c>
      <c r="R41" s="15" t="str">
        <f t="shared" si="1"/>
        <v>440406E</v>
      </c>
      <c r="S41" s="15" t="str">
        <f t="shared" si="1"/>
        <v>44040B2</v>
      </c>
      <c r="V41" s="37" t="s">
        <v>117</v>
      </c>
      <c r="W41" s="36" t="s">
        <v>13</v>
      </c>
      <c r="X41" s="38" t="str">
        <f>F43</f>
        <v>107F700F</v>
      </c>
      <c r="Y41" t="str">
        <f t="shared" si="0"/>
        <v>0x107F700F,</v>
      </c>
      <c r="Z41" s="39" t="s">
        <v>118</v>
      </c>
    </row>
    <row r="42" spans="1:26">
      <c r="A42" s="13" t="s">
        <v>119</v>
      </c>
      <c r="B42" s="14"/>
      <c r="C42" s="14"/>
      <c r="D42" s="15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5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48BF3F3C</v>
      </c>
      <c r="F42" s="15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48BF3F3C</v>
      </c>
      <c r="G42" s="15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48BF3F3C</v>
      </c>
      <c r="H42" s="15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5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5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5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5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5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5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5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5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5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5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5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7"/>
      <c r="W42" s="36" t="s">
        <v>16</v>
      </c>
      <c r="X42" s="38" t="str">
        <f>F42</f>
        <v>48BF3F3C</v>
      </c>
      <c r="Y42" t="str">
        <f t="shared" si="0"/>
        <v>0x48BF3F3C,</v>
      </c>
      <c r="Z42" s="39"/>
    </row>
    <row r="43" spans="1:26">
      <c r="A43" s="13" t="s">
        <v>120</v>
      </c>
      <c r="B43" s="14"/>
      <c r="C43" s="14"/>
      <c r="D43" s="15" t="str">
        <f>DEC2HEX(D37+64*D36+POWER(2,12)*D35+POWER(2,15)*D34+POWER(2,16)*D33+POWER(2,19)*D32+POWER(2,23)*D31+POWER(2,29)*D30+POWER(2,31)*MOD(D29,$C29))</f>
        <v>0</v>
      </c>
      <c r="E43" s="15" t="str">
        <f>DEC2HEX(E37+64*E36+POWER(2,12)*E35+POWER(2,15)*E34+POWER(2,16)*E33+POWER(2,19)*E32+POWER(2,23)*E31+POWER(2,29)*E30+POWER(2,31)*MOD(E29,$C29))</f>
        <v>107F700F</v>
      </c>
      <c r="F43" s="15" t="str">
        <f>DEC2HEX(F37+64*F36+POWER(2,12)*F35+POWER(2,15)*F34+POWER(2,16)*F33+POWER(2,19)*F32+POWER(2,23)*F31+POWER(2,29)*F30+POWER(2,31)*MOD(F29,$C29))</f>
        <v>107F700F</v>
      </c>
      <c r="G43" s="15" t="str">
        <f>DEC2HEX(G37+64*G36+POWER(2,12)*G35+POWER(2,15)*G34+POWER(2,16)*G33+POWER(2,19)*G32+POWER(2,23)*G31+POWER(2,29)*G30+POWER(2,31)*MOD(G29,$C29))</f>
        <v>107F700F</v>
      </c>
      <c r="H43" s="15" t="str">
        <f>DEC2HEX(H37+64*H36+POWER(2,12)*H35+POWER(2,15)*H34+POWER(2,16)*H33+POWER(2,19)*H32+POWER(2,23)*H31+POWER(2,29)*H30+POWER(2,31)*MOD(H29,$C29))</f>
        <v>103C700F</v>
      </c>
      <c r="I43" s="15" t="str">
        <f>DEC2HEX(I37+64*I36+POWER(2,12)*I35+POWER(2,15)*I34+POWER(2,16)*I33+POWER(2,19)*I32+POWER(2,23)*I31+POWER(2,29)*I30+POWER(2,31)*MOD(I29,$C29))</f>
        <v>103C700F</v>
      </c>
      <c r="J43" s="15" t="str">
        <f>DEC2HEX(J37+64*J36+POWER(2,12)*J35+POWER(2,15)*J34+POWER(2,16)*J33+POWER(2,19)*J32+POWER(2,23)*J31+POWER(2,29)*J30+POWER(2,31)*MOD(J29,$C29))</f>
        <v>103C700C</v>
      </c>
      <c r="K43" s="15" t="str">
        <f>DEC2HEX(K37+64*K36+POWER(2,12)*K35+POWER(2,15)*K34+POWER(2,16)*K33+POWER(2,19)*K32+POWER(2,23)*K31+POWER(2,29)*K30+POWER(2,31)*MOD(K29,$C29))</f>
        <v>103C700C</v>
      </c>
      <c r="L43" s="15" t="str">
        <f>DEC2HEX(L37+64*L36+POWER(2,12)*L35+POWER(2,15)*L34+POWER(2,16)*L33+POWER(2,19)*L32+POWER(2,23)*L31+POWER(2,29)*L30+POWER(2,31)*MOD(L29,$C29))</f>
        <v>103C7008</v>
      </c>
      <c r="M43" s="15" t="str">
        <f>DEC2HEX(M37+64*M36+POWER(2,12)*M35+POWER(2,15)*M34+POWER(2,16)*M33+POWER(2,19)*M32+POWER(2,23)*M31+POWER(2,29)*M30+POWER(2,31)*MOD(M29,$C29))</f>
        <v>103C7008</v>
      </c>
      <c r="N43" s="15" t="str">
        <f>DEC2HEX(N37+64*N36+POWER(2,12)*N35+POWER(2,15)*N34+POWER(2,16)*N33+POWER(2,19)*N32+POWER(2,23)*N31+POWER(2,29)*N30+POWER(2,31)*MOD(N29,$C29))</f>
        <v>103C7004</v>
      </c>
      <c r="O43" s="15" t="str">
        <f>DEC2HEX(O37+64*O36+POWER(2,12)*O35+POWER(2,15)*O34+POWER(2,16)*O33+POWER(2,19)*O32+POWER(2,23)*O31+POWER(2,29)*O30+POWER(2,31)*MOD(O29,$C29))</f>
        <v>103C7004</v>
      </c>
      <c r="P43" s="15" t="str">
        <f>DEC2HEX(P37+64*P36+POWER(2,12)*P35+POWER(2,15)*P34+POWER(2,16)*P33+POWER(2,19)*P32+POWER(2,23)*P31+POWER(2,29)*P30+POWER(2,31)*MOD(P29,$C29))</f>
        <v>103C7004</v>
      </c>
      <c r="Q43" s="15" t="str">
        <f>DEC2HEX(Q37+64*Q36+POWER(2,12)*Q35+POWER(2,15)*Q34+POWER(2,16)*Q33+POWER(2,19)*Q32+POWER(2,23)*Q31+POWER(2,29)*Q30+POWER(2,31)*MOD(Q29,$C29))</f>
        <v>103C7004</v>
      </c>
      <c r="R43" s="15" t="str">
        <f>DEC2HEX(R37+64*R36+POWER(2,12)*R35+POWER(2,15)*R34+POWER(2,16)*R33+POWER(2,19)*R32+POWER(2,23)*R31+POWER(2,29)*R30+POWER(2,31)*MOD(R29,$C29))</f>
        <v>103C7004</v>
      </c>
      <c r="S43" s="15" t="str">
        <f>DEC2HEX(S37+64*S36+POWER(2,12)*S35+POWER(2,15)*S34+POWER(2,16)*S33+POWER(2,19)*S32+POWER(2,23)*S31+POWER(2,29)*S30+POWER(2,31)*MOD(S29,$C29))</f>
        <v>103C7002</v>
      </c>
      <c r="V43" s="37"/>
      <c r="W43" s="36" t="s">
        <v>20</v>
      </c>
      <c r="X43" s="38" t="str">
        <f>F41</f>
        <v>44041DA</v>
      </c>
      <c r="Y43" t="str">
        <f t="shared" si="0"/>
        <v>0x044041DA,</v>
      </c>
      <c r="Z43" s="39"/>
    </row>
    <row r="44" spans="4:26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V44" s="37" t="s">
        <v>121</v>
      </c>
      <c r="W44" s="36" t="s">
        <v>13</v>
      </c>
      <c r="X44" s="38" t="str">
        <f>E43</f>
        <v>107F700F</v>
      </c>
      <c r="Y44" t="str">
        <f t="shared" si="0"/>
        <v>0x107F700F,</v>
      </c>
      <c r="Z44" s="39" t="s">
        <v>122</v>
      </c>
    </row>
    <row r="45" spans="1:26">
      <c r="A45" s="17"/>
      <c r="B45" s="18"/>
      <c r="C45" s="18"/>
      <c r="D45" s="19"/>
      <c r="E45" s="19"/>
      <c r="F45" s="19"/>
      <c r="G45" s="19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V45" s="37"/>
      <c r="W45" s="36" t="s">
        <v>16</v>
      </c>
      <c r="X45" s="38" t="str">
        <f>E42</f>
        <v>48BF3F3C</v>
      </c>
      <c r="Y45" t="str">
        <f t="shared" si="0"/>
        <v>0x48BF3F3C,</v>
      </c>
      <c r="Z45" s="39"/>
    </row>
    <row r="46" spans="1:26">
      <c r="A46" s="18"/>
      <c r="B46" s="17"/>
      <c r="C46" s="17"/>
      <c r="D46" s="19"/>
      <c r="E46" s="19"/>
      <c r="F46" s="19"/>
      <c r="G46" s="19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V46" s="37"/>
      <c r="W46" s="36" t="s">
        <v>20</v>
      </c>
      <c r="X46" s="38" t="str">
        <f>E41</f>
        <v>44041FE</v>
      </c>
      <c r="Y46" t="str">
        <f t="shared" si="0"/>
        <v>0x044041FE,</v>
      </c>
      <c r="Z46" s="39"/>
    </row>
    <row r="47" spans="1:26">
      <c r="A47" s="17"/>
      <c r="B47" s="20"/>
      <c r="C47" s="20"/>
      <c r="D47" s="20"/>
      <c r="E47" s="21"/>
      <c r="F47" s="20"/>
      <c r="G47" s="20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V47" s="37" t="s">
        <v>123</v>
      </c>
      <c r="W47" s="36" t="s">
        <v>13</v>
      </c>
      <c r="X47" s="38" t="str">
        <f>D43</f>
        <v>0</v>
      </c>
      <c r="Y47" t="str">
        <f t="shared" si="0"/>
        <v>0x00000000,</v>
      </c>
      <c r="Z47" s="39" t="s">
        <v>124</v>
      </c>
    </row>
    <row r="48" spans="1:26">
      <c r="A48" s="17"/>
      <c r="B48" s="23"/>
      <c r="C48" s="24"/>
      <c r="D48" s="24"/>
      <c r="E48" s="24"/>
      <c r="F48" s="25"/>
      <c r="G48" s="2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V48" s="36"/>
      <c r="W48" s="36" t="s">
        <v>16</v>
      </c>
      <c r="X48" s="38" t="str">
        <f>D42</f>
        <v>0</v>
      </c>
      <c r="Y48" t="str">
        <f t="shared" si="0"/>
        <v>0x00000000,</v>
      </c>
      <c r="Z48" s="39"/>
    </row>
    <row r="49" spans="1:26">
      <c r="A49" s="18"/>
      <c r="B49" s="23"/>
      <c r="C49" s="24"/>
      <c r="D49" s="24"/>
      <c r="E49" s="24"/>
      <c r="F49" s="25"/>
      <c r="G49" s="25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V49" s="36"/>
      <c r="W49" s="36" t="s">
        <v>20</v>
      </c>
      <c r="X49" s="38" t="str">
        <f>D41</f>
        <v>0</v>
      </c>
      <c r="Y49" t="str">
        <f t="shared" si="0"/>
        <v>0x00000000,</v>
      </c>
      <c r="Z49" s="39"/>
    </row>
    <row r="50" spans="1:7">
      <c r="A50" s="18"/>
      <c r="B50" s="23"/>
      <c r="C50" s="24"/>
      <c r="D50" s="24"/>
      <c r="E50" s="24"/>
      <c r="F50" s="25"/>
      <c r="G50" s="25"/>
    </row>
    <row r="51" spans="1:7">
      <c r="A51" s="18"/>
      <c r="B51" s="18"/>
      <c r="C51" s="18"/>
      <c r="D51" s="18"/>
      <c r="E51" s="18"/>
      <c r="F51" s="18"/>
      <c r="G51" s="18"/>
    </row>
    <row r="52" spans="1:7">
      <c r="A52" s="18"/>
      <c r="B52" s="18"/>
      <c r="C52" s="18"/>
      <c r="D52" s="18"/>
      <c r="E52" s="27"/>
      <c r="F52" s="18"/>
      <c r="G52" s="18"/>
    </row>
    <row r="53" spans="1:7">
      <c r="A53" s="17"/>
      <c r="B53" s="17"/>
      <c r="C53" s="17"/>
      <c r="D53" s="17"/>
      <c r="E53" s="27"/>
      <c r="F53" s="18"/>
      <c r="G53" s="18"/>
    </row>
    <row r="54" spans="1:5">
      <c r="A54" s="30"/>
      <c r="B54" s="31"/>
      <c r="C54" s="31"/>
      <c r="D54" s="31"/>
      <c r="E54" s="29"/>
    </row>
    <row r="55" spans="1:5">
      <c r="A55" s="30"/>
      <c r="B55" s="31"/>
      <c r="C55" s="31"/>
      <c r="D55" s="31"/>
      <c r="E55" s="29"/>
    </row>
    <row r="56" spans="1:5">
      <c r="A56" s="30"/>
      <c r="B56" s="31"/>
      <c r="C56" s="31"/>
      <c r="D56" s="31"/>
      <c r="E56" s="29"/>
    </row>
    <row r="57" spans="1:5">
      <c r="A57" s="30"/>
      <c r="B57" s="31"/>
      <c r="C57" s="31"/>
      <c r="D57" s="31"/>
      <c r="E57" s="29"/>
    </row>
    <row r="58" spans="1:5">
      <c r="A58" s="30"/>
      <c r="B58" s="31"/>
      <c r="C58" s="31"/>
      <c r="D58" s="31"/>
      <c r="E58" s="29"/>
    </row>
    <row r="59" spans="1:4">
      <c r="A59" s="30"/>
      <c r="B59" s="31"/>
      <c r="C59" s="32"/>
      <c r="D59" s="32"/>
    </row>
    <row r="60" spans="1:4">
      <c r="A60" s="30"/>
      <c r="B60" s="31"/>
      <c r="C60" s="31"/>
      <c r="D60" s="31"/>
    </row>
    <row r="61" spans="1:4">
      <c r="A61" s="22"/>
      <c r="B61" s="28"/>
      <c r="C61" s="28"/>
      <c r="D61" s="28"/>
    </row>
    <row r="62" spans="1:4">
      <c r="A62" s="22"/>
      <c r="B62" s="28"/>
      <c r="C62" s="28"/>
      <c r="D62" s="28"/>
    </row>
    <row r="63" spans="1:4">
      <c r="A63" s="22"/>
      <c r="B63" s="33"/>
      <c r="C63" s="33"/>
      <c r="D63" s="34"/>
    </row>
    <row r="64" spans="1:4">
      <c r="A64" s="22"/>
      <c r="B64" s="28"/>
      <c r="C64" s="28"/>
      <c r="D64" s="28"/>
    </row>
    <row r="65" spans="1:5">
      <c r="A65" s="40"/>
      <c r="B65" s="41"/>
      <c r="C65" s="41"/>
      <c r="D65" s="41"/>
      <c r="E65" s="16"/>
    </row>
    <row r="66" spans="1:5">
      <c r="A66" s="22"/>
      <c r="B66" s="28"/>
      <c r="C66" s="28"/>
      <c r="D66" s="28"/>
      <c r="E66" s="16"/>
    </row>
    <row r="67" spans="1:5">
      <c r="A67" s="30"/>
      <c r="B67" s="31"/>
      <c r="C67" s="31"/>
      <c r="D67" s="31"/>
      <c r="E67" s="16"/>
    </row>
    <row r="68" spans="1:5">
      <c r="A68" s="30"/>
      <c r="B68" s="31"/>
      <c r="C68" s="31"/>
      <c r="D68" s="31"/>
      <c r="E68" s="16"/>
    </row>
    <row r="69" spans="1:4">
      <c r="A69" s="30"/>
      <c r="B69" s="31"/>
      <c r="C69" s="31"/>
      <c r="D69" s="31"/>
    </row>
    <row r="70" spans="1:4">
      <c r="A70" s="30"/>
      <c r="B70" s="31"/>
      <c r="C70" s="31"/>
      <c r="D70" s="31"/>
    </row>
    <row r="71" spans="1:4">
      <c r="A71" s="30"/>
      <c r="B71" s="31"/>
      <c r="C71" s="31"/>
      <c r="D71" s="31"/>
    </row>
    <row r="72" spans="1:4">
      <c r="A72" s="30"/>
      <c r="B72" s="31"/>
      <c r="C72" s="31"/>
      <c r="D72" s="31"/>
    </row>
    <row r="73" spans="1:4">
      <c r="A73" s="30"/>
      <c r="B73" s="31"/>
      <c r="C73" s="31"/>
      <c r="D73" s="31"/>
    </row>
    <row r="74" spans="1:4">
      <c r="A74" s="30"/>
      <c r="B74" s="31"/>
      <c r="C74" s="31"/>
      <c r="D74" s="31"/>
    </row>
    <row r="75" spans="1:4">
      <c r="A75" s="42"/>
      <c r="B75" s="43"/>
      <c r="C75" s="43"/>
      <c r="D75" s="4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22" sqref="E22:G22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6" t="s">
        <v>9</v>
      </c>
      <c r="W1" s="36"/>
      <c r="X1" s="36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7">
        <v>0</v>
      </c>
      <c r="W2" s="36" t="s">
        <v>13</v>
      </c>
      <c r="X2" s="38" t="str">
        <f>S43</f>
        <v>103C7002</v>
      </c>
      <c r="Y2" t="str">
        <f t="shared" ref="Y2:Y49" si="0">"0x"&amp;RIGHT("00000000"&amp;X2,8)&amp;","</f>
        <v>0x103C7002,</v>
      </c>
      <c r="Z2" s="39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7"/>
      <c r="W3" s="36" t="s">
        <v>16</v>
      </c>
      <c r="X3" s="38" t="str">
        <f>S42</f>
        <v>48BF4F4C</v>
      </c>
      <c r="Y3" t="str">
        <f t="shared" si="0"/>
        <v>0x48BF4F4C,</v>
      </c>
      <c r="Z3" s="39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7"/>
      <c r="W4" s="36" t="s">
        <v>20</v>
      </c>
      <c r="X4" s="38" t="str">
        <f>S41</f>
        <v>44000B2</v>
      </c>
      <c r="Y4" t="str">
        <f t="shared" si="0"/>
        <v>0x044000B2,</v>
      </c>
      <c r="Z4" s="39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7">
        <v>1</v>
      </c>
      <c r="W5" s="36" t="s">
        <v>13</v>
      </c>
      <c r="X5" s="38" t="str">
        <f>R43</f>
        <v>103C7004</v>
      </c>
      <c r="Y5" t="str">
        <f t="shared" si="0"/>
        <v>0x103C7004,</v>
      </c>
      <c r="Z5" s="39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7"/>
      <c r="W6" s="36" t="s">
        <v>16</v>
      </c>
      <c r="X6" s="38" t="str">
        <f>R42</f>
        <v>48BF4F4C</v>
      </c>
      <c r="Y6" t="str">
        <f t="shared" si="0"/>
        <v>0x48BF4F4C,</v>
      </c>
      <c r="Z6" s="39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7"/>
      <c r="W7" s="36" t="s">
        <v>20</v>
      </c>
      <c r="X7" s="38" t="str">
        <f>R41</f>
        <v>440006E</v>
      </c>
      <c r="Y7" t="str">
        <f t="shared" si="0"/>
        <v>0x0440006E,</v>
      </c>
      <c r="Z7" s="39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7">
        <v>2</v>
      </c>
      <c r="W8" s="36" t="s">
        <v>13</v>
      </c>
      <c r="X8" s="38" t="str">
        <f>Q43</f>
        <v>103C7004</v>
      </c>
      <c r="Y8" t="str">
        <f t="shared" si="0"/>
        <v>0x103C7004,</v>
      </c>
      <c r="Z8" s="39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7"/>
      <c r="W9" s="36" t="s">
        <v>16</v>
      </c>
      <c r="X9" s="38" t="str">
        <f>Q42</f>
        <v>48BF4F4C</v>
      </c>
      <c r="Y9" t="str">
        <f t="shared" si="0"/>
        <v>0x48BF4F4C,</v>
      </c>
      <c r="Z9" s="39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7"/>
      <c r="W10" s="36" t="s">
        <v>20</v>
      </c>
      <c r="X10" s="38" t="str">
        <f>Q41</f>
        <v>4400076</v>
      </c>
      <c r="Y10" t="str">
        <f t="shared" si="0"/>
        <v>0x04400076,</v>
      </c>
      <c r="Z10" s="39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7">
        <v>3</v>
      </c>
      <c r="W11" s="36" t="s">
        <v>13</v>
      </c>
      <c r="X11" s="38" t="str">
        <f>P43</f>
        <v>103C7004</v>
      </c>
      <c r="Y11" t="str">
        <f t="shared" si="0"/>
        <v>0x103C7004,</v>
      </c>
      <c r="Z11" s="39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7" t="s">
        <v>46</v>
      </c>
      <c r="G12" s="7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5" t="s">
        <v>98</v>
      </c>
      <c r="Q12" s="35" t="s">
        <v>49</v>
      </c>
      <c r="R12" s="5" t="s">
        <v>49</v>
      </c>
      <c r="S12" s="5" t="s">
        <v>48</v>
      </c>
      <c r="V12" s="37"/>
      <c r="W12" s="36" t="s">
        <v>16</v>
      </c>
      <c r="X12" s="38" t="str">
        <f>P42</f>
        <v>48BF4F4C</v>
      </c>
      <c r="Y12" t="str">
        <f t="shared" si="0"/>
        <v>0x48BF4F4C,</v>
      </c>
      <c r="Z12" s="39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5" t="s">
        <v>11</v>
      </c>
      <c r="Q13" s="35" t="s">
        <v>48</v>
      </c>
      <c r="R13" s="5" t="s">
        <v>49</v>
      </c>
      <c r="S13" s="5" t="s">
        <v>25</v>
      </c>
      <c r="V13" s="37"/>
      <c r="W13" s="36" t="s">
        <v>20</v>
      </c>
      <c r="X13" s="38" t="str">
        <f>P41</f>
        <v>44000E6</v>
      </c>
      <c r="Y13" t="str">
        <f t="shared" si="0"/>
        <v>0x044000E6,</v>
      </c>
      <c r="Z13" s="39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7">
        <v>4</v>
      </c>
      <c r="W14" s="36" t="s">
        <v>13</v>
      </c>
      <c r="X14" s="38" t="str">
        <f>O43</f>
        <v>103C7004</v>
      </c>
      <c r="Y14" t="str">
        <f t="shared" si="0"/>
        <v>0x103C7004,</v>
      </c>
      <c r="Z14" s="39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7"/>
      <c r="W15" s="36" t="s">
        <v>16</v>
      </c>
      <c r="X15" s="38" t="str">
        <f>O42</f>
        <v>48BF4F4C</v>
      </c>
      <c r="Y15" t="str">
        <f t="shared" si="0"/>
        <v>0x48BF4F4C,</v>
      </c>
      <c r="Z15" s="39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7"/>
      <c r="W16" s="36" t="s">
        <v>20</v>
      </c>
      <c r="X16" s="38" t="str">
        <f>O41</f>
        <v>440010A</v>
      </c>
      <c r="Y16" t="str">
        <f t="shared" si="0"/>
        <v>0x0440010A,</v>
      </c>
      <c r="Z16" s="39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7">
        <v>5</v>
      </c>
      <c r="W17" s="36" t="s">
        <v>13</v>
      </c>
      <c r="X17" s="38" t="str">
        <f>N43</f>
        <v>103C7004</v>
      </c>
      <c r="Y17" t="str">
        <f t="shared" si="0"/>
        <v>0x103C7004,</v>
      </c>
      <c r="Z17" s="39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7"/>
      <c r="W18" s="36" t="s">
        <v>16</v>
      </c>
      <c r="X18" s="38" t="str">
        <f>N42</f>
        <v>48BF4F4C</v>
      </c>
      <c r="Y18" t="str">
        <f t="shared" si="0"/>
        <v>0x48BF4F4C,</v>
      </c>
      <c r="Z18" s="39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7"/>
      <c r="W19" s="36" t="s">
        <v>20</v>
      </c>
      <c r="X19" s="38" t="str">
        <f>N41</f>
        <v>440012E</v>
      </c>
      <c r="Y19" t="str">
        <f t="shared" si="0"/>
        <v>0x0440012E,</v>
      </c>
      <c r="Z19" s="39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7">
        <v>6</v>
      </c>
      <c r="W20" s="36" t="s">
        <v>13</v>
      </c>
      <c r="X20" s="38" t="str">
        <f>M43</f>
        <v>103C7008</v>
      </c>
      <c r="Y20" t="str">
        <f t="shared" si="0"/>
        <v>0x103C7008,</v>
      </c>
      <c r="Z20" s="39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7"/>
      <c r="W21" s="36" t="s">
        <v>16</v>
      </c>
      <c r="X21" s="38" t="str">
        <f>M42</f>
        <v>48BF4F4C</v>
      </c>
      <c r="Y21" t="str">
        <f t="shared" si="0"/>
        <v>0x48BF4F4C,</v>
      </c>
      <c r="Z21" s="39"/>
    </row>
    <row r="22" spans="1:26">
      <c r="A22" s="2" t="s">
        <v>72</v>
      </c>
      <c r="B22" s="2" t="s">
        <v>73</v>
      </c>
      <c r="C22" s="3" t="s">
        <v>49</v>
      </c>
      <c r="D22" s="4"/>
      <c r="E22" s="10" t="s">
        <v>49</v>
      </c>
      <c r="F22" s="10" t="s">
        <v>49</v>
      </c>
      <c r="G22" s="10" t="s">
        <v>49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7"/>
      <c r="W22" s="36" t="s">
        <v>20</v>
      </c>
      <c r="X22" s="38" t="str">
        <f>M41</f>
        <v>4400126</v>
      </c>
      <c r="Y22" t="str">
        <f t="shared" si="0"/>
        <v>0x04400126,</v>
      </c>
      <c r="Z22" s="39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7">
        <v>7</v>
      </c>
      <c r="W23" s="36" t="s">
        <v>13</v>
      </c>
      <c r="X23" s="38" t="str">
        <f>L43</f>
        <v>103C7008</v>
      </c>
      <c r="Y23" t="str">
        <f t="shared" si="0"/>
        <v>0x103C7008,</v>
      </c>
      <c r="Z23" s="39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7"/>
      <c r="W24" s="36" t="s">
        <v>16</v>
      </c>
      <c r="X24" s="38" t="str">
        <f>L42</f>
        <v>48BF4F4C</v>
      </c>
      <c r="Y24" t="str">
        <f t="shared" si="0"/>
        <v>0x48BF4F4C,</v>
      </c>
      <c r="Z24" s="39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7"/>
      <c r="W25" s="36" t="s">
        <v>20</v>
      </c>
      <c r="X25" s="38" t="str">
        <f>L41</f>
        <v>440014A</v>
      </c>
      <c r="Y25" t="str">
        <f t="shared" si="0"/>
        <v>0x0440014A,</v>
      </c>
      <c r="Z25" s="39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7">
        <v>8</v>
      </c>
      <c r="W26" s="36" t="s">
        <v>13</v>
      </c>
      <c r="X26" s="38" t="str">
        <f>K43</f>
        <v>103C700C</v>
      </c>
      <c r="Y26" t="str">
        <f t="shared" si="0"/>
        <v>0x103C700C,</v>
      </c>
      <c r="Z26" s="39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7"/>
      <c r="W27" s="36" t="s">
        <v>16</v>
      </c>
      <c r="X27" s="38" t="str">
        <f>K42</f>
        <v>48BF4F4C</v>
      </c>
      <c r="Y27" t="str">
        <f t="shared" si="0"/>
        <v>0x48BF4F4C,</v>
      </c>
      <c r="Z27" s="39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7"/>
      <c r="W28" s="36" t="s">
        <v>20</v>
      </c>
      <c r="X28" s="38" t="str">
        <f>K41</f>
        <v>4400106</v>
      </c>
      <c r="Y28" t="str">
        <f t="shared" si="0"/>
        <v>0x04400106,</v>
      </c>
      <c r="Z28" s="39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7">
        <v>9</v>
      </c>
      <c r="W29" s="36" t="s">
        <v>13</v>
      </c>
      <c r="X29" s="38" t="str">
        <f>J43</f>
        <v>103C700C</v>
      </c>
      <c r="Y29" t="str">
        <f t="shared" si="0"/>
        <v>0x103C700C,</v>
      </c>
      <c r="Z29" s="39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7"/>
      <c r="W30" s="36" t="s">
        <v>16</v>
      </c>
      <c r="X30" s="38" t="str">
        <f>J42</f>
        <v>48BF4F4C</v>
      </c>
      <c r="Y30" t="str">
        <f t="shared" si="0"/>
        <v>0x48BF4F4C,</v>
      </c>
      <c r="Z30" s="39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7"/>
      <c r="W31" s="36" t="s">
        <v>20</v>
      </c>
      <c r="X31" s="38" t="str">
        <f>J41</f>
        <v>440010E</v>
      </c>
      <c r="Y31" t="str">
        <f t="shared" si="0"/>
        <v>0x0440010E,</v>
      </c>
      <c r="Z31" s="39"/>
    </row>
    <row r="32" spans="1:26">
      <c r="A32" s="2" t="s">
        <v>96</v>
      </c>
      <c r="B32" s="2" t="s">
        <v>97</v>
      </c>
      <c r="C32" s="3" t="s">
        <v>25</v>
      </c>
      <c r="D32" s="4"/>
      <c r="E32" s="10" t="s">
        <v>41</v>
      </c>
      <c r="F32" s="10" t="s">
        <v>41</v>
      </c>
      <c r="G32" s="10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7" t="s">
        <v>99</v>
      </c>
      <c r="W32" s="36" t="s">
        <v>13</v>
      </c>
      <c r="X32" s="38" t="str">
        <f>I43</f>
        <v>103C700F</v>
      </c>
      <c r="Y32" t="str">
        <f t="shared" si="0"/>
        <v>0x103C700F,</v>
      </c>
      <c r="Z32" s="39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11" t="s">
        <v>98</v>
      </c>
      <c r="F33" s="11" t="s">
        <v>98</v>
      </c>
      <c r="G33" s="11" t="s">
        <v>98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7"/>
      <c r="W33" s="36" t="s">
        <v>16</v>
      </c>
      <c r="X33" s="38" t="str">
        <f>I42</f>
        <v>48BF4F4C</v>
      </c>
      <c r="Y33" t="str">
        <f t="shared" si="0"/>
        <v>0x48BF4F4C,</v>
      </c>
      <c r="Z33" s="39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7"/>
      <c r="W34" s="36" t="s">
        <v>20</v>
      </c>
      <c r="X34" s="38" t="str">
        <f>I41</f>
        <v>440010A</v>
      </c>
      <c r="Y34" t="str">
        <f t="shared" si="0"/>
        <v>0x0440010A,</v>
      </c>
      <c r="Z34" s="39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7" t="s">
        <v>106</v>
      </c>
      <c r="W35" s="36" t="s">
        <v>13</v>
      </c>
      <c r="X35" s="38" t="str">
        <f>H43</f>
        <v>103C700F</v>
      </c>
      <c r="Y35" t="str">
        <f t="shared" si="0"/>
        <v>0x103C700F,</v>
      </c>
      <c r="Z35" s="39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7"/>
      <c r="W36" s="36" t="s">
        <v>16</v>
      </c>
      <c r="X36" s="38" t="str">
        <f>H42</f>
        <v>48BF4F4C</v>
      </c>
      <c r="Y36" t="str">
        <f t="shared" si="0"/>
        <v>0x48BF4F4C,</v>
      </c>
      <c r="Z36" s="39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7"/>
      <c r="W37" s="36" t="s">
        <v>20</v>
      </c>
      <c r="X37" s="38" t="str">
        <f>H41</f>
        <v>440016A</v>
      </c>
      <c r="Y37" t="str">
        <f t="shared" si="0"/>
        <v>0x0440016A,</v>
      </c>
      <c r="Z37" s="39"/>
    </row>
    <row r="38" spans="22:26">
      <c r="V38" s="37" t="s">
        <v>112</v>
      </c>
      <c r="W38" s="36" t="s">
        <v>13</v>
      </c>
      <c r="X38" s="38" t="str">
        <f>G43</f>
        <v>107F700F</v>
      </c>
      <c r="Y38" t="str">
        <f t="shared" si="0"/>
        <v>0x107F700F,</v>
      </c>
      <c r="Z38" s="39" t="s">
        <v>113</v>
      </c>
    </row>
    <row r="39" spans="1:26">
      <c r="A39" t="s">
        <v>114</v>
      </c>
      <c r="V39" s="37"/>
      <c r="W39" s="36" t="s">
        <v>16</v>
      </c>
      <c r="X39" s="38" t="str">
        <f>G42</f>
        <v>48BF3F4C</v>
      </c>
      <c r="Y39" t="str">
        <f t="shared" si="0"/>
        <v>0x48BF3F4C,</v>
      </c>
      <c r="Z39" s="39"/>
    </row>
    <row r="40" spans="1:26">
      <c r="A40" s="12" t="s">
        <v>115</v>
      </c>
      <c r="B40" s="12"/>
      <c r="C40" s="12"/>
      <c r="D40" s="12">
        <v>22</v>
      </c>
      <c r="E40" s="12">
        <v>20</v>
      </c>
      <c r="F40" s="12">
        <v>18</v>
      </c>
      <c r="G40" s="12">
        <v>16</v>
      </c>
      <c r="H40" s="12">
        <v>14</v>
      </c>
      <c r="I40" s="12">
        <v>12</v>
      </c>
      <c r="J40" s="12">
        <v>10</v>
      </c>
      <c r="K40" s="12">
        <v>8</v>
      </c>
      <c r="L40" s="12">
        <v>6</v>
      </c>
      <c r="M40" s="12">
        <v>4</v>
      </c>
      <c r="N40" s="12">
        <v>2</v>
      </c>
      <c r="O40" s="12">
        <v>0</v>
      </c>
      <c r="P40" s="12">
        <v>-2</v>
      </c>
      <c r="Q40" s="12">
        <v>-4</v>
      </c>
      <c r="R40" s="12">
        <v>-6</v>
      </c>
      <c r="S40" s="12">
        <v>-8</v>
      </c>
      <c r="V40" s="37"/>
      <c r="W40" s="36" t="s">
        <v>20</v>
      </c>
      <c r="X40" s="38" t="str">
        <f>G41</f>
        <v>44001B2</v>
      </c>
      <c r="Y40" t="str">
        <f t="shared" si="0"/>
        <v>0x044001B2,</v>
      </c>
      <c r="Z40" s="39"/>
    </row>
    <row r="41" spans="1:26">
      <c r="A41" s="13" t="s">
        <v>116</v>
      </c>
      <c r="B41" s="14"/>
      <c r="C41" s="14"/>
      <c r="D41" s="15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5" t="str">
        <f t="shared" si="1"/>
        <v>44001FE</v>
      </c>
      <c r="F41" s="15" t="str">
        <f t="shared" si="1"/>
        <v>44001DA</v>
      </c>
      <c r="G41" s="15" t="str">
        <f t="shared" si="1"/>
        <v>44001B2</v>
      </c>
      <c r="H41" s="15" t="str">
        <f t="shared" si="1"/>
        <v>440016A</v>
      </c>
      <c r="I41" s="15" t="str">
        <f t="shared" si="1"/>
        <v>440010A</v>
      </c>
      <c r="J41" s="15" t="str">
        <f t="shared" si="1"/>
        <v>440010E</v>
      </c>
      <c r="K41" s="15" t="str">
        <f t="shared" si="1"/>
        <v>4400106</v>
      </c>
      <c r="L41" s="15" t="str">
        <f t="shared" si="1"/>
        <v>440014A</v>
      </c>
      <c r="M41" s="15" t="str">
        <f t="shared" si="1"/>
        <v>4400126</v>
      </c>
      <c r="N41" s="15" t="str">
        <f t="shared" si="1"/>
        <v>440012E</v>
      </c>
      <c r="O41" s="15" t="str">
        <f t="shared" si="1"/>
        <v>440010A</v>
      </c>
      <c r="P41" s="15" t="str">
        <f t="shared" si="1"/>
        <v>44000E6</v>
      </c>
      <c r="Q41" s="15" t="str">
        <f t="shared" si="1"/>
        <v>4400076</v>
      </c>
      <c r="R41" s="15" t="str">
        <f t="shared" si="1"/>
        <v>440006E</v>
      </c>
      <c r="S41" s="15" t="str">
        <f t="shared" si="1"/>
        <v>44000B2</v>
      </c>
      <c r="V41" s="37" t="s">
        <v>117</v>
      </c>
      <c r="W41" s="36" t="s">
        <v>13</v>
      </c>
      <c r="X41" s="38" t="str">
        <f>F43</f>
        <v>107F700F</v>
      </c>
      <c r="Y41" t="str">
        <f t="shared" si="0"/>
        <v>0x107F700F,</v>
      </c>
      <c r="Z41" s="39" t="s">
        <v>118</v>
      </c>
    </row>
    <row r="42" spans="1:26">
      <c r="A42" s="13" t="s">
        <v>119</v>
      </c>
      <c r="B42" s="14"/>
      <c r="C42" s="14"/>
      <c r="D42" s="15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5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48BF3F4C</v>
      </c>
      <c r="F42" s="15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48BF3F4C</v>
      </c>
      <c r="G42" s="15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48BF3F4C</v>
      </c>
      <c r="H42" s="15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5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5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5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5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5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5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5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5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5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5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5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7"/>
      <c r="W42" s="36" t="s">
        <v>16</v>
      </c>
      <c r="X42" s="38" t="str">
        <f>F42</f>
        <v>48BF3F4C</v>
      </c>
      <c r="Y42" t="str">
        <f t="shared" si="0"/>
        <v>0x48BF3F4C,</v>
      </c>
      <c r="Z42" s="39"/>
    </row>
    <row r="43" spans="1:26">
      <c r="A43" s="13" t="s">
        <v>120</v>
      </c>
      <c r="B43" s="14"/>
      <c r="C43" s="14"/>
      <c r="D43" s="15" t="str">
        <f>DEC2HEX(D37+64*D36+POWER(2,12)*D35+POWER(2,15)*D34+POWER(2,16)*D33+POWER(2,19)*D32+POWER(2,23)*D31+POWER(2,29)*D30+POWER(2,31)*MOD(D29,$C29))</f>
        <v>0</v>
      </c>
      <c r="E43" s="15" t="str">
        <f>DEC2HEX(E37+64*E36+POWER(2,12)*E35+POWER(2,15)*E34+POWER(2,16)*E33+POWER(2,19)*E32+POWER(2,23)*E31+POWER(2,29)*E30+POWER(2,31)*MOD(E29,$C29))</f>
        <v>107F700F</v>
      </c>
      <c r="F43" s="15" t="str">
        <f>DEC2HEX(F37+64*F36+POWER(2,12)*F35+POWER(2,15)*F34+POWER(2,16)*F33+POWER(2,19)*F32+POWER(2,23)*F31+POWER(2,29)*F30+POWER(2,31)*MOD(F29,$C29))</f>
        <v>107F700F</v>
      </c>
      <c r="G43" s="15" t="str">
        <f>DEC2HEX(G37+64*G36+POWER(2,12)*G35+POWER(2,15)*G34+POWER(2,16)*G33+POWER(2,19)*G32+POWER(2,23)*G31+POWER(2,29)*G30+POWER(2,31)*MOD(G29,$C29))</f>
        <v>107F700F</v>
      </c>
      <c r="H43" s="15" t="str">
        <f>DEC2HEX(H37+64*H36+POWER(2,12)*H35+POWER(2,15)*H34+POWER(2,16)*H33+POWER(2,19)*H32+POWER(2,23)*H31+POWER(2,29)*H30+POWER(2,31)*MOD(H29,$C29))</f>
        <v>103C700F</v>
      </c>
      <c r="I43" s="15" t="str">
        <f>DEC2HEX(I37+64*I36+POWER(2,12)*I35+POWER(2,15)*I34+POWER(2,16)*I33+POWER(2,19)*I32+POWER(2,23)*I31+POWER(2,29)*I30+POWER(2,31)*MOD(I29,$C29))</f>
        <v>103C700F</v>
      </c>
      <c r="J43" s="15" t="str">
        <f>DEC2HEX(J37+64*J36+POWER(2,12)*J35+POWER(2,15)*J34+POWER(2,16)*J33+POWER(2,19)*J32+POWER(2,23)*J31+POWER(2,29)*J30+POWER(2,31)*MOD(J29,$C29))</f>
        <v>103C700C</v>
      </c>
      <c r="K43" s="15" t="str">
        <f>DEC2HEX(K37+64*K36+POWER(2,12)*K35+POWER(2,15)*K34+POWER(2,16)*K33+POWER(2,19)*K32+POWER(2,23)*K31+POWER(2,29)*K30+POWER(2,31)*MOD(K29,$C29))</f>
        <v>103C700C</v>
      </c>
      <c r="L43" s="15" t="str">
        <f>DEC2HEX(L37+64*L36+POWER(2,12)*L35+POWER(2,15)*L34+POWER(2,16)*L33+POWER(2,19)*L32+POWER(2,23)*L31+POWER(2,29)*L30+POWER(2,31)*MOD(L29,$C29))</f>
        <v>103C7008</v>
      </c>
      <c r="M43" s="15" t="str">
        <f>DEC2HEX(M37+64*M36+POWER(2,12)*M35+POWER(2,15)*M34+POWER(2,16)*M33+POWER(2,19)*M32+POWER(2,23)*M31+POWER(2,29)*M30+POWER(2,31)*MOD(M29,$C29))</f>
        <v>103C7008</v>
      </c>
      <c r="N43" s="15" t="str">
        <f>DEC2HEX(N37+64*N36+POWER(2,12)*N35+POWER(2,15)*N34+POWER(2,16)*N33+POWER(2,19)*N32+POWER(2,23)*N31+POWER(2,29)*N30+POWER(2,31)*MOD(N29,$C29))</f>
        <v>103C7004</v>
      </c>
      <c r="O43" s="15" t="str">
        <f>DEC2HEX(O37+64*O36+POWER(2,12)*O35+POWER(2,15)*O34+POWER(2,16)*O33+POWER(2,19)*O32+POWER(2,23)*O31+POWER(2,29)*O30+POWER(2,31)*MOD(O29,$C29))</f>
        <v>103C7004</v>
      </c>
      <c r="P43" s="15" t="str">
        <f>DEC2HEX(P37+64*P36+POWER(2,12)*P35+POWER(2,15)*P34+POWER(2,16)*P33+POWER(2,19)*P32+POWER(2,23)*P31+POWER(2,29)*P30+POWER(2,31)*MOD(P29,$C29))</f>
        <v>103C7004</v>
      </c>
      <c r="Q43" s="15" t="str">
        <f>DEC2HEX(Q37+64*Q36+POWER(2,12)*Q35+POWER(2,15)*Q34+POWER(2,16)*Q33+POWER(2,19)*Q32+POWER(2,23)*Q31+POWER(2,29)*Q30+POWER(2,31)*MOD(Q29,$C29))</f>
        <v>103C7004</v>
      </c>
      <c r="R43" s="15" t="str">
        <f>DEC2HEX(R37+64*R36+POWER(2,12)*R35+POWER(2,15)*R34+POWER(2,16)*R33+POWER(2,19)*R32+POWER(2,23)*R31+POWER(2,29)*R30+POWER(2,31)*MOD(R29,$C29))</f>
        <v>103C7004</v>
      </c>
      <c r="S43" s="15" t="str">
        <f>DEC2HEX(S37+64*S36+POWER(2,12)*S35+POWER(2,15)*S34+POWER(2,16)*S33+POWER(2,19)*S32+POWER(2,23)*S31+POWER(2,29)*S30+POWER(2,31)*MOD(S29,$C29))</f>
        <v>103C7002</v>
      </c>
      <c r="V43" s="37"/>
      <c r="W43" s="36" t="s">
        <v>20</v>
      </c>
      <c r="X43" s="38" t="str">
        <f>F41</f>
        <v>44001DA</v>
      </c>
      <c r="Y43" t="str">
        <f t="shared" si="0"/>
        <v>0x044001DA,</v>
      </c>
      <c r="Z43" s="39"/>
    </row>
    <row r="44" spans="4:26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V44" s="37" t="s">
        <v>121</v>
      </c>
      <c r="W44" s="36" t="s">
        <v>13</v>
      </c>
      <c r="X44" s="38" t="str">
        <f>E43</f>
        <v>107F700F</v>
      </c>
      <c r="Y44" t="str">
        <f t="shared" si="0"/>
        <v>0x107F700F,</v>
      </c>
      <c r="Z44" s="39" t="s">
        <v>122</v>
      </c>
    </row>
    <row r="45" spans="1:26">
      <c r="A45" s="17"/>
      <c r="B45" s="18"/>
      <c r="C45" s="18"/>
      <c r="D45" s="19"/>
      <c r="E45" s="19"/>
      <c r="F45" s="1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V45" s="37"/>
      <c r="W45" s="36" t="s">
        <v>16</v>
      </c>
      <c r="X45" s="38" t="str">
        <f>E42</f>
        <v>48BF3F4C</v>
      </c>
      <c r="Y45" t="str">
        <f t="shared" si="0"/>
        <v>0x48BF3F4C,</v>
      </c>
      <c r="Z45" s="39"/>
    </row>
    <row r="46" spans="1:26">
      <c r="A46" s="18"/>
      <c r="B46" s="17"/>
      <c r="C46" s="17"/>
      <c r="D46" s="19"/>
      <c r="E46" s="19"/>
      <c r="F46" s="19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V46" s="37"/>
      <c r="W46" s="36" t="s">
        <v>20</v>
      </c>
      <c r="X46" s="38" t="str">
        <f>E41</f>
        <v>44001FE</v>
      </c>
      <c r="Y46" t="str">
        <f t="shared" si="0"/>
        <v>0x044001FE,</v>
      </c>
      <c r="Z46" s="39"/>
    </row>
    <row r="47" spans="1:26">
      <c r="A47" s="17"/>
      <c r="B47" s="20"/>
      <c r="C47" s="20"/>
      <c r="D47" s="20"/>
      <c r="E47" s="21"/>
      <c r="F47" s="20"/>
      <c r="G47" s="22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V47" s="37" t="s">
        <v>123</v>
      </c>
      <c r="W47" s="36" t="s">
        <v>13</v>
      </c>
      <c r="X47" s="38" t="str">
        <f>D43</f>
        <v>0</v>
      </c>
      <c r="Y47" t="str">
        <f t="shared" si="0"/>
        <v>0x00000000,</v>
      </c>
      <c r="Z47" s="39" t="s">
        <v>124</v>
      </c>
    </row>
    <row r="48" spans="1:26">
      <c r="A48" s="17"/>
      <c r="B48" s="23"/>
      <c r="C48" s="24"/>
      <c r="D48" s="24"/>
      <c r="E48" s="24"/>
      <c r="F48" s="25"/>
      <c r="G48" s="2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V48" s="36"/>
      <c r="W48" s="36" t="s">
        <v>16</v>
      </c>
      <c r="X48" s="38" t="str">
        <f>D42</f>
        <v>0</v>
      </c>
      <c r="Y48" t="str">
        <f t="shared" si="0"/>
        <v>0x00000000,</v>
      </c>
      <c r="Z48" s="39"/>
    </row>
    <row r="49" spans="1:26">
      <c r="A49" s="18"/>
      <c r="B49" s="23"/>
      <c r="C49" s="24"/>
      <c r="D49" s="24"/>
      <c r="E49" s="24"/>
      <c r="F49" s="25"/>
      <c r="G49" s="2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V49" s="36"/>
      <c r="W49" s="36" t="s">
        <v>20</v>
      </c>
      <c r="X49" s="38" t="str">
        <f>D41</f>
        <v>0</v>
      </c>
      <c r="Y49" t="str">
        <f t="shared" si="0"/>
        <v>0x00000000,</v>
      </c>
      <c r="Z49" s="39"/>
    </row>
    <row r="50" spans="1:7">
      <c r="A50" s="18"/>
      <c r="B50" s="23"/>
      <c r="C50" s="24"/>
      <c r="D50" s="24"/>
      <c r="E50" s="24"/>
      <c r="F50" s="25"/>
      <c r="G50" s="26"/>
    </row>
    <row r="51" spans="1:6">
      <c r="A51" s="18"/>
      <c r="B51" s="18"/>
      <c r="C51" s="18"/>
      <c r="D51" s="18"/>
      <c r="E51" s="18"/>
      <c r="F51" s="18"/>
    </row>
    <row r="52" spans="5:5">
      <c r="E52" s="29"/>
    </row>
    <row r="53" spans="1:5">
      <c r="A53" s="28"/>
      <c r="B53" s="28"/>
      <c r="C53" s="28"/>
      <c r="D53" s="28"/>
      <c r="E53" s="29"/>
    </row>
    <row r="54" spans="1:5">
      <c r="A54" s="30"/>
      <c r="B54" s="31"/>
      <c r="C54" s="31"/>
      <c r="D54" s="31"/>
      <c r="E54" s="29"/>
    </row>
    <row r="55" spans="1:5">
      <c r="A55" s="30"/>
      <c r="B55" s="31"/>
      <c r="C55" s="31"/>
      <c r="D55" s="31"/>
      <c r="E55" s="29"/>
    </row>
    <row r="56" spans="1:5">
      <c r="A56" s="30"/>
      <c r="B56" s="31"/>
      <c r="C56" s="31"/>
      <c r="D56" s="31"/>
      <c r="E56" s="29"/>
    </row>
    <row r="57" spans="1:5">
      <c r="A57" s="30"/>
      <c r="B57" s="31"/>
      <c r="C57" s="31"/>
      <c r="D57" s="31"/>
      <c r="E57" s="29"/>
    </row>
    <row r="58" spans="1:5">
      <c r="A58" s="30"/>
      <c r="B58" s="31"/>
      <c r="C58" s="31"/>
      <c r="D58" s="31"/>
      <c r="E58" s="29"/>
    </row>
    <row r="59" spans="1:4">
      <c r="A59" s="30"/>
      <c r="B59" s="31"/>
      <c r="C59" s="32"/>
      <c r="D59" s="32"/>
    </row>
    <row r="60" spans="1:4">
      <c r="A60" s="30"/>
      <c r="B60" s="31"/>
      <c r="C60" s="31"/>
      <c r="D60" s="31"/>
    </row>
    <row r="61" spans="1:4">
      <c r="A61" s="22"/>
      <c r="B61" s="28"/>
      <c r="C61" s="28"/>
      <c r="D61" s="28"/>
    </row>
    <row r="62" spans="1:4">
      <c r="A62" s="22"/>
      <c r="B62" s="28"/>
      <c r="C62" s="28"/>
      <c r="D62" s="28"/>
    </row>
    <row r="63" spans="1:4">
      <c r="A63" s="22"/>
      <c r="B63" s="33"/>
      <c r="C63" s="33"/>
      <c r="D63" s="34"/>
    </row>
    <row r="64" spans="1:4">
      <c r="A64" s="22"/>
      <c r="B64" s="28"/>
      <c r="C64" s="28"/>
      <c r="D64" s="28"/>
    </row>
    <row r="65" spans="1:5">
      <c r="A65" s="40"/>
      <c r="B65" s="41"/>
      <c r="C65" s="41"/>
      <c r="D65" s="41"/>
      <c r="E65" s="16"/>
    </row>
    <row r="66" spans="1:5">
      <c r="A66" s="22"/>
      <c r="B66" s="28"/>
      <c r="C66" s="28"/>
      <c r="D66" s="28"/>
      <c r="E66" s="16"/>
    </row>
    <row r="67" spans="1:5">
      <c r="A67" s="30"/>
      <c r="B67" s="31"/>
      <c r="C67" s="31"/>
      <c r="D67" s="31"/>
      <c r="E67" s="16"/>
    </row>
    <row r="68" spans="1:5">
      <c r="A68" s="30"/>
      <c r="B68" s="31"/>
      <c r="C68" s="31"/>
      <c r="D68" s="31"/>
      <c r="E68" s="16"/>
    </row>
    <row r="69" spans="1:4">
      <c r="A69" s="30"/>
      <c r="B69" s="31"/>
      <c r="C69" s="31"/>
      <c r="D69" s="31"/>
    </row>
    <row r="70" spans="1:4">
      <c r="A70" s="30"/>
      <c r="B70" s="31"/>
      <c r="C70" s="31"/>
      <c r="D70" s="31"/>
    </row>
    <row r="71" spans="1:4">
      <c r="A71" s="30"/>
      <c r="B71" s="31"/>
      <c r="C71" s="31"/>
      <c r="D71" s="31"/>
    </row>
    <row r="72" spans="1:4">
      <c r="A72" s="30"/>
      <c r="B72" s="31"/>
      <c r="C72" s="31"/>
      <c r="D72" s="31"/>
    </row>
    <row r="73" spans="1:4">
      <c r="A73" s="30"/>
      <c r="B73" s="31"/>
      <c r="C73" s="31"/>
      <c r="D73" s="31"/>
    </row>
    <row r="74" spans="1:4">
      <c r="A74" s="30"/>
      <c r="B74" s="31"/>
      <c r="C74" s="31"/>
      <c r="D74" s="31"/>
    </row>
    <row r="75" spans="1:4">
      <c r="A75" s="42"/>
      <c r="B75" s="43"/>
      <c r="C75" s="43"/>
      <c r="D75" s="4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tabSelected="1" workbookViewId="0">
      <selection activeCell="K48" sqref="K48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6" t="s">
        <v>9</v>
      </c>
      <c r="W1" s="36"/>
      <c r="X1" s="36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7">
        <v>0</v>
      </c>
      <c r="W2" s="36" t="s">
        <v>13</v>
      </c>
      <c r="X2" s="38" t="str">
        <f>S43</f>
        <v>103C7002</v>
      </c>
      <c r="Y2" t="str">
        <f t="shared" ref="Y2:Y49" si="0">"0x"&amp;RIGHT("00000000"&amp;X2,8)&amp;","</f>
        <v>0x103C7002,</v>
      </c>
      <c r="Z2" s="39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7"/>
      <c r="W3" s="36" t="s">
        <v>16</v>
      </c>
      <c r="X3" s="38" t="str">
        <f>S42</f>
        <v>48BF4F4C</v>
      </c>
      <c r="Y3" t="str">
        <f t="shared" si="0"/>
        <v>0x48BF4F4C,</v>
      </c>
      <c r="Z3" s="39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7"/>
      <c r="W4" s="36" t="s">
        <v>20</v>
      </c>
      <c r="X4" s="38" t="str">
        <f>S41</f>
        <v>44000B2</v>
      </c>
      <c r="Y4" t="str">
        <f t="shared" si="0"/>
        <v>0x044000B2,</v>
      </c>
      <c r="Z4" s="39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7">
        <v>1</v>
      </c>
      <c r="W5" s="36" t="s">
        <v>13</v>
      </c>
      <c r="X5" s="38" t="str">
        <f>R43</f>
        <v>103C7004</v>
      </c>
      <c r="Y5" t="str">
        <f t="shared" si="0"/>
        <v>0x103C7004,</v>
      </c>
      <c r="Z5" s="39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7"/>
      <c r="W6" s="36" t="s">
        <v>16</v>
      </c>
      <c r="X6" s="38" t="str">
        <f>R42</f>
        <v>48BF4F4C</v>
      </c>
      <c r="Y6" t="str">
        <f t="shared" si="0"/>
        <v>0x48BF4F4C,</v>
      </c>
      <c r="Z6" s="39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7"/>
      <c r="W7" s="36" t="s">
        <v>20</v>
      </c>
      <c r="X7" s="38" t="str">
        <f>R41</f>
        <v>440006E</v>
      </c>
      <c r="Y7" t="str">
        <f t="shared" si="0"/>
        <v>0x0440006E,</v>
      </c>
      <c r="Z7" s="39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7">
        <v>2</v>
      </c>
      <c r="W8" s="36" t="s">
        <v>13</v>
      </c>
      <c r="X8" s="38" t="str">
        <f>Q43</f>
        <v>103C7004</v>
      </c>
      <c r="Y8" t="str">
        <f t="shared" si="0"/>
        <v>0x103C7004,</v>
      </c>
      <c r="Z8" s="39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7"/>
      <c r="W9" s="36" t="s">
        <v>16</v>
      </c>
      <c r="X9" s="38" t="str">
        <f>Q42</f>
        <v>48BF4F4C</v>
      </c>
      <c r="Y9" t="str">
        <f t="shared" si="0"/>
        <v>0x48BF4F4C,</v>
      </c>
      <c r="Z9" s="39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7"/>
      <c r="W10" s="36" t="s">
        <v>20</v>
      </c>
      <c r="X10" s="38" t="str">
        <f>Q41</f>
        <v>4400076</v>
      </c>
      <c r="Y10" t="str">
        <f t="shared" si="0"/>
        <v>0x04400076,</v>
      </c>
      <c r="Z10" s="39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7">
        <v>3</v>
      </c>
      <c r="W11" s="36" t="s">
        <v>13</v>
      </c>
      <c r="X11" s="38" t="str">
        <f>P43</f>
        <v>103C7004</v>
      </c>
      <c r="Y11" t="str">
        <f t="shared" si="0"/>
        <v>0x103C7004,</v>
      </c>
      <c r="Z11" s="39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43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5" t="s">
        <v>98</v>
      </c>
      <c r="Q12" s="35" t="s">
        <v>49</v>
      </c>
      <c r="R12" s="5" t="s">
        <v>49</v>
      </c>
      <c r="S12" s="5" t="s">
        <v>48</v>
      </c>
      <c r="V12" s="37"/>
      <c r="W12" s="36" t="s">
        <v>16</v>
      </c>
      <c r="X12" s="38" t="str">
        <f>P42</f>
        <v>48BF4F4C</v>
      </c>
      <c r="Y12" t="str">
        <f t="shared" si="0"/>
        <v>0x48BF4F4C,</v>
      </c>
      <c r="Z12" s="39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5" t="s">
        <v>11</v>
      </c>
      <c r="Q13" s="35" t="s">
        <v>48</v>
      </c>
      <c r="R13" s="5" t="s">
        <v>49</v>
      </c>
      <c r="S13" s="5" t="s">
        <v>25</v>
      </c>
      <c r="V13" s="37"/>
      <c r="W13" s="36" t="s">
        <v>20</v>
      </c>
      <c r="X13" s="38" t="str">
        <f>P41</f>
        <v>44000E6</v>
      </c>
      <c r="Y13" t="str">
        <f t="shared" si="0"/>
        <v>0x044000E6,</v>
      </c>
      <c r="Z13" s="39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7">
        <v>4</v>
      </c>
      <c r="W14" s="36" t="s">
        <v>13</v>
      </c>
      <c r="X14" s="38" t="str">
        <f>O43</f>
        <v>103C7004</v>
      </c>
      <c r="Y14" t="str">
        <f t="shared" si="0"/>
        <v>0x103C7004,</v>
      </c>
      <c r="Z14" s="39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7"/>
      <c r="W15" s="36" t="s">
        <v>16</v>
      </c>
      <c r="X15" s="38" t="str">
        <f>O42</f>
        <v>48BF4F4C</v>
      </c>
      <c r="Y15" t="str">
        <f t="shared" si="0"/>
        <v>0x48BF4F4C,</v>
      </c>
      <c r="Z15" s="39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7"/>
      <c r="W16" s="36" t="s">
        <v>20</v>
      </c>
      <c r="X16" s="38" t="str">
        <f>O41</f>
        <v>440010A</v>
      </c>
      <c r="Y16" t="str">
        <f t="shared" si="0"/>
        <v>0x0440010A,</v>
      </c>
      <c r="Z16" s="39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7">
        <v>5</v>
      </c>
      <c r="W17" s="36" t="s">
        <v>13</v>
      </c>
      <c r="X17" s="38" t="str">
        <f>N43</f>
        <v>103C7004</v>
      </c>
      <c r="Y17" t="str">
        <f t="shared" si="0"/>
        <v>0x103C7004,</v>
      </c>
      <c r="Z17" s="39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7"/>
      <c r="W18" s="36" t="s">
        <v>16</v>
      </c>
      <c r="X18" s="38" t="str">
        <f>N42</f>
        <v>48BF4F4C</v>
      </c>
      <c r="Y18" t="str">
        <f t="shared" si="0"/>
        <v>0x48BF4F4C,</v>
      </c>
      <c r="Z18" s="39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7"/>
      <c r="W19" s="36" t="s">
        <v>20</v>
      </c>
      <c r="X19" s="38" t="str">
        <f>N41</f>
        <v>440012E</v>
      </c>
      <c r="Y19" t="str">
        <f t="shared" si="0"/>
        <v>0x0440012E,</v>
      </c>
      <c r="Z19" s="39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7">
        <v>6</v>
      </c>
      <c r="W20" s="36" t="s">
        <v>13</v>
      </c>
      <c r="X20" s="38" t="str">
        <f>M43</f>
        <v>103C7008</v>
      </c>
      <c r="Y20" t="str">
        <f t="shared" si="0"/>
        <v>0x103C7008,</v>
      </c>
      <c r="Z20" s="39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7"/>
      <c r="W21" s="36" t="s">
        <v>16</v>
      </c>
      <c r="X21" s="38" t="str">
        <f>M42</f>
        <v>48BF4F4C</v>
      </c>
      <c r="Y21" t="str">
        <f t="shared" si="0"/>
        <v>0x48BF4F4C,</v>
      </c>
      <c r="Z21" s="39"/>
    </row>
    <row r="22" spans="1:26">
      <c r="A22" s="2" t="s">
        <v>72</v>
      </c>
      <c r="B22" s="2" t="s">
        <v>73</v>
      </c>
      <c r="C22" s="3" t="s">
        <v>49</v>
      </c>
      <c r="D22" s="4"/>
      <c r="E22" s="9" t="s">
        <v>19</v>
      </c>
      <c r="F22" s="9" t="s">
        <v>19</v>
      </c>
      <c r="G22" s="9" t="s">
        <v>19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7"/>
      <c r="W22" s="36" t="s">
        <v>20</v>
      </c>
      <c r="X22" s="38" t="str">
        <f>M41</f>
        <v>4400126</v>
      </c>
      <c r="Y22" t="str">
        <f t="shared" si="0"/>
        <v>0x04400126,</v>
      </c>
      <c r="Z22" s="39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7">
        <v>7</v>
      </c>
      <c r="W23" s="36" t="s">
        <v>13</v>
      </c>
      <c r="X23" s="38" t="str">
        <f>L43</f>
        <v>103C7008</v>
      </c>
      <c r="Y23" t="str">
        <f t="shared" si="0"/>
        <v>0x103C7008,</v>
      </c>
      <c r="Z23" s="39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7"/>
      <c r="W24" s="36" t="s">
        <v>16</v>
      </c>
      <c r="X24" s="38" t="str">
        <f>L42</f>
        <v>48BF4F4C</v>
      </c>
      <c r="Y24" t="str">
        <f t="shared" si="0"/>
        <v>0x48BF4F4C,</v>
      </c>
      <c r="Z24" s="39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7"/>
      <c r="W25" s="36" t="s">
        <v>20</v>
      </c>
      <c r="X25" s="38" t="str">
        <f>L41</f>
        <v>440014A</v>
      </c>
      <c r="Y25" t="str">
        <f t="shared" si="0"/>
        <v>0x0440014A,</v>
      </c>
      <c r="Z25" s="39"/>
    </row>
    <row r="26" spans="1:26">
      <c r="A26" s="2" t="s">
        <v>81</v>
      </c>
      <c r="B26" s="2" t="s">
        <v>82</v>
      </c>
      <c r="C26" s="3" t="s">
        <v>49</v>
      </c>
      <c r="D26" s="4"/>
      <c r="E26" s="10" t="s">
        <v>49</v>
      </c>
      <c r="F26" s="10" t="s">
        <v>49</v>
      </c>
      <c r="G26" s="10" t="s">
        <v>49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7">
        <v>8</v>
      </c>
      <c r="W26" s="36" t="s">
        <v>13</v>
      </c>
      <c r="X26" s="38" t="str">
        <f>K43</f>
        <v>103C700C</v>
      </c>
      <c r="Y26" t="str">
        <f t="shared" si="0"/>
        <v>0x103C700C,</v>
      </c>
      <c r="Z26" s="39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7"/>
      <c r="W27" s="36" t="s">
        <v>16</v>
      </c>
      <c r="X27" s="38" t="str">
        <f>K42</f>
        <v>48BF4F4C</v>
      </c>
      <c r="Y27" t="str">
        <f t="shared" si="0"/>
        <v>0x48BF4F4C,</v>
      </c>
      <c r="Z27" s="39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7"/>
      <c r="W28" s="36" t="s">
        <v>20</v>
      </c>
      <c r="X28" s="38" t="str">
        <f>K41</f>
        <v>4400106</v>
      </c>
      <c r="Y28" t="str">
        <f t="shared" si="0"/>
        <v>0x04400106,</v>
      </c>
      <c r="Z28" s="39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7">
        <v>9</v>
      </c>
      <c r="W29" s="36" t="s">
        <v>13</v>
      </c>
      <c r="X29" s="38" t="str">
        <f>J43</f>
        <v>103C700C</v>
      </c>
      <c r="Y29" t="str">
        <f t="shared" si="0"/>
        <v>0x103C700C,</v>
      </c>
      <c r="Z29" s="39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7"/>
      <c r="W30" s="36" t="s">
        <v>16</v>
      </c>
      <c r="X30" s="38" t="str">
        <f>J42</f>
        <v>48BF4F4C</v>
      </c>
      <c r="Y30" t="str">
        <f t="shared" si="0"/>
        <v>0x48BF4F4C,</v>
      </c>
      <c r="Z30" s="39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7"/>
      <c r="W31" s="36" t="s">
        <v>20</v>
      </c>
      <c r="X31" s="38" t="str">
        <f>J41</f>
        <v>440010E</v>
      </c>
      <c r="Y31" t="str">
        <f t="shared" si="0"/>
        <v>0x0440010E,</v>
      </c>
      <c r="Z31" s="39"/>
    </row>
    <row r="32" spans="1:26">
      <c r="A32" s="2" t="s">
        <v>96</v>
      </c>
      <c r="B32" s="2" t="s">
        <v>97</v>
      </c>
      <c r="C32" s="3" t="s">
        <v>25</v>
      </c>
      <c r="D32" s="4"/>
      <c r="E32" s="10" t="s">
        <v>41</v>
      </c>
      <c r="F32" s="10" t="s">
        <v>41</v>
      </c>
      <c r="G32" s="10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7" t="s">
        <v>99</v>
      </c>
      <c r="W32" s="36" t="s">
        <v>13</v>
      </c>
      <c r="X32" s="38" t="str">
        <f>I43</f>
        <v>103C700F</v>
      </c>
      <c r="Y32" t="str">
        <f t="shared" si="0"/>
        <v>0x103C700F,</v>
      </c>
      <c r="Z32" s="39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11" t="s">
        <v>98</v>
      </c>
      <c r="F33" s="11" t="s">
        <v>98</v>
      </c>
      <c r="G33" s="11" t="s">
        <v>98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7"/>
      <c r="W33" s="36" t="s">
        <v>16</v>
      </c>
      <c r="X33" s="38" t="str">
        <f>I42</f>
        <v>48BF4F4C</v>
      </c>
      <c r="Y33" t="str">
        <f t="shared" si="0"/>
        <v>0x48BF4F4C,</v>
      </c>
      <c r="Z33" s="39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7"/>
      <c r="W34" s="36" t="s">
        <v>20</v>
      </c>
      <c r="X34" s="38" t="str">
        <f>I41</f>
        <v>440010A</v>
      </c>
      <c r="Y34" t="str">
        <f t="shared" si="0"/>
        <v>0x0440010A,</v>
      </c>
      <c r="Z34" s="39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7" t="s">
        <v>106</v>
      </c>
      <c r="W35" s="36" t="s">
        <v>13</v>
      </c>
      <c r="X35" s="38" t="str">
        <f>H43</f>
        <v>103C700F</v>
      </c>
      <c r="Y35" t="str">
        <f t="shared" si="0"/>
        <v>0x103C700F,</v>
      </c>
      <c r="Z35" s="39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7"/>
      <c r="W36" s="36" t="s">
        <v>16</v>
      </c>
      <c r="X36" s="38" t="str">
        <f>H42</f>
        <v>48BF4F4C</v>
      </c>
      <c r="Y36" t="str">
        <f t="shared" si="0"/>
        <v>0x48BF4F4C,</v>
      </c>
      <c r="Z36" s="39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7"/>
      <c r="W37" s="36" t="s">
        <v>20</v>
      </c>
      <c r="X37" s="38" t="str">
        <f>H41</f>
        <v>440016A</v>
      </c>
      <c r="Y37" t="str">
        <f t="shared" si="0"/>
        <v>0x0440016A,</v>
      </c>
      <c r="Z37" s="39"/>
    </row>
    <row r="38" spans="22:26">
      <c r="V38" s="37" t="s">
        <v>112</v>
      </c>
      <c r="W38" s="36" t="s">
        <v>13</v>
      </c>
      <c r="X38" s="38" t="str">
        <f>G43</f>
        <v>107F700F</v>
      </c>
      <c r="Y38" t="str">
        <f t="shared" si="0"/>
        <v>0x107F700F,</v>
      </c>
      <c r="Z38" s="39" t="s">
        <v>113</v>
      </c>
    </row>
    <row r="39" spans="1:26">
      <c r="A39" t="s">
        <v>114</v>
      </c>
      <c r="V39" s="37"/>
      <c r="W39" s="36" t="s">
        <v>16</v>
      </c>
      <c r="X39" s="38" t="str">
        <f>G42</f>
        <v>48BF2F3C</v>
      </c>
      <c r="Y39" t="str">
        <f t="shared" si="0"/>
        <v>0x48BF2F3C,</v>
      </c>
      <c r="Z39" s="39"/>
    </row>
    <row r="40" spans="1:26">
      <c r="A40" s="12" t="s">
        <v>115</v>
      </c>
      <c r="B40" s="12"/>
      <c r="C40" s="12"/>
      <c r="D40" s="12">
        <v>22</v>
      </c>
      <c r="E40" s="12">
        <v>20</v>
      </c>
      <c r="F40" s="12">
        <v>18</v>
      </c>
      <c r="G40" s="12">
        <v>16</v>
      </c>
      <c r="H40" s="12">
        <v>14</v>
      </c>
      <c r="I40" s="12">
        <v>12</v>
      </c>
      <c r="J40" s="12">
        <v>10</v>
      </c>
      <c r="K40" s="12">
        <v>8</v>
      </c>
      <c r="L40" s="12">
        <v>6</v>
      </c>
      <c r="M40" s="12">
        <v>4</v>
      </c>
      <c r="N40" s="12">
        <v>2</v>
      </c>
      <c r="O40" s="12">
        <v>0</v>
      </c>
      <c r="P40" s="12">
        <v>-2</v>
      </c>
      <c r="Q40" s="12">
        <v>-4</v>
      </c>
      <c r="R40" s="12">
        <v>-6</v>
      </c>
      <c r="S40" s="12">
        <v>-8</v>
      </c>
      <c r="V40" s="37"/>
      <c r="W40" s="36" t="s">
        <v>20</v>
      </c>
      <c r="X40" s="38" t="str">
        <f>G41</f>
        <v>4400192</v>
      </c>
      <c r="Y40" t="str">
        <f t="shared" si="0"/>
        <v>0x04400192,</v>
      </c>
      <c r="Z40" s="39"/>
    </row>
    <row r="41" spans="1:26">
      <c r="A41" s="13" t="s">
        <v>116</v>
      </c>
      <c r="B41" s="14"/>
      <c r="C41" s="14"/>
      <c r="D41" s="15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5" t="str">
        <f t="shared" si="1"/>
        <v>44001FE</v>
      </c>
      <c r="F41" s="15" t="str">
        <f t="shared" si="1"/>
        <v>44001BA</v>
      </c>
      <c r="G41" s="15" t="str">
        <f t="shared" si="1"/>
        <v>4400192</v>
      </c>
      <c r="H41" s="15" t="str">
        <f t="shared" si="1"/>
        <v>440016A</v>
      </c>
      <c r="I41" s="15" t="str">
        <f t="shared" si="1"/>
        <v>440010A</v>
      </c>
      <c r="J41" s="15" t="str">
        <f t="shared" si="1"/>
        <v>440010E</v>
      </c>
      <c r="K41" s="15" t="str">
        <f t="shared" si="1"/>
        <v>4400106</v>
      </c>
      <c r="L41" s="15" t="str">
        <f t="shared" si="1"/>
        <v>440014A</v>
      </c>
      <c r="M41" s="15" t="str">
        <f t="shared" si="1"/>
        <v>4400126</v>
      </c>
      <c r="N41" s="15" t="str">
        <f t="shared" si="1"/>
        <v>440012E</v>
      </c>
      <c r="O41" s="15" t="str">
        <f t="shared" si="1"/>
        <v>440010A</v>
      </c>
      <c r="P41" s="15" t="str">
        <f t="shared" si="1"/>
        <v>44000E6</v>
      </c>
      <c r="Q41" s="15" t="str">
        <f t="shared" si="1"/>
        <v>4400076</v>
      </c>
      <c r="R41" s="15" t="str">
        <f t="shared" si="1"/>
        <v>440006E</v>
      </c>
      <c r="S41" s="15" t="str">
        <f t="shared" si="1"/>
        <v>44000B2</v>
      </c>
      <c r="V41" s="37" t="s">
        <v>117</v>
      </c>
      <c r="W41" s="36" t="s">
        <v>13</v>
      </c>
      <c r="X41" s="38" t="str">
        <f>F43</f>
        <v>107F700F</v>
      </c>
      <c r="Y41" t="str">
        <f t="shared" si="0"/>
        <v>0x107F700F,</v>
      </c>
      <c r="Z41" s="39" t="s">
        <v>118</v>
      </c>
    </row>
    <row r="42" spans="1:26">
      <c r="A42" s="13" t="s">
        <v>119</v>
      </c>
      <c r="B42" s="14"/>
      <c r="C42" s="14"/>
      <c r="D42" s="15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5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48BF2F3C</v>
      </c>
      <c r="F42" s="15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48BF2F3C</v>
      </c>
      <c r="G42" s="15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48BF2F3C</v>
      </c>
      <c r="H42" s="15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5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5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5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5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5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5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5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5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5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5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5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7"/>
      <c r="W42" s="36" t="s">
        <v>16</v>
      </c>
      <c r="X42" s="38" t="str">
        <f>F42</f>
        <v>48BF2F3C</v>
      </c>
      <c r="Y42" t="str">
        <f t="shared" si="0"/>
        <v>0x48BF2F3C,</v>
      </c>
      <c r="Z42" s="39"/>
    </row>
    <row r="43" spans="1:26">
      <c r="A43" s="13" t="s">
        <v>120</v>
      </c>
      <c r="B43" s="14"/>
      <c r="C43" s="14"/>
      <c r="D43" s="15" t="str">
        <f>DEC2HEX(D37+64*D36+POWER(2,12)*D35+POWER(2,15)*D34+POWER(2,16)*D33+POWER(2,19)*D32+POWER(2,23)*D31+POWER(2,29)*D30+POWER(2,31)*MOD(D29,$C29))</f>
        <v>0</v>
      </c>
      <c r="E43" s="15" t="str">
        <f>DEC2HEX(E37+64*E36+POWER(2,12)*E35+POWER(2,15)*E34+POWER(2,16)*E33+POWER(2,19)*E32+POWER(2,23)*E31+POWER(2,29)*E30+POWER(2,31)*MOD(E29,$C29))</f>
        <v>107F700F</v>
      </c>
      <c r="F43" s="15" t="str">
        <f>DEC2HEX(F37+64*F36+POWER(2,12)*F35+POWER(2,15)*F34+POWER(2,16)*F33+POWER(2,19)*F32+POWER(2,23)*F31+POWER(2,29)*F30+POWER(2,31)*MOD(F29,$C29))</f>
        <v>107F700F</v>
      </c>
      <c r="G43" s="15" t="str">
        <f>DEC2HEX(G37+64*G36+POWER(2,12)*G35+POWER(2,15)*G34+POWER(2,16)*G33+POWER(2,19)*G32+POWER(2,23)*G31+POWER(2,29)*G30+POWER(2,31)*MOD(G29,$C29))</f>
        <v>107F700F</v>
      </c>
      <c r="H43" s="15" t="str">
        <f>DEC2HEX(H37+64*H36+POWER(2,12)*H35+POWER(2,15)*H34+POWER(2,16)*H33+POWER(2,19)*H32+POWER(2,23)*H31+POWER(2,29)*H30+POWER(2,31)*MOD(H29,$C29))</f>
        <v>103C700F</v>
      </c>
      <c r="I43" s="15" t="str">
        <f>DEC2HEX(I37+64*I36+POWER(2,12)*I35+POWER(2,15)*I34+POWER(2,16)*I33+POWER(2,19)*I32+POWER(2,23)*I31+POWER(2,29)*I30+POWER(2,31)*MOD(I29,$C29))</f>
        <v>103C700F</v>
      </c>
      <c r="J43" s="15" t="str">
        <f>DEC2HEX(J37+64*J36+POWER(2,12)*J35+POWER(2,15)*J34+POWER(2,16)*J33+POWER(2,19)*J32+POWER(2,23)*J31+POWER(2,29)*J30+POWER(2,31)*MOD(J29,$C29))</f>
        <v>103C700C</v>
      </c>
      <c r="K43" s="15" t="str">
        <f>DEC2HEX(K37+64*K36+POWER(2,12)*K35+POWER(2,15)*K34+POWER(2,16)*K33+POWER(2,19)*K32+POWER(2,23)*K31+POWER(2,29)*K30+POWER(2,31)*MOD(K29,$C29))</f>
        <v>103C700C</v>
      </c>
      <c r="L43" s="15" t="str">
        <f>DEC2HEX(L37+64*L36+POWER(2,12)*L35+POWER(2,15)*L34+POWER(2,16)*L33+POWER(2,19)*L32+POWER(2,23)*L31+POWER(2,29)*L30+POWER(2,31)*MOD(L29,$C29))</f>
        <v>103C7008</v>
      </c>
      <c r="M43" s="15" t="str">
        <f>DEC2HEX(M37+64*M36+POWER(2,12)*M35+POWER(2,15)*M34+POWER(2,16)*M33+POWER(2,19)*M32+POWER(2,23)*M31+POWER(2,29)*M30+POWER(2,31)*MOD(M29,$C29))</f>
        <v>103C7008</v>
      </c>
      <c r="N43" s="15" t="str">
        <f>DEC2HEX(N37+64*N36+POWER(2,12)*N35+POWER(2,15)*N34+POWER(2,16)*N33+POWER(2,19)*N32+POWER(2,23)*N31+POWER(2,29)*N30+POWER(2,31)*MOD(N29,$C29))</f>
        <v>103C7004</v>
      </c>
      <c r="O43" s="15" t="str">
        <f>DEC2HEX(O37+64*O36+POWER(2,12)*O35+POWER(2,15)*O34+POWER(2,16)*O33+POWER(2,19)*O32+POWER(2,23)*O31+POWER(2,29)*O30+POWER(2,31)*MOD(O29,$C29))</f>
        <v>103C7004</v>
      </c>
      <c r="P43" s="15" t="str">
        <f>DEC2HEX(P37+64*P36+POWER(2,12)*P35+POWER(2,15)*P34+POWER(2,16)*P33+POWER(2,19)*P32+POWER(2,23)*P31+POWER(2,29)*P30+POWER(2,31)*MOD(P29,$C29))</f>
        <v>103C7004</v>
      </c>
      <c r="Q43" s="15" t="str">
        <f>DEC2HEX(Q37+64*Q36+POWER(2,12)*Q35+POWER(2,15)*Q34+POWER(2,16)*Q33+POWER(2,19)*Q32+POWER(2,23)*Q31+POWER(2,29)*Q30+POWER(2,31)*MOD(Q29,$C29))</f>
        <v>103C7004</v>
      </c>
      <c r="R43" s="15" t="str">
        <f>DEC2HEX(R37+64*R36+POWER(2,12)*R35+POWER(2,15)*R34+POWER(2,16)*R33+POWER(2,19)*R32+POWER(2,23)*R31+POWER(2,29)*R30+POWER(2,31)*MOD(R29,$C29))</f>
        <v>103C7004</v>
      </c>
      <c r="S43" s="15" t="str">
        <f>DEC2HEX(S37+64*S36+POWER(2,12)*S35+POWER(2,15)*S34+POWER(2,16)*S33+POWER(2,19)*S32+POWER(2,23)*S31+POWER(2,29)*S30+POWER(2,31)*MOD(S29,$C29))</f>
        <v>103C7002</v>
      </c>
      <c r="V43" s="37"/>
      <c r="W43" s="36" t="s">
        <v>20</v>
      </c>
      <c r="X43" s="38" t="str">
        <f>F41</f>
        <v>44001BA</v>
      </c>
      <c r="Y43" t="str">
        <f t="shared" si="0"/>
        <v>0x044001BA,</v>
      </c>
      <c r="Z43" s="39"/>
    </row>
    <row r="44" spans="4:26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V44" s="37" t="s">
        <v>121</v>
      </c>
      <c r="W44" s="36" t="s">
        <v>13</v>
      </c>
      <c r="X44" s="38" t="str">
        <f>E43</f>
        <v>107F700F</v>
      </c>
      <c r="Y44" t="str">
        <f t="shared" si="0"/>
        <v>0x107F700F,</v>
      </c>
      <c r="Z44" s="39" t="s">
        <v>122</v>
      </c>
    </row>
    <row r="45" spans="1:26">
      <c r="A45" s="17"/>
      <c r="B45" s="18"/>
      <c r="C45" s="18"/>
      <c r="D45" s="19"/>
      <c r="E45" s="19"/>
      <c r="F45" s="1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V45" s="37"/>
      <c r="W45" s="36" t="s">
        <v>16</v>
      </c>
      <c r="X45" s="38" t="str">
        <f>E42</f>
        <v>48BF2F3C</v>
      </c>
      <c r="Y45" t="str">
        <f t="shared" si="0"/>
        <v>0x48BF2F3C,</v>
      </c>
      <c r="Z45" s="39"/>
    </row>
    <row r="46" spans="1:26">
      <c r="A46" s="18"/>
      <c r="B46" s="17"/>
      <c r="C46" s="17"/>
      <c r="D46" s="19"/>
      <c r="E46" s="19"/>
      <c r="F46" s="19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V46" s="37"/>
      <c r="W46" s="36" t="s">
        <v>20</v>
      </c>
      <c r="X46" s="38" t="str">
        <f>E41</f>
        <v>44001FE</v>
      </c>
      <c r="Y46" t="str">
        <f t="shared" si="0"/>
        <v>0x044001FE,</v>
      </c>
      <c r="Z46" s="39"/>
    </row>
    <row r="47" spans="1:26">
      <c r="A47" s="17"/>
      <c r="B47" s="20"/>
      <c r="C47" s="20"/>
      <c r="D47" s="20"/>
      <c r="E47" s="21"/>
      <c r="F47" s="20"/>
      <c r="G47" s="22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V47" s="37" t="s">
        <v>123</v>
      </c>
      <c r="W47" s="36" t="s">
        <v>13</v>
      </c>
      <c r="X47" s="38" t="str">
        <f>D43</f>
        <v>0</v>
      </c>
      <c r="Y47" t="str">
        <f t="shared" si="0"/>
        <v>0x00000000,</v>
      </c>
      <c r="Z47" s="39" t="s">
        <v>124</v>
      </c>
    </row>
    <row r="48" spans="1:26">
      <c r="A48" s="17"/>
      <c r="B48" s="23"/>
      <c r="C48" s="24"/>
      <c r="D48" s="24"/>
      <c r="E48" s="24"/>
      <c r="F48" s="25"/>
      <c r="G48" s="2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V48" s="36"/>
      <c r="W48" s="36" t="s">
        <v>16</v>
      </c>
      <c r="X48" s="38" t="str">
        <f>D42</f>
        <v>0</v>
      </c>
      <c r="Y48" t="str">
        <f t="shared" si="0"/>
        <v>0x00000000,</v>
      </c>
      <c r="Z48" s="39"/>
    </row>
    <row r="49" spans="1:26">
      <c r="A49" s="18"/>
      <c r="B49" s="23"/>
      <c r="C49" s="24"/>
      <c r="D49" s="24"/>
      <c r="E49" s="24"/>
      <c r="F49" s="25"/>
      <c r="G49" s="2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V49" s="36"/>
      <c r="W49" s="36" t="s">
        <v>20</v>
      </c>
      <c r="X49" s="38" t="str">
        <f>D41</f>
        <v>0</v>
      </c>
      <c r="Y49" t="str">
        <f t="shared" si="0"/>
        <v>0x00000000,</v>
      </c>
      <c r="Z49" s="39"/>
    </row>
    <row r="50" spans="1:7">
      <c r="A50" s="18"/>
      <c r="B50" s="23"/>
      <c r="C50" s="24"/>
      <c r="D50" s="24"/>
      <c r="E50" s="24"/>
      <c r="F50" s="25"/>
      <c r="G50" s="26"/>
    </row>
    <row r="51" spans="1:6">
      <c r="A51" s="18"/>
      <c r="B51" s="18"/>
      <c r="C51" s="18"/>
      <c r="D51" s="18"/>
      <c r="E51" s="18"/>
      <c r="F51" s="18"/>
    </row>
    <row r="52" spans="1:6">
      <c r="A52" s="18"/>
      <c r="B52" s="18"/>
      <c r="C52" s="18"/>
      <c r="D52" s="18"/>
      <c r="E52" s="27"/>
      <c r="F52" s="18"/>
    </row>
    <row r="53" spans="1:5">
      <c r="A53" s="28"/>
      <c r="B53" s="28"/>
      <c r="C53" s="28"/>
      <c r="D53" s="28"/>
      <c r="E53" s="29"/>
    </row>
    <row r="54" spans="1:5">
      <c r="A54" s="30"/>
      <c r="B54" s="31"/>
      <c r="C54" s="31"/>
      <c r="D54" s="31"/>
      <c r="E54" s="29"/>
    </row>
    <row r="55" spans="1:5">
      <c r="A55" s="30"/>
      <c r="B55" s="31"/>
      <c r="C55" s="31"/>
      <c r="D55" s="31"/>
      <c r="E55" s="29"/>
    </row>
    <row r="56" spans="1:5">
      <c r="A56" s="30"/>
      <c r="B56" s="31"/>
      <c r="C56" s="31"/>
      <c r="D56" s="31"/>
      <c r="E56" s="29"/>
    </row>
    <row r="57" spans="1:5">
      <c r="A57" s="30"/>
      <c r="B57" s="31"/>
      <c r="C57" s="31"/>
      <c r="D57" s="31"/>
      <c r="E57" s="29"/>
    </row>
    <row r="58" spans="1:5">
      <c r="A58" s="30"/>
      <c r="B58" s="31"/>
      <c r="C58" s="31"/>
      <c r="D58" s="31"/>
      <c r="E58" s="29"/>
    </row>
    <row r="59" spans="1:4">
      <c r="A59" s="30"/>
      <c r="B59" s="31"/>
      <c r="C59" s="32"/>
      <c r="D59" s="32"/>
    </row>
    <row r="60" spans="1:4">
      <c r="A60" s="30"/>
      <c r="B60" s="31"/>
      <c r="C60" s="31"/>
      <c r="D60" s="31"/>
    </row>
    <row r="61" spans="1:4">
      <c r="A61" s="22"/>
      <c r="B61" s="28"/>
      <c r="C61" s="28"/>
      <c r="D61" s="28"/>
    </row>
    <row r="62" spans="1:4">
      <c r="A62" s="22"/>
      <c r="B62" s="28"/>
      <c r="C62" s="28"/>
      <c r="D62" s="28"/>
    </row>
    <row r="63" spans="1:4">
      <c r="A63" s="22"/>
      <c r="B63" s="33"/>
      <c r="C63" s="33"/>
      <c r="D63" s="34"/>
    </row>
    <row r="64" spans="1:4">
      <c r="A64" s="22"/>
      <c r="B64" s="28"/>
      <c r="C64" s="28"/>
      <c r="D64" s="28"/>
    </row>
    <row r="65" spans="1:5">
      <c r="A65" s="40"/>
      <c r="B65" s="41"/>
      <c r="C65" s="41"/>
      <c r="D65" s="41"/>
      <c r="E65" s="16"/>
    </row>
    <row r="66" spans="1:5">
      <c r="A66" s="22"/>
      <c r="B66" s="28"/>
      <c r="C66" s="28"/>
      <c r="D66" s="28"/>
      <c r="E66" s="16"/>
    </row>
    <row r="67" spans="1:5">
      <c r="A67" s="30"/>
      <c r="B67" s="31"/>
      <c r="C67" s="31"/>
      <c r="D67" s="31"/>
      <c r="E67" s="16"/>
    </row>
    <row r="68" spans="1:5">
      <c r="A68" s="30"/>
      <c r="B68" s="31"/>
      <c r="C68" s="31"/>
      <c r="D68" s="31"/>
      <c r="E68" s="16"/>
    </row>
    <row r="69" spans="1:4">
      <c r="A69" s="30"/>
      <c r="B69" s="31"/>
      <c r="C69" s="31"/>
      <c r="D69" s="31"/>
    </row>
    <row r="70" spans="1:4">
      <c r="A70" s="30"/>
      <c r="B70" s="31"/>
      <c r="C70" s="31"/>
      <c r="D70" s="31"/>
    </row>
    <row r="71" spans="1:4">
      <c r="A71" s="30"/>
      <c r="B71" s="31"/>
      <c r="C71" s="31"/>
      <c r="D71" s="31"/>
    </row>
    <row r="72" spans="1:4">
      <c r="A72" s="30"/>
      <c r="B72" s="31"/>
      <c r="C72" s="31"/>
      <c r="D72" s="31"/>
    </row>
    <row r="73" spans="1:4">
      <c r="A73" s="30"/>
      <c r="B73" s="31"/>
      <c r="C73" s="31"/>
      <c r="D73" s="31"/>
    </row>
    <row r="74" spans="1:4">
      <c r="A74" s="30"/>
      <c r="B74" s="31"/>
      <c r="C74" s="31"/>
      <c r="D74" s="31"/>
    </row>
    <row r="75" spans="1:4">
      <c r="A75" s="42"/>
      <c r="B75" s="43"/>
      <c r="C75" s="43"/>
      <c r="D75" s="4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2024-07-18T04:07:42Z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