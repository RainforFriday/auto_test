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30" windowHeight="14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<sst xmlns="http://schemas.openxmlformats.org/spreadsheetml/2006/main" count="8" uniqueCount="8">
  <si>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NO1_ANT0</t>
  </si>
  <si>
    <t>NO1_ANT1</t>
  </si>
  <si>
    <t>NO2_ANT0</t>
  </si>
  <si>
    <t>NO2_ANT1</t>
  </si>
  <si>
    <t>NO6_ANT0</t>
  </si>
  <si>
    <t>NO6_ANT1</t>
  </si>
  <si>
    <t>REF_ANT0</t>
  </si>
  <si>
    <t>REF_ANT1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</si>
</sst>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E24" sqref="E24"/>
    </sheetView>
  </sheetViews>
  <sheetFormatPr defaultColWidth="9" defaultRowHeight="13.5"/>
  <cols>
    <col min="2" max="2" width="12.625"/>
  </cols>
  <sheetData>
    <row r="1" spans="2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42</v>
      </c>
      <c r="B2" s="1">
        <v>1.97</v>
      </c>
      <c r="C2">
        <v>1.72</v>
      </c>
      <c r="D2">
        <v>3.21</v>
      </c>
      <c r="E2">
        <v>2.51</v>
      </c>
      <c r="F2" s="1">
        <v>3.16</v>
      </c>
      <c r="G2">
        <v>3.39</v>
      </c>
      <c r="H2">
        <v>0</v>
      </c>
      <c r="I2" s="1">
        <v>0.129999999999999</v>
      </c>
    </row>
    <row r="3" spans="1:9">
      <c r="A3">
        <v>58</v>
      </c>
      <c r="B3" s="1">
        <v>2.04</v>
      </c>
      <c r="C3">
        <v>1.8</v>
      </c>
      <c r="D3">
        <v>3.36</v>
      </c>
      <c r="E3">
        <v>2.45</v>
      </c>
      <c r="F3" s="1">
        <v>3.17</v>
      </c>
      <c r="G3">
        <v>3.38</v>
      </c>
      <c r="H3">
        <v>0.23</v>
      </c>
      <c r="I3" s="1">
        <v>0.380000000000001</v>
      </c>
    </row>
    <row r="4" spans="1:9">
      <c r="A4">
        <v>106</v>
      </c>
      <c r="B4" s="1">
        <v>0.77</v>
      </c>
      <c r="C4">
        <v>0.59</v>
      </c>
      <c r="D4">
        <v>2.11</v>
      </c>
      <c r="E4">
        <v>0.58</v>
      </c>
      <c r="F4" s="1">
        <v>1.76</v>
      </c>
      <c r="G4">
        <v>1.86</v>
      </c>
      <c r="H4">
        <v>0.170000000000002</v>
      </c>
      <c r="I4" s="1">
        <v>0.27</v>
      </c>
    </row>
    <row r="5" spans="1:9">
      <c r="A5">
        <v>122</v>
      </c>
      <c r="B5" s="1">
        <v>0.67</v>
      </c>
      <c r="C5">
        <v>0.48</v>
      </c>
      <c r="D5">
        <v>2.06</v>
      </c>
      <c r="E5">
        <v>0.359999999999999</v>
      </c>
      <c r="F5" s="1">
        <v>1.71</v>
      </c>
      <c r="G5">
        <v>1.93</v>
      </c>
      <c r="H5">
        <v>0.0899999999999999</v>
      </c>
      <c r="I5" s="1">
        <v>0.31</v>
      </c>
    </row>
    <row r="6" spans="1:9">
      <c r="A6">
        <v>138</v>
      </c>
      <c r="B6" s="1">
        <v>0.19</v>
      </c>
      <c r="C6">
        <v>0.16</v>
      </c>
      <c r="D6">
        <v>1.64</v>
      </c>
      <c r="E6">
        <v>0.280000000000001</v>
      </c>
      <c r="F6" s="1">
        <v>1.59</v>
      </c>
      <c r="G6">
        <v>1.8</v>
      </c>
      <c r="H6">
        <v>-0.230000000000002</v>
      </c>
      <c r="I6" s="1">
        <v>-0.0700000000000003</v>
      </c>
    </row>
    <row r="7" spans="1:9">
      <c r="A7">
        <v>155</v>
      </c>
      <c r="B7" s="1">
        <v>0.200000000000001</v>
      </c>
      <c r="C7">
        <v>-0.0100000000000016</v>
      </c>
      <c r="D7">
        <v>1.45</v>
      </c>
      <c r="E7">
        <v>0.23</v>
      </c>
      <c r="F7" s="1">
        <v>1.6</v>
      </c>
      <c r="G7">
        <v>1.81</v>
      </c>
      <c r="H7">
        <v>-0.239999999999998</v>
      </c>
      <c r="I7" s="1">
        <v>-0.0899999999999981</v>
      </c>
    </row>
    <row r="10" spans="1:1">
      <c r="A10">
        <v>1024</v>
      </c>
    </row>
    <row r="12" spans="2:9">
      <c r="B12">
        <f>(B2+B3)/2</f>
        <v>2.005</v>
      </c>
      <c r="C12">
        <f t="shared" ref="C12:I12" si="0">(C2+C3)/2</f>
        <v>1.76</v>
      </c>
      <c r="D12">
        <f t="shared" si="0"/>
        <v>3.285</v>
      </c>
      <c r="E12">
        <f t="shared" si="0"/>
        <v>2.48</v>
      </c>
      <c r="F12">
        <f t="shared" si="0"/>
        <v>3.165</v>
      </c>
      <c r="G12">
        <f t="shared" si="0"/>
        <v>3.385</v>
      </c>
      <c r="H12">
        <f t="shared" si="0"/>
        <v>0.115</v>
      </c>
      <c r="I12">
        <f t="shared" si="0"/>
        <v>0.255</v>
      </c>
    </row>
    <row r="13" spans="2:9">
      <c r="B13">
        <f>(B4+B5+B6+B7)/4</f>
        <v>0.4575</v>
      </c>
      <c r="C13">
        <f t="shared" ref="C13:I13" si="1">(C4+C5+C6+C7)/4</f>
        <v>0.305</v>
      </c>
      <c r="D13">
        <f t="shared" si="1"/>
        <v>1.815</v>
      </c>
      <c r="E13">
        <f t="shared" si="1"/>
        <v>0.3625</v>
      </c>
      <c r="F13">
        <f t="shared" si="1"/>
        <v>1.665</v>
      </c>
      <c r="G13">
        <f t="shared" si="1"/>
        <v>1.85</v>
      </c>
      <c r="H13">
        <f t="shared" si="1"/>
        <v>-0.0524999999999995</v>
      </c>
      <c r="I13">
        <f t="shared" si="1"/>
        <v>0.105</v>
      </c>
    </row>
    <row r="16" spans="2:9">
      <c r="B16">
        <f>B12-B13</f>
        <v>1.5475</v>
      </c>
      <c r="C16">
        <f t="shared" ref="C16:I16" si="2">C12-C13</f>
        <v>1.455</v>
      </c>
      <c r="D16">
        <f t="shared" si="2"/>
        <v>1.47</v>
      </c>
      <c r="E16">
        <f t="shared" si="2"/>
        <v>2.1175</v>
      </c>
      <c r="F16">
        <f t="shared" si="2"/>
        <v>1.5</v>
      </c>
      <c r="G16">
        <f t="shared" si="2"/>
        <v>1.535</v>
      </c>
      <c r="H16">
        <f t="shared" si="2"/>
        <v>0.1675</v>
      </c>
      <c r="I16">
        <f t="shared" si="2"/>
        <v>0.15</v>
      </c>
    </row>
    <row r="20" spans="2:2">
      <c r="B20">
        <f>(B16+C16+D16+F16+G16)/5</f>
        <v>1.5015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2024-07-23T08:52:00Z</dcterms:created>
  <dcterms:modified xsi:type="dcterms:W3CDTF">2024-07-24T03:51:17Z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082106965F8D481299C8B8EEDEFBBF7E_12</vt:lpwstr>
  </property>
  <property fmtid="{D5CDD505-2E9C-101B-9397-08002B2CF9AE}" pid="3" name="KSOProductBuildVer">
    <vt:lpwstr>2052-11.1.0.14309</vt:lpwstr>
  </property>
</Properties>
</file>