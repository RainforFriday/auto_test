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20" windowHeight="14340"/>
  </bookViews>
  <sheets>
    <sheet name="pwr_sense_data_LB_CALED_2024071" sheetId="1" r:id="rId1"/>
  </sheets>
  <calcPr calcId="144525"/>
</workbook>
</file>

<file path=xl/sharedStrings.xml><?xml version="1.0" encoding="utf-8"?>
<sst xmlns="http://schemas.openxmlformats.org/spreadsheetml/2006/main" count="27" uniqueCount="9">
  <si>
    <t>ch</t>
  </si>
  <si>
    <t xml:space="preserve"> pwr_dig</t>
  </si>
  <si>
    <t xml:space="preserve"> pwr_dig_dbm</t>
  </si>
  <si>
    <t xml:space="preserve"> pwr_msadc_dbm</t>
  </si>
  <si>
    <t xml:space="preserve"> pwr_cmp180_dbm</t>
  </si>
  <si>
    <t xml:space="preserve"> pwr_msadc_mw</t>
  </si>
  <si>
    <t xml:space="preserve"> pwr_cmp180_mw</t>
  </si>
  <si>
    <t xml:space="preserve"> pwr_msadc_mw_cal</t>
  </si>
  <si>
    <t xml:space="preserve"> pwr_msadc_dbm_cal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</si>
</sst>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CH1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pwr_sense_data_LB_CALED_2024071!$M$2:$M$55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pwr_sense_data_LB_CALED_2024071!$N$2:$N$55</c:f>
              <c:numCache>
                <c:formatCode>General</c:formatCode>
                <c:ptCount val="54"/>
                <c:pt idx="0">
                  <c:v>12.68</c:v>
                </c:pt>
                <c:pt idx="1">
                  <c:v>13.4</c:v>
                </c:pt>
                <c:pt idx="2">
                  <c:v>14.28</c:v>
                </c:pt>
                <c:pt idx="3">
                  <c:v>14.87</c:v>
                </c:pt>
                <c:pt idx="4">
                  <c:v>15.38</c:v>
                </c:pt>
                <c:pt idx="5">
                  <c:v>16.06</c:v>
                </c:pt>
                <c:pt idx="6">
                  <c:v>16.65</c:v>
                </c:pt>
                <c:pt idx="7">
                  <c:v>17.2</c:v>
                </c:pt>
                <c:pt idx="8">
                  <c:v>17.68</c:v>
                </c:pt>
                <c:pt idx="9">
                  <c:v>18.13</c:v>
                </c:pt>
                <c:pt idx="10">
                  <c:v>18.6</c:v>
                </c:pt>
                <c:pt idx="11">
                  <c:v>18.99</c:v>
                </c:pt>
                <c:pt idx="12">
                  <c:v>19.4</c:v>
                </c:pt>
                <c:pt idx="13">
                  <c:v>19.77</c:v>
                </c:pt>
                <c:pt idx="14">
                  <c:v>20.18</c:v>
                </c:pt>
                <c:pt idx="15">
                  <c:v>20.46</c:v>
                </c:pt>
                <c:pt idx="16">
                  <c:v>20.8</c:v>
                </c:pt>
                <c:pt idx="17">
                  <c:v>21.1</c:v>
                </c:pt>
                <c:pt idx="18">
                  <c:v>21.43</c:v>
                </c:pt>
                <c:pt idx="19">
                  <c:v>21.71</c:v>
                </c:pt>
                <c:pt idx="20">
                  <c:v>21.98</c:v>
                </c:pt>
                <c:pt idx="21">
                  <c:v>22.2</c:v>
                </c:pt>
                <c:pt idx="22">
                  <c:v>22.48</c:v>
                </c:pt>
                <c:pt idx="23">
                  <c:v>22.71</c:v>
                </c:pt>
                <c:pt idx="24">
                  <c:v>22.9</c:v>
                </c:pt>
                <c:pt idx="25">
                  <c:v>23.06</c:v>
                </c:pt>
                <c:pt idx="26">
                  <c:v>23.27</c:v>
                </c:pt>
                <c:pt idx="27">
                  <c:v>23.46</c:v>
                </c:pt>
                <c:pt idx="28">
                  <c:v>23.59</c:v>
                </c:pt>
                <c:pt idx="29">
                  <c:v>23.79</c:v>
                </c:pt>
                <c:pt idx="30">
                  <c:v>23.95</c:v>
                </c:pt>
                <c:pt idx="31">
                  <c:v>24.1</c:v>
                </c:pt>
                <c:pt idx="32">
                  <c:v>24.22</c:v>
                </c:pt>
                <c:pt idx="33">
                  <c:v>24.36</c:v>
                </c:pt>
                <c:pt idx="34">
                  <c:v>24.46</c:v>
                </c:pt>
                <c:pt idx="35">
                  <c:v>24.61</c:v>
                </c:pt>
                <c:pt idx="36">
                  <c:v>24.69</c:v>
                </c:pt>
                <c:pt idx="37">
                  <c:v>24.8</c:v>
                </c:pt>
                <c:pt idx="38">
                  <c:v>24.91</c:v>
                </c:pt>
                <c:pt idx="39">
                  <c:v>25.02</c:v>
                </c:pt>
                <c:pt idx="40">
                  <c:v>25.08</c:v>
                </c:pt>
                <c:pt idx="41">
                  <c:v>25.16</c:v>
                </c:pt>
                <c:pt idx="42">
                  <c:v>25.22</c:v>
                </c:pt>
                <c:pt idx="43">
                  <c:v>25.32</c:v>
                </c:pt>
                <c:pt idx="44">
                  <c:v>25.4</c:v>
                </c:pt>
                <c:pt idx="45">
                  <c:v>25.44</c:v>
                </c:pt>
                <c:pt idx="46">
                  <c:v>25.5</c:v>
                </c:pt>
                <c:pt idx="47">
                  <c:v>25.55</c:v>
                </c:pt>
                <c:pt idx="48">
                  <c:v>25.63</c:v>
                </c:pt>
                <c:pt idx="49">
                  <c:v>25.68</c:v>
                </c:pt>
                <c:pt idx="50">
                  <c:v>25.74</c:v>
                </c:pt>
                <c:pt idx="51">
                  <c:v>25.8</c:v>
                </c:pt>
                <c:pt idx="52">
                  <c:v>25.85</c:v>
                </c:pt>
                <c:pt idx="53">
                  <c:v>25.89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pwr_sense_data_LB_CALED_2024071!$M$2:$M$55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pwr_sense_data_LB_CALED_2024071!$O$2:$O$55</c:f>
              <c:numCache>
                <c:formatCode>General</c:formatCode>
                <c:ptCount val="54"/>
                <c:pt idx="0">
                  <c:v>12.57</c:v>
                </c:pt>
                <c:pt idx="1">
                  <c:v>13.42</c:v>
                </c:pt>
                <c:pt idx="2">
                  <c:v>14.23</c:v>
                </c:pt>
                <c:pt idx="3">
                  <c:v>14.91</c:v>
                </c:pt>
                <c:pt idx="4">
                  <c:v>15.47</c:v>
                </c:pt>
                <c:pt idx="5">
                  <c:v>16.11</c:v>
                </c:pt>
                <c:pt idx="6">
                  <c:v>16.67</c:v>
                </c:pt>
                <c:pt idx="7">
                  <c:v>17.25</c:v>
                </c:pt>
                <c:pt idx="8">
                  <c:v>17.74</c:v>
                </c:pt>
                <c:pt idx="9">
                  <c:v>18.22</c:v>
                </c:pt>
                <c:pt idx="10">
                  <c:v>18.67</c:v>
                </c:pt>
                <c:pt idx="11">
                  <c:v>19.06</c:v>
                </c:pt>
                <c:pt idx="12">
                  <c:v>19.45</c:v>
                </c:pt>
                <c:pt idx="13">
                  <c:v>19.84</c:v>
                </c:pt>
                <c:pt idx="14">
                  <c:v>20.19</c:v>
                </c:pt>
                <c:pt idx="15">
                  <c:v>20.52</c:v>
                </c:pt>
                <c:pt idx="16">
                  <c:v>20.85</c:v>
                </c:pt>
                <c:pt idx="17">
                  <c:v>21.18</c:v>
                </c:pt>
                <c:pt idx="18">
                  <c:v>21.48</c:v>
                </c:pt>
                <c:pt idx="19">
                  <c:v>21.77</c:v>
                </c:pt>
                <c:pt idx="20">
                  <c:v>22.04</c:v>
                </c:pt>
                <c:pt idx="21">
                  <c:v>22.3</c:v>
                </c:pt>
                <c:pt idx="22">
                  <c:v>22.54</c:v>
                </c:pt>
                <c:pt idx="23">
                  <c:v>22.77</c:v>
                </c:pt>
                <c:pt idx="24">
                  <c:v>22.99</c:v>
                </c:pt>
                <c:pt idx="25">
                  <c:v>23.13</c:v>
                </c:pt>
                <c:pt idx="26">
                  <c:v>23.32</c:v>
                </c:pt>
                <c:pt idx="27">
                  <c:v>23.51</c:v>
                </c:pt>
                <c:pt idx="28">
                  <c:v>23.69</c:v>
                </c:pt>
                <c:pt idx="29">
                  <c:v>23.85</c:v>
                </c:pt>
                <c:pt idx="30">
                  <c:v>24</c:v>
                </c:pt>
                <c:pt idx="31">
                  <c:v>24.15</c:v>
                </c:pt>
                <c:pt idx="32">
                  <c:v>24.28</c:v>
                </c:pt>
                <c:pt idx="33">
                  <c:v>24.41</c:v>
                </c:pt>
                <c:pt idx="34">
                  <c:v>24.52</c:v>
                </c:pt>
                <c:pt idx="35">
                  <c:v>24.63</c:v>
                </c:pt>
                <c:pt idx="36">
                  <c:v>24.74</c:v>
                </c:pt>
                <c:pt idx="37">
                  <c:v>24.83</c:v>
                </c:pt>
                <c:pt idx="38">
                  <c:v>24.91</c:v>
                </c:pt>
                <c:pt idx="39">
                  <c:v>25.01</c:v>
                </c:pt>
                <c:pt idx="40">
                  <c:v>25.09</c:v>
                </c:pt>
                <c:pt idx="41">
                  <c:v>25.17</c:v>
                </c:pt>
                <c:pt idx="42">
                  <c:v>25.24</c:v>
                </c:pt>
                <c:pt idx="43">
                  <c:v>25.31</c:v>
                </c:pt>
                <c:pt idx="44">
                  <c:v>25.37</c:v>
                </c:pt>
                <c:pt idx="45">
                  <c:v>25.43</c:v>
                </c:pt>
                <c:pt idx="46">
                  <c:v>25.49</c:v>
                </c:pt>
                <c:pt idx="47">
                  <c:v>25.55</c:v>
                </c:pt>
                <c:pt idx="48">
                  <c:v>25.6</c:v>
                </c:pt>
                <c:pt idx="49">
                  <c:v>25.65</c:v>
                </c:pt>
                <c:pt idx="50">
                  <c:v>25.7</c:v>
                </c:pt>
                <c:pt idx="51">
                  <c:v>25.74</c:v>
                </c:pt>
                <c:pt idx="52">
                  <c:v>25.79</c:v>
                </c:pt>
                <c:pt idx="53">
                  <c:v>25.83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15506"/>
        <c:axId val="897580375"/>
      </c:scatterChart>
      <c:valAx>
        <c:axId val="147515506"/>
        <c:scaling>
          <c:orientation val="minMax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7580375"/>
        <c:crosses val="autoZero"/>
        <c:crossBetween val="midCat"/>
      </c:valAx>
      <c:valAx>
        <c:axId val="89758037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51550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CH7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pwr_sense_data_LB_CALED_2024071!$M$57:$M$110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pwr_sense_data_LB_CALED_2024071!$N$57:$N$110</c:f>
              <c:numCache>
                <c:formatCode>General</c:formatCode>
                <c:ptCount val="54"/>
                <c:pt idx="0">
                  <c:v>11.97</c:v>
                </c:pt>
                <c:pt idx="1">
                  <c:v>12.71</c:v>
                </c:pt>
                <c:pt idx="2">
                  <c:v>13.5</c:v>
                </c:pt>
                <c:pt idx="3">
                  <c:v>14.27</c:v>
                </c:pt>
                <c:pt idx="4">
                  <c:v>14.88</c:v>
                </c:pt>
                <c:pt idx="5">
                  <c:v>15.37</c:v>
                </c:pt>
                <c:pt idx="6">
                  <c:v>15.94</c:v>
                </c:pt>
                <c:pt idx="7">
                  <c:v>16.49</c:v>
                </c:pt>
                <c:pt idx="8">
                  <c:v>17</c:v>
                </c:pt>
                <c:pt idx="9">
                  <c:v>17.54</c:v>
                </c:pt>
                <c:pt idx="10">
                  <c:v>17.99</c:v>
                </c:pt>
                <c:pt idx="11">
                  <c:v>18.42</c:v>
                </c:pt>
                <c:pt idx="12">
                  <c:v>18.82</c:v>
                </c:pt>
                <c:pt idx="13">
                  <c:v>19.19</c:v>
                </c:pt>
                <c:pt idx="14">
                  <c:v>19.55</c:v>
                </c:pt>
                <c:pt idx="15">
                  <c:v>19.91</c:v>
                </c:pt>
                <c:pt idx="16">
                  <c:v>20.26</c:v>
                </c:pt>
                <c:pt idx="17">
                  <c:v>20.57</c:v>
                </c:pt>
                <c:pt idx="18">
                  <c:v>20.88</c:v>
                </c:pt>
                <c:pt idx="19">
                  <c:v>21.19</c:v>
                </c:pt>
                <c:pt idx="20">
                  <c:v>21.48</c:v>
                </c:pt>
                <c:pt idx="21">
                  <c:v>21.71</c:v>
                </c:pt>
                <c:pt idx="22">
                  <c:v>21.97</c:v>
                </c:pt>
                <c:pt idx="23">
                  <c:v>22.22</c:v>
                </c:pt>
                <c:pt idx="24">
                  <c:v>22.46</c:v>
                </c:pt>
                <c:pt idx="25">
                  <c:v>22.68</c:v>
                </c:pt>
                <c:pt idx="26">
                  <c:v>22.84</c:v>
                </c:pt>
                <c:pt idx="27">
                  <c:v>22.93</c:v>
                </c:pt>
                <c:pt idx="28">
                  <c:v>23.12</c:v>
                </c:pt>
                <c:pt idx="29">
                  <c:v>23.31</c:v>
                </c:pt>
                <c:pt idx="30">
                  <c:v>23.5</c:v>
                </c:pt>
                <c:pt idx="31">
                  <c:v>23.68</c:v>
                </c:pt>
                <c:pt idx="32">
                  <c:v>23.79</c:v>
                </c:pt>
                <c:pt idx="33">
                  <c:v>23.95</c:v>
                </c:pt>
                <c:pt idx="34">
                  <c:v>24.1</c:v>
                </c:pt>
                <c:pt idx="35">
                  <c:v>24.26</c:v>
                </c:pt>
                <c:pt idx="36">
                  <c:v>24.34</c:v>
                </c:pt>
                <c:pt idx="37">
                  <c:v>24.46</c:v>
                </c:pt>
                <c:pt idx="38">
                  <c:v>24.57</c:v>
                </c:pt>
                <c:pt idx="39">
                  <c:v>24.69</c:v>
                </c:pt>
                <c:pt idx="40">
                  <c:v>24.78</c:v>
                </c:pt>
                <c:pt idx="41">
                  <c:v>24.87</c:v>
                </c:pt>
                <c:pt idx="42">
                  <c:v>24.93</c:v>
                </c:pt>
                <c:pt idx="43">
                  <c:v>25.01</c:v>
                </c:pt>
                <c:pt idx="44">
                  <c:v>25.13</c:v>
                </c:pt>
                <c:pt idx="45">
                  <c:v>25.18</c:v>
                </c:pt>
                <c:pt idx="46">
                  <c:v>25.25</c:v>
                </c:pt>
                <c:pt idx="47">
                  <c:v>25.33</c:v>
                </c:pt>
                <c:pt idx="48">
                  <c:v>25.39</c:v>
                </c:pt>
                <c:pt idx="49">
                  <c:v>25.44</c:v>
                </c:pt>
                <c:pt idx="50">
                  <c:v>25.49</c:v>
                </c:pt>
                <c:pt idx="51">
                  <c:v>25.56</c:v>
                </c:pt>
                <c:pt idx="52">
                  <c:v>25.62</c:v>
                </c:pt>
                <c:pt idx="53">
                  <c:v>25.66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pwr_sense_data_LB_CALED_2024071!$M$57:$M$110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pwr_sense_data_LB_CALED_2024071!$O$57:$O$110</c:f>
              <c:numCache>
                <c:formatCode>General</c:formatCode>
                <c:ptCount val="54"/>
                <c:pt idx="0">
                  <c:v>11.84</c:v>
                </c:pt>
                <c:pt idx="1">
                  <c:v>12.71</c:v>
                </c:pt>
                <c:pt idx="2">
                  <c:v>13.49</c:v>
                </c:pt>
                <c:pt idx="3">
                  <c:v>14.21</c:v>
                </c:pt>
                <c:pt idx="4">
                  <c:v>14.85</c:v>
                </c:pt>
                <c:pt idx="5">
                  <c:v>15.41</c:v>
                </c:pt>
                <c:pt idx="6">
                  <c:v>15.97</c:v>
                </c:pt>
                <c:pt idx="7">
                  <c:v>16.53</c:v>
                </c:pt>
                <c:pt idx="8">
                  <c:v>17.04</c:v>
                </c:pt>
                <c:pt idx="9">
                  <c:v>17.55</c:v>
                </c:pt>
                <c:pt idx="10">
                  <c:v>17.99</c:v>
                </c:pt>
                <c:pt idx="11">
                  <c:v>18.42</c:v>
                </c:pt>
                <c:pt idx="12">
                  <c:v>18.82</c:v>
                </c:pt>
                <c:pt idx="13">
                  <c:v>19.19</c:v>
                </c:pt>
                <c:pt idx="14">
                  <c:v>19.55</c:v>
                </c:pt>
                <c:pt idx="15">
                  <c:v>19.91</c:v>
                </c:pt>
                <c:pt idx="16">
                  <c:v>20.27</c:v>
                </c:pt>
                <c:pt idx="17">
                  <c:v>20.58</c:v>
                </c:pt>
                <c:pt idx="18">
                  <c:v>20.88</c:v>
                </c:pt>
                <c:pt idx="19">
                  <c:v>21.18</c:v>
                </c:pt>
                <c:pt idx="20">
                  <c:v>21.46</c:v>
                </c:pt>
                <c:pt idx="21">
                  <c:v>21.72</c:v>
                </c:pt>
                <c:pt idx="22">
                  <c:v>21.98</c:v>
                </c:pt>
                <c:pt idx="23">
                  <c:v>22.25</c:v>
                </c:pt>
                <c:pt idx="24">
                  <c:v>22.47</c:v>
                </c:pt>
                <c:pt idx="25">
                  <c:v>22.69</c:v>
                </c:pt>
                <c:pt idx="26">
                  <c:v>22.9</c:v>
                </c:pt>
                <c:pt idx="27">
                  <c:v>23.02</c:v>
                </c:pt>
                <c:pt idx="28">
                  <c:v>23.21</c:v>
                </c:pt>
                <c:pt idx="29">
                  <c:v>23.4</c:v>
                </c:pt>
                <c:pt idx="30">
                  <c:v>23.57</c:v>
                </c:pt>
                <c:pt idx="31">
                  <c:v>23.72</c:v>
                </c:pt>
                <c:pt idx="32">
                  <c:v>23.88</c:v>
                </c:pt>
                <c:pt idx="33">
                  <c:v>24.03</c:v>
                </c:pt>
                <c:pt idx="34">
                  <c:v>24.17</c:v>
                </c:pt>
                <c:pt idx="35">
                  <c:v>24.3</c:v>
                </c:pt>
                <c:pt idx="36">
                  <c:v>24.42</c:v>
                </c:pt>
                <c:pt idx="37">
                  <c:v>24.52</c:v>
                </c:pt>
                <c:pt idx="38">
                  <c:v>24.62</c:v>
                </c:pt>
                <c:pt idx="39">
                  <c:v>24.72</c:v>
                </c:pt>
                <c:pt idx="40">
                  <c:v>24.81</c:v>
                </c:pt>
                <c:pt idx="41">
                  <c:v>24.89</c:v>
                </c:pt>
                <c:pt idx="42">
                  <c:v>24.97</c:v>
                </c:pt>
                <c:pt idx="43">
                  <c:v>25.05</c:v>
                </c:pt>
                <c:pt idx="44">
                  <c:v>25.12</c:v>
                </c:pt>
                <c:pt idx="45">
                  <c:v>25.19</c:v>
                </c:pt>
                <c:pt idx="46">
                  <c:v>25.26</c:v>
                </c:pt>
                <c:pt idx="47">
                  <c:v>25.32</c:v>
                </c:pt>
                <c:pt idx="48">
                  <c:v>25.38</c:v>
                </c:pt>
                <c:pt idx="49">
                  <c:v>25.44</c:v>
                </c:pt>
                <c:pt idx="50">
                  <c:v>25.49</c:v>
                </c:pt>
                <c:pt idx="51">
                  <c:v>25.54</c:v>
                </c:pt>
                <c:pt idx="52">
                  <c:v>25.59</c:v>
                </c:pt>
                <c:pt idx="53">
                  <c:v>25.64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557951"/>
        <c:axId val="793024471"/>
      </c:scatterChart>
      <c:valAx>
        <c:axId val="559557951"/>
        <c:scaling>
          <c:orientation val="minMax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024471"/>
        <c:crosses val="autoZero"/>
        <c:crossBetween val="midCat"/>
      </c:valAx>
      <c:valAx>
        <c:axId val="793024471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55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CH3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pwr_sense_data_LB_CALED_2024071!$M$112:$M$165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pwr_sense_data_LB_CALED_2024071!$N$112:$N$165</c:f>
              <c:numCache>
                <c:formatCode>General</c:formatCode>
                <c:ptCount val="54"/>
                <c:pt idx="0">
                  <c:v>10.69</c:v>
                </c:pt>
                <c:pt idx="1">
                  <c:v>11.6</c:v>
                </c:pt>
                <c:pt idx="2">
                  <c:v>12.44</c:v>
                </c:pt>
                <c:pt idx="3">
                  <c:v>13.14</c:v>
                </c:pt>
                <c:pt idx="4">
                  <c:v>13.74</c:v>
                </c:pt>
                <c:pt idx="5">
                  <c:v>14.42</c:v>
                </c:pt>
                <c:pt idx="6">
                  <c:v>14.97</c:v>
                </c:pt>
                <c:pt idx="7">
                  <c:v>15.47</c:v>
                </c:pt>
                <c:pt idx="8">
                  <c:v>15.98</c:v>
                </c:pt>
                <c:pt idx="9">
                  <c:v>16.45</c:v>
                </c:pt>
                <c:pt idx="10">
                  <c:v>16.92</c:v>
                </c:pt>
                <c:pt idx="11">
                  <c:v>17.35</c:v>
                </c:pt>
                <c:pt idx="12">
                  <c:v>17.78</c:v>
                </c:pt>
                <c:pt idx="13">
                  <c:v>18.14</c:v>
                </c:pt>
                <c:pt idx="14">
                  <c:v>18.53</c:v>
                </c:pt>
                <c:pt idx="15">
                  <c:v>18.89</c:v>
                </c:pt>
                <c:pt idx="16">
                  <c:v>19.21</c:v>
                </c:pt>
                <c:pt idx="17">
                  <c:v>19.57</c:v>
                </c:pt>
                <c:pt idx="18">
                  <c:v>19.89</c:v>
                </c:pt>
                <c:pt idx="19">
                  <c:v>20.18</c:v>
                </c:pt>
                <c:pt idx="20">
                  <c:v>20.48</c:v>
                </c:pt>
                <c:pt idx="21">
                  <c:v>20.75</c:v>
                </c:pt>
                <c:pt idx="22">
                  <c:v>21.03</c:v>
                </c:pt>
                <c:pt idx="23">
                  <c:v>21.27</c:v>
                </c:pt>
                <c:pt idx="24">
                  <c:v>21.53</c:v>
                </c:pt>
                <c:pt idx="25">
                  <c:v>21.8</c:v>
                </c:pt>
                <c:pt idx="26">
                  <c:v>22</c:v>
                </c:pt>
                <c:pt idx="27">
                  <c:v>22.24</c:v>
                </c:pt>
                <c:pt idx="28">
                  <c:v>22.43</c:v>
                </c:pt>
                <c:pt idx="29">
                  <c:v>22.65</c:v>
                </c:pt>
                <c:pt idx="30">
                  <c:v>22.82</c:v>
                </c:pt>
                <c:pt idx="31">
                  <c:v>23</c:v>
                </c:pt>
                <c:pt idx="32">
                  <c:v>23.05</c:v>
                </c:pt>
                <c:pt idx="33">
                  <c:v>23.21</c:v>
                </c:pt>
                <c:pt idx="34">
                  <c:v>23.37</c:v>
                </c:pt>
                <c:pt idx="35">
                  <c:v>23.53</c:v>
                </c:pt>
                <c:pt idx="36">
                  <c:v>23.67</c:v>
                </c:pt>
                <c:pt idx="37">
                  <c:v>23.83</c:v>
                </c:pt>
                <c:pt idx="38">
                  <c:v>23.94</c:v>
                </c:pt>
                <c:pt idx="39">
                  <c:v>24.1</c:v>
                </c:pt>
                <c:pt idx="40">
                  <c:v>24.2</c:v>
                </c:pt>
                <c:pt idx="41">
                  <c:v>24.33</c:v>
                </c:pt>
                <c:pt idx="42">
                  <c:v>24.42</c:v>
                </c:pt>
                <c:pt idx="43">
                  <c:v>24.52</c:v>
                </c:pt>
                <c:pt idx="44">
                  <c:v>24.6</c:v>
                </c:pt>
                <c:pt idx="45">
                  <c:v>24.7</c:v>
                </c:pt>
                <c:pt idx="46">
                  <c:v>24.8</c:v>
                </c:pt>
                <c:pt idx="47">
                  <c:v>24.88</c:v>
                </c:pt>
                <c:pt idx="48">
                  <c:v>24.97</c:v>
                </c:pt>
                <c:pt idx="49">
                  <c:v>25.06</c:v>
                </c:pt>
                <c:pt idx="50">
                  <c:v>25.11</c:v>
                </c:pt>
                <c:pt idx="51">
                  <c:v>25.17</c:v>
                </c:pt>
                <c:pt idx="52">
                  <c:v>25.26</c:v>
                </c:pt>
                <c:pt idx="53">
                  <c:v>25.31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pwr_sense_data_LB_CALED_2024071!$M$112:$M$165</c:f>
              <c:numCache>
                <c:formatCode>General</c:formatCode>
                <c:ptCount val="54"/>
                <c:pt idx="0">
                  <c:v>56.12</c:v>
                </c:pt>
                <c:pt idx="1">
                  <c:v>56.95</c:v>
                </c:pt>
                <c:pt idx="2">
                  <c:v>57.71</c:v>
                </c:pt>
                <c:pt idx="3">
                  <c:v>58.4</c:v>
                </c:pt>
                <c:pt idx="4">
                  <c:v>59.05</c:v>
                </c:pt>
                <c:pt idx="5">
                  <c:v>59.65</c:v>
                </c:pt>
                <c:pt idx="6">
                  <c:v>60.21</c:v>
                </c:pt>
                <c:pt idx="7">
                  <c:v>60.73</c:v>
                </c:pt>
                <c:pt idx="8">
                  <c:v>61.23</c:v>
                </c:pt>
                <c:pt idx="9">
                  <c:v>61.7</c:v>
                </c:pt>
                <c:pt idx="10">
                  <c:v>62.14</c:v>
                </c:pt>
                <c:pt idx="11">
                  <c:v>62.57</c:v>
                </c:pt>
                <c:pt idx="12">
                  <c:v>62.97</c:v>
                </c:pt>
                <c:pt idx="13">
                  <c:v>63.36</c:v>
                </c:pt>
                <c:pt idx="14">
                  <c:v>63.73</c:v>
                </c:pt>
                <c:pt idx="15">
                  <c:v>64.08</c:v>
                </c:pt>
                <c:pt idx="16">
                  <c:v>64.42</c:v>
                </c:pt>
                <c:pt idx="17">
                  <c:v>64.75</c:v>
                </c:pt>
                <c:pt idx="18">
                  <c:v>65.07</c:v>
                </c:pt>
                <c:pt idx="19">
                  <c:v>65.37</c:v>
                </c:pt>
                <c:pt idx="20">
                  <c:v>65.67</c:v>
                </c:pt>
                <c:pt idx="21">
                  <c:v>65.95</c:v>
                </c:pt>
                <c:pt idx="22">
                  <c:v>66.23</c:v>
                </c:pt>
                <c:pt idx="23">
                  <c:v>66.49</c:v>
                </c:pt>
                <c:pt idx="24">
                  <c:v>66.75</c:v>
                </c:pt>
                <c:pt idx="25">
                  <c:v>67</c:v>
                </c:pt>
                <c:pt idx="26">
                  <c:v>67.25</c:v>
                </c:pt>
                <c:pt idx="27">
                  <c:v>67.49</c:v>
                </c:pt>
                <c:pt idx="28">
                  <c:v>67.72</c:v>
                </c:pt>
                <c:pt idx="29">
                  <c:v>67.94</c:v>
                </c:pt>
                <c:pt idx="30">
                  <c:v>68.16</c:v>
                </c:pt>
                <c:pt idx="31">
                  <c:v>68.38</c:v>
                </c:pt>
                <c:pt idx="32">
                  <c:v>68.59</c:v>
                </c:pt>
                <c:pt idx="33">
                  <c:v>68.79</c:v>
                </c:pt>
                <c:pt idx="34">
                  <c:v>68.99</c:v>
                </c:pt>
                <c:pt idx="35">
                  <c:v>69.19</c:v>
                </c:pt>
                <c:pt idx="36">
                  <c:v>69.38</c:v>
                </c:pt>
                <c:pt idx="37">
                  <c:v>69.57</c:v>
                </c:pt>
                <c:pt idx="38">
                  <c:v>69.75</c:v>
                </c:pt>
                <c:pt idx="39">
                  <c:v>69.93</c:v>
                </c:pt>
                <c:pt idx="40">
                  <c:v>70.1</c:v>
                </c:pt>
                <c:pt idx="41">
                  <c:v>70.28</c:v>
                </c:pt>
                <c:pt idx="42">
                  <c:v>70.44</c:v>
                </c:pt>
                <c:pt idx="43">
                  <c:v>70.61</c:v>
                </c:pt>
                <c:pt idx="44">
                  <c:v>70.77</c:v>
                </c:pt>
                <c:pt idx="45">
                  <c:v>70.93</c:v>
                </c:pt>
                <c:pt idx="46">
                  <c:v>71.09</c:v>
                </c:pt>
                <c:pt idx="47">
                  <c:v>71.24</c:v>
                </c:pt>
                <c:pt idx="48">
                  <c:v>71.39</c:v>
                </c:pt>
                <c:pt idx="49">
                  <c:v>71.54</c:v>
                </c:pt>
                <c:pt idx="50">
                  <c:v>71.69</c:v>
                </c:pt>
                <c:pt idx="51">
                  <c:v>71.83</c:v>
                </c:pt>
                <c:pt idx="52">
                  <c:v>71.97</c:v>
                </c:pt>
                <c:pt idx="53">
                  <c:v>72.11</c:v>
                </c:pt>
              </c:numCache>
            </c:numRef>
          </c:xVal>
          <c:yVal>
            <c:numRef>
              <c:f>pwr_sense_data_LB_CALED_2024071!$O$112:$O$165</c:f>
              <c:numCache>
                <c:formatCode>General</c:formatCode>
                <c:ptCount val="54"/>
                <c:pt idx="0">
                  <c:v>10.82</c:v>
                </c:pt>
                <c:pt idx="1">
                  <c:v>11.71</c:v>
                </c:pt>
                <c:pt idx="2">
                  <c:v>12.46</c:v>
                </c:pt>
                <c:pt idx="3">
                  <c:v>13.15</c:v>
                </c:pt>
                <c:pt idx="4">
                  <c:v>13.8</c:v>
                </c:pt>
                <c:pt idx="5">
                  <c:v>14.39</c:v>
                </c:pt>
                <c:pt idx="6">
                  <c:v>14.96</c:v>
                </c:pt>
                <c:pt idx="7">
                  <c:v>15.55</c:v>
                </c:pt>
                <c:pt idx="8">
                  <c:v>16.04</c:v>
                </c:pt>
                <c:pt idx="9">
                  <c:v>16.5</c:v>
                </c:pt>
                <c:pt idx="10">
                  <c:v>16.95</c:v>
                </c:pt>
                <c:pt idx="11">
                  <c:v>17.37</c:v>
                </c:pt>
                <c:pt idx="12">
                  <c:v>17.77</c:v>
                </c:pt>
                <c:pt idx="13">
                  <c:v>18.16</c:v>
                </c:pt>
                <c:pt idx="14">
                  <c:v>18.53</c:v>
                </c:pt>
                <c:pt idx="15">
                  <c:v>18.88</c:v>
                </c:pt>
                <c:pt idx="16">
                  <c:v>19.22</c:v>
                </c:pt>
                <c:pt idx="17">
                  <c:v>19.55</c:v>
                </c:pt>
                <c:pt idx="18">
                  <c:v>19.87</c:v>
                </c:pt>
                <c:pt idx="19">
                  <c:v>20.17</c:v>
                </c:pt>
                <c:pt idx="20">
                  <c:v>20.45</c:v>
                </c:pt>
                <c:pt idx="21">
                  <c:v>20.74</c:v>
                </c:pt>
                <c:pt idx="22">
                  <c:v>20.99</c:v>
                </c:pt>
                <c:pt idx="23">
                  <c:v>21.26</c:v>
                </c:pt>
                <c:pt idx="24">
                  <c:v>21.5</c:v>
                </c:pt>
                <c:pt idx="25">
                  <c:v>21.75</c:v>
                </c:pt>
                <c:pt idx="26">
                  <c:v>21.97</c:v>
                </c:pt>
                <c:pt idx="27">
                  <c:v>22.2</c:v>
                </c:pt>
                <c:pt idx="28">
                  <c:v>22.39</c:v>
                </c:pt>
                <c:pt idx="29">
                  <c:v>22.59</c:v>
                </c:pt>
                <c:pt idx="30">
                  <c:v>22.78</c:v>
                </c:pt>
                <c:pt idx="31">
                  <c:v>22.96</c:v>
                </c:pt>
                <c:pt idx="32">
                  <c:v>23.11</c:v>
                </c:pt>
                <c:pt idx="33">
                  <c:v>23.28</c:v>
                </c:pt>
                <c:pt idx="34">
                  <c:v>23.44</c:v>
                </c:pt>
                <c:pt idx="35">
                  <c:v>23.59</c:v>
                </c:pt>
                <c:pt idx="36">
                  <c:v>23.74</c:v>
                </c:pt>
                <c:pt idx="37">
                  <c:v>23.87</c:v>
                </c:pt>
                <c:pt idx="38">
                  <c:v>24.01</c:v>
                </c:pt>
                <c:pt idx="39">
                  <c:v>24.13</c:v>
                </c:pt>
                <c:pt idx="40">
                  <c:v>24.24</c:v>
                </c:pt>
                <c:pt idx="41">
                  <c:v>24.35</c:v>
                </c:pt>
                <c:pt idx="42">
                  <c:v>24.45</c:v>
                </c:pt>
                <c:pt idx="43">
                  <c:v>24.55</c:v>
                </c:pt>
                <c:pt idx="44">
                  <c:v>24.65</c:v>
                </c:pt>
                <c:pt idx="45">
                  <c:v>24.74</c:v>
                </c:pt>
                <c:pt idx="46">
                  <c:v>24.82</c:v>
                </c:pt>
                <c:pt idx="47">
                  <c:v>24.9</c:v>
                </c:pt>
                <c:pt idx="48">
                  <c:v>24.98</c:v>
                </c:pt>
                <c:pt idx="49">
                  <c:v>25.06</c:v>
                </c:pt>
                <c:pt idx="50">
                  <c:v>25.13</c:v>
                </c:pt>
                <c:pt idx="51">
                  <c:v>25.2</c:v>
                </c:pt>
                <c:pt idx="52">
                  <c:v>25.26</c:v>
                </c:pt>
                <c:pt idx="53">
                  <c:v>25.31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542847"/>
        <c:axId val="518256578"/>
      </c:scatterChart>
      <c:valAx>
        <c:axId val="521542847"/>
        <c:scaling>
          <c:orientation val="minMax"/>
          <c:min val="5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8256578"/>
        <c:crosses val="autoZero"/>
        <c:crossBetween val="midCat"/>
      </c:valAx>
      <c:valAx>
        <c:axId val="51825657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542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355600</xdr:colOff>
      <xdr:row>11</xdr:row>
      <xdr:rowOff>79375</xdr:rowOff>
    </xdr:from>
    <xdr:to>
      <xdr:col>10</xdr:col>
      <xdr:colOff>535940</xdr:colOff>
      <xdr:row>41</xdr:row>
      <xdr:rowOff>107950</xdr:rowOff>
    </xdr:to>
    <xdr:graphicFrame>
      <xdr:nvGraphicFramePr>
        <xdr:cNvPr id="2" name="图表 1"/>
        <xdr:cNvGraphicFramePr/>
      </xdr:nvGraphicFramePr>
      <xdr:xfrm>
        <a:off x="2413000" y="1965325"/>
        <a:ext cx="4980940" cy="51720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317500</xdr:colOff>
      <xdr:row>70</xdr:row>
      <xdr:rowOff>127635</xdr:rowOff>
    </xdr:from>
    <xdr:to>
      <xdr:col>15</xdr:col>
      <xdr:colOff>507365</xdr:colOff>
      <xdr:row>102</xdr:row>
      <xdr:rowOff>50800</xdr:rowOff>
    </xdr:to>
    <xdr:graphicFrame>
      <xdr:nvGraphicFramePr>
        <xdr:cNvPr id="3" name="图表 2"/>
        <xdr:cNvGraphicFramePr/>
      </xdr:nvGraphicFramePr>
      <xdr:xfrm>
        <a:off x="5118100" y="12129135"/>
        <a:ext cx="5676265" cy="5409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488950</xdr:colOff>
      <xdr:row>134</xdr:row>
      <xdr:rowOff>51435</xdr:rowOff>
    </xdr:from>
    <xdr:to>
      <xdr:col>16</xdr:col>
      <xdr:colOff>412750</xdr:colOff>
      <xdr:row>170</xdr:row>
      <xdr:rowOff>164465</xdr:rowOff>
    </xdr:to>
    <xdr:graphicFrame>
      <xdr:nvGraphicFramePr>
        <xdr:cNvPr id="4" name="图表 3"/>
        <xdr:cNvGraphicFramePr/>
      </xdr:nvGraphicFramePr>
      <xdr:xfrm>
        <a:off x="4603750" y="23025735"/>
        <a:ext cx="6781800" cy="6285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5"/>
  <sheetViews>
    <sheetView tabSelected="1" zoomScaleSheetLayoutView="60" topLeftCell="A126" workbookViewId="0">
      <selection activeCell="M112" sqref="M112:O165"/>
    </sheetView>
  </sheetViews>
  <sheetFormatPr defaultColWidth="9" defaultRowHeight="13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>
      <c r="A2">
        <v>1</v>
      </c>
      <c r="B2">
        <v>640</v>
      </c>
      <c r="C2">
        <v>56.12</v>
      </c>
      <c r="D2">
        <v>13.29</v>
      </c>
      <c r="E2">
        <v>12.57</v>
      </c>
      <c r="F2">
        <v>21.33</v>
      </c>
      <c r="G2">
        <v>18.09</v>
      </c>
      <c r="H2">
        <v>18.55</v>
      </c>
      <c r="I2">
        <v>12.68</v>
      </c>
      <c r="M2">
        <f>C2</f>
        <v>56.12</v>
      </c>
      <c r="N2">
        <f>I2</f>
        <v>12.68</v>
      </c>
      <c r="O2">
        <f>E2</f>
        <v>12.57</v>
      </c>
    </row>
    <row r="3" spans="1:15">
      <c r="A3">
        <v>1</v>
      </c>
      <c r="B3">
        <v>704</v>
      </c>
      <c r="C3">
        <v>56.95</v>
      </c>
      <c r="D3">
        <v>13.99</v>
      </c>
      <c r="E3">
        <v>13.42</v>
      </c>
      <c r="F3">
        <v>25.06</v>
      </c>
      <c r="G3">
        <v>21.96</v>
      </c>
      <c r="H3">
        <v>21.89</v>
      </c>
      <c r="I3">
        <v>13.4</v>
      </c>
      <c r="M3">
        <f t="shared" ref="M3:M34" si="0">C3</f>
        <v>56.95</v>
      </c>
      <c r="N3">
        <f t="shared" ref="N3:N34" si="1">I3</f>
        <v>13.4</v>
      </c>
      <c r="O3">
        <f t="shared" ref="O3:O34" si="2">E3</f>
        <v>13.42</v>
      </c>
    </row>
    <row r="4" spans="1:15">
      <c r="A4">
        <v>1</v>
      </c>
      <c r="B4">
        <v>768</v>
      </c>
      <c r="C4">
        <v>57.71</v>
      </c>
      <c r="D4">
        <v>14.84</v>
      </c>
      <c r="E4">
        <v>14.23</v>
      </c>
      <c r="F4">
        <v>30.48</v>
      </c>
      <c r="G4">
        <v>26.47</v>
      </c>
      <c r="H4">
        <v>26.8</v>
      </c>
      <c r="I4">
        <v>14.28</v>
      </c>
      <c r="M4">
        <f t="shared" si="0"/>
        <v>57.71</v>
      </c>
      <c r="N4">
        <f t="shared" si="1"/>
        <v>14.28</v>
      </c>
      <c r="O4">
        <f t="shared" si="2"/>
        <v>14.23</v>
      </c>
    </row>
    <row r="5" spans="1:15">
      <c r="A5">
        <v>1</v>
      </c>
      <c r="B5">
        <v>832</v>
      </c>
      <c r="C5">
        <v>58.4</v>
      </c>
      <c r="D5">
        <v>15.4</v>
      </c>
      <c r="E5">
        <v>14.91</v>
      </c>
      <c r="F5">
        <v>34.69</v>
      </c>
      <c r="G5">
        <v>30.98</v>
      </c>
      <c r="H5">
        <v>30.66</v>
      </c>
      <c r="I5">
        <v>14.87</v>
      </c>
      <c r="M5">
        <f t="shared" si="0"/>
        <v>58.4</v>
      </c>
      <c r="N5">
        <f t="shared" si="1"/>
        <v>14.87</v>
      </c>
      <c r="O5">
        <f t="shared" si="2"/>
        <v>14.91</v>
      </c>
    </row>
    <row r="6" spans="1:15">
      <c r="A6">
        <v>1</v>
      </c>
      <c r="B6">
        <v>896</v>
      </c>
      <c r="C6">
        <v>59.05</v>
      </c>
      <c r="D6">
        <v>15.89</v>
      </c>
      <c r="E6">
        <v>15.47</v>
      </c>
      <c r="F6">
        <v>38.82</v>
      </c>
      <c r="G6">
        <v>35.2</v>
      </c>
      <c r="H6">
        <v>34.48</v>
      </c>
      <c r="I6">
        <v>15.38</v>
      </c>
      <c r="M6">
        <f t="shared" si="0"/>
        <v>59.05</v>
      </c>
      <c r="N6">
        <f t="shared" si="1"/>
        <v>15.38</v>
      </c>
      <c r="O6">
        <f t="shared" si="2"/>
        <v>15.47</v>
      </c>
    </row>
    <row r="7" spans="1:15">
      <c r="A7">
        <v>1</v>
      </c>
      <c r="B7">
        <v>960</v>
      </c>
      <c r="C7">
        <v>59.65</v>
      </c>
      <c r="D7">
        <v>16.55</v>
      </c>
      <c r="E7">
        <v>16.11</v>
      </c>
      <c r="F7">
        <v>45.13</v>
      </c>
      <c r="G7">
        <v>40.85</v>
      </c>
      <c r="H7">
        <v>40.39</v>
      </c>
      <c r="I7">
        <v>16.06</v>
      </c>
      <c r="M7">
        <f t="shared" si="0"/>
        <v>59.65</v>
      </c>
      <c r="N7">
        <f t="shared" si="1"/>
        <v>16.06</v>
      </c>
      <c r="O7">
        <f t="shared" si="2"/>
        <v>16.11</v>
      </c>
    </row>
    <row r="8" spans="1:15">
      <c r="A8">
        <v>1</v>
      </c>
      <c r="B8">
        <v>1024</v>
      </c>
      <c r="C8">
        <v>60.21</v>
      </c>
      <c r="D8">
        <v>17.1</v>
      </c>
      <c r="E8">
        <v>16.67</v>
      </c>
      <c r="F8">
        <v>51.33</v>
      </c>
      <c r="G8">
        <v>46.4</v>
      </c>
      <c r="H8">
        <v>46.28</v>
      </c>
      <c r="I8">
        <v>16.65</v>
      </c>
      <c r="M8">
        <f t="shared" si="0"/>
        <v>60.21</v>
      </c>
      <c r="N8">
        <f t="shared" si="1"/>
        <v>16.65</v>
      </c>
      <c r="O8">
        <f t="shared" si="2"/>
        <v>16.67</v>
      </c>
    </row>
    <row r="9" spans="1:15">
      <c r="A9">
        <v>1</v>
      </c>
      <c r="B9">
        <v>1088</v>
      </c>
      <c r="C9">
        <v>60.73</v>
      </c>
      <c r="D9">
        <v>17.62</v>
      </c>
      <c r="E9">
        <v>17.25</v>
      </c>
      <c r="F9">
        <v>57.83</v>
      </c>
      <c r="G9">
        <v>53.12</v>
      </c>
      <c r="H9">
        <v>52.54</v>
      </c>
      <c r="I9">
        <v>17.2</v>
      </c>
      <c r="M9">
        <f t="shared" si="0"/>
        <v>60.73</v>
      </c>
      <c r="N9">
        <f t="shared" si="1"/>
        <v>17.2</v>
      </c>
      <c r="O9">
        <f t="shared" si="2"/>
        <v>17.25</v>
      </c>
    </row>
    <row r="10" spans="1:15">
      <c r="A10">
        <v>1</v>
      </c>
      <c r="B10">
        <v>1152</v>
      </c>
      <c r="C10">
        <v>61.23</v>
      </c>
      <c r="D10">
        <v>18.06</v>
      </c>
      <c r="E10">
        <v>17.74</v>
      </c>
      <c r="F10">
        <v>63.99</v>
      </c>
      <c r="G10">
        <v>59.43</v>
      </c>
      <c r="H10">
        <v>58.56</v>
      </c>
      <c r="I10">
        <v>17.68</v>
      </c>
      <c r="M10">
        <f t="shared" si="0"/>
        <v>61.23</v>
      </c>
      <c r="N10">
        <f t="shared" si="1"/>
        <v>17.68</v>
      </c>
      <c r="O10">
        <f t="shared" si="2"/>
        <v>17.74</v>
      </c>
    </row>
    <row r="11" spans="1:15">
      <c r="A11">
        <v>1</v>
      </c>
      <c r="B11">
        <v>1216</v>
      </c>
      <c r="C11">
        <v>61.7</v>
      </c>
      <c r="D11">
        <v>18.48</v>
      </c>
      <c r="E11">
        <v>18.22</v>
      </c>
      <c r="F11">
        <v>70.49</v>
      </c>
      <c r="G11">
        <v>66.33</v>
      </c>
      <c r="H11">
        <v>64.99</v>
      </c>
      <c r="I11">
        <v>18.13</v>
      </c>
      <c r="M11">
        <f t="shared" si="0"/>
        <v>61.7</v>
      </c>
      <c r="N11">
        <f t="shared" si="1"/>
        <v>18.13</v>
      </c>
      <c r="O11">
        <f t="shared" si="2"/>
        <v>18.22</v>
      </c>
    </row>
    <row r="12" spans="1:15">
      <c r="A12">
        <v>1</v>
      </c>
      <c r="B12">
        <v>1280</v>
      </c>
      <c r="C12">
        <v>62.14</v>
      </c>
      <c r="D12">
        <v>18.92</v>
      </c>
      <c r="E12">
        <v>18.67</v>
      </c>
      <c r="F12">
        <v>77.94</v>
      </c>
      <c r="G12">
        <v>73.54</v>
      </c>
      <c r="H12">
        <v>72.49</v>
      </c>
      <c r="I12">
        <v>18.6</v>
      </c>
      <c r="M12">
        <f t="shared" si="0"/>
        <v>62.14</v>
      </c>
      <c r="N12">
        <f t="shared" si="1"/>
        <v>18.6</v>
      </c>
      <c r="O12">
        <f t="shared" si="2"/>
        <v>18.67</v>
      </c>
    </row>
    <row r="13" spans="1:15">
      <c r="A13">
        <v>1</v>
      </c>
      <c r="B13">
        <v>1344</v>
      </c>
      <c r="C13">
        <v>62.57</v>
      </c>
      <c r="D13">
        <v>19.27</v>
      </c>
      <c r="E13">
        <v>19.06</v>
      </c>
      <c r="F13">
        <v>84.62</v>
      </c>
      <c r="G13">
        <v>80.63</v>
      </c>
      <c r="H13">
        <v>79.3</v>
      </c>
      <c r="I13">
        <v>18.99</v>
      </c>
      <c r="M13">
        <f t="shared" si="0"/>
        <v>62.57</v>
      </c>
      <c r="N13">
        <f t="shared" si="1"/>
        <v>18.99</v>
      </c>
      <c r="O13">
        <f t="shared" si="2"/>
        <v>19.06</v>
      </c>
    </row>
    <row r="14" spans="1:15">
      <c r="A14">
        <v>1</v>
      </c>
      <c r="B14">
        <v>1408</v>
      </c>
      <c r="C14">
        <v>62.97</v>
      </c>
      <c r="D14">
        <v>19.65</v>
      </c>
      <c r="E14">
        <v>19.45</v>
      </c>
      <c r="F14">
        <v>92.19</v>
      </c>
      <c r="G14">
        <v>88.18</v>
      </c>
      <c r="H14">
        <v>87.14</v>
      </c>
      <c r="I14">
        <v>19.4</v>
      </c>
      <c r="M14">
        <f t="shared" si="0"/>
        <v>62.97</v>
      </c>
      <c r="N14">
        <f t="shared" si="1"/>
        <v>19.4</v>
      </c>
      <c r="O14">
        <f t="shared" si="2"/>
        <v>19.45</v>
      </c>
    </row>
    <row r="15" spans="1:15">
      <c r="A15">
        <v>1</v>
      </c>
      <c r="B15">
        <v>1472</v>
      </c>
      <c r="C15">
        <v>63.36</v>
      </c>
      <c r="D15">
        <v>19.98</v>
      </c>
      <c r="E15">
        <v>19.84</v>
      </c>
      <c r="F15">
        <v>99.6</v>
      </c>
      <c r="G15">
        <v>96.32</v>
      </c>
      <c r="H15">
        <v>94.94</v>
      </c>
      <c r="I15">
        <v>19.77</v>
      </c>
      <c r="M15">
        <f t="shared" si="0"/>
        <v>63.36</v>
      </c>
      <c r="N15">
        <f t="shared" si="1"/>
        <v>19.77</v>
      </c>
      <c r="O15">
        <f t="shared" si="2"/>
        <v>19.84</v>
      </c>
    </row>
    <row r="16" spans="1:15">
      <c r="A16">
        <v>1</v>
      </c>
      <c r="B16">
        <v>1536</v>
      </c>
      <c r="C16">
        <v>63.73</v>
      </c>
      <c r="D16">
        <v>20.35</v>
      </c>
      <c r="E16">
        <v>20.19</v>
      </c>
      <c r="F16">
        <v>108.35</v>
      </c>
      <c r="G16">
        <v>104.4</v>
      </c>
      <c r="H16">
        <v>104.29</v>
      </c>
      <c r="I16">
        <v>20.18</v>
      </c>
      <c r="M16">
        <f t="shared" si="0"/>
        <v>63.73</v>
      </c>
      <c r="N16">
        <f t="shared" si="1"/>
        <v>20.18</v>
      </c>
      <c r="O16">
        <f t="shared" si="2"/>
        <v>20.19</v>
      </c>
    </row>
    <row r="17" spans="1:15">
      <c r="A17">
        <v>1</v>
      </c>
      <c r="B17">
        <v>1600</v>
      </c>
      <c r="C17">
        <v>64.08</v>
      </c>
      <c r="D17">
        <v>20.59</v>
      </c>
      <c r="E17">
        <v>20.52</v>
      </c>
      <c r="F17">
        <v>114.59</v>
      </c>
      <c r="G17">
        <v>112.76</v>
      </c>
      <c r="H17">
        <v>111.06</v>
      </c>
      <c r="I17">
        <v>20.46</v>
      </c>
      <c r="M17">
        <f t="shared" si="0"/>
        <v>64.08</v>
      </c>
      <c r="N17">
        <f t="shared" si="1"/>
        <v>20.46</v>
      </c>
      <c r="O17">
        <f t="shared" si="2"/>
        <v>20.52</v>
      </c>
    </row>
    <row r="18" spans="1:15">
      <c r="A18">
        <v>1</v>
      </c>
      <c r="B18">
        <v>1664</v>
      </c>
      <c r="C18">
        <v>64.42</v>
      </c>
      <c r="D18">
        <v>20.89</v>
      </c>
      <c r="E18">
        <v>20.85</v>
      </c>
      <c r="F18">
        <v>122.82</v>
      </c>
      <c r="G18">
        <v>121.62</v>
      </c>
      <c r="H18">
        <v>120.12</v>
      </c>
      <c r="I18">
        <v>20.8</v>
      </c>
      <c r="M18">
        <f t="shared" si="0"/>
        <v>64.42</v>
      </c>
      <c r="N18">
        <f t="shared" si="1"/>
        <v>20.8</v>
      </c>
      <c r="O18">
        <f t="shared" si="2"/>
        <v>20.85</v>
      </c>
    </row>
    <row r="19" spans="1:15">
      <c r="A19">
        <v>1</v>
      </c>
      <c r="B19">
        <v>1728</v>
      </c>
      <c r="C19">
        <v>64.75</v>
      </c>
      <c r="D19">
        <v>21.16</v>
      </c>
      <c r="E19">
        <v>21.18</v>
      </c>
      <c r="F19">
        <v>130.57</v>
      </c>
      <c r="G19">
        <v>131.34</v>
      </c>
      <c r="H19">
        <v>128.78</v>
      </c>
      <c r="I19">
        <v>21.1</v>
      </c>
      <c r="M19">
        <f t="shared" si="0"/>
        <v>64.75</v>
      </c>
      <c r="N19">
        <f t="shared" si="1"/>
        <v>21.1</v>
      </c>
      <c r="O19">
        <f t="shared" si="2"/>
        <v>21.18</v>
      </c>
    </row>
    <row r="20" spans="1:15">
      <c r="A20">
        <v>1</v>
      </c>
      <c r="B20">
        <v>1792</v>
      </c>
      <c r="C20">
        <v>65.07</v>
      </c>
      <c r="D20">
        <v>21.45</v>
      </c>
      <c r="E20">
        <v>21.48</v>
      </c>
      <c r="F20">
        <v>139.5</v>
      </c>
      <c r="G20">
        <v>140.74</v>
      </c>
      <c r="H20">
        <v>138.92</v>
      </c>
      <c r="I20">
        <v>21.43</v>
      </c>
      <c r="M20">
        <f t="shared" si="0"/>
        <v>65.07</v>
      </c>
      <c r="N20">
        <f t="shared" si="1"/>
        <v>21.43</v>
      </c>
      <c r="O20">
        <f t="shared" si="2"/>
        <v>21.48</v>
      </c>
    </row>
    <row r="21" spans="1:15">
      <c r="A21">
        <v>1</v>
      </c>
      <c r="B21">
        <v>1856</v>
      </c>
      <c r="C21">
        <v>65.37</v>
      </c>
      <c r="D21">
        <v>21.69</v>
      </c>
      <c r="E21">
        <v>21.77</v>
      </c>
      <c r="F21">
        <v>147.47</v>
      </c>
      <c r="G21">
        <v>150.25</v>
      </c>
      <c r="H21">
        <v>148.12</v>
      </c>
      <c r="I21">
        <v>21.71</v>
      </c>
      <c r="M21">
        <f t="shared" si="0"/>
        <v>65.37</v>
      </c>
      <c r="N21">
        <f t="shared" si="1"/>
        <v>21.71</v>
      </c>
      <c r="O21">
        <f t="shared" si="2"/>
        <v>21.77</v>
      </c>
    </row>
    <row r="22" spans="1:15">
      <c r="A22">
        <v>1</v>
      </c>
      <c r="B22">
        <v>1920</v>
      </c>
      <c r="C22">
        <v>65.67</v>
      </c>
      <c r="D22">
        <v>21.93</v>
      </c>
      <c r="E22">
        <v>22.04</v>
      </c>
      <c r="F22">
        <v>155.85</v>
      </c>
      <c r="G22">
        <v>159.83</v>
      </c>
      <c r="H22">
        <v>157.93</v>
      </c>
      <c r="I22">
        <v>21.98</v>
      </c>
      <c r="M22">
        <f t="shared" si="0"/>
        <v>65.67</v>
      </c>
      <c r="N22">
        <f t="shared" si="1"/>
        <v>21.98</v>
      </c>
      <c r="O22">
        <f t="shared" si="2"/>
        <v>22.04</v>
      </c>
    </row>
    <row r="23" spans="1:15">
      <c r="A23">
        <v>1</v>
      </c>
      <c r="B23">
        <v>1984</v>
      </c>
      <c r="C23">
        <v>65.95</v>
      </c>
      <c r="D23">
        <v>22.11</v>
      </c>
      <c r="E23">
        <v>22.3</v>
      </c>
      <c r="F23">
        <v>162.56</v>
      </c>
      <c r="G23">
        <v>169.77</v>
      </c>
      <c r="H23">
        <v>165.9</v>
      </c>
      <c r="I23">
        <v>22.2</v>
      </c>
      <c r="M23">
        <f t="shared" si="0"/>
        <v>65.95</v>
      </c>
      <c r="N23">
        <f t="shared" si="1"/>
        <v>22.2</v>
      </c>
      <c r="O23">
        <f t="shared" si="2"/>
        <v>22.3</v>
      </c>
    </row>
    <row r="24" spans="1:15">
      <c r="A24">
        <v>1</v>
      </c>
      <c r="B24">
        <v>2048</v>
      </c>
      <c r="C24">
        <v>66.23</v>
      </c>
      <c r="D24">
        <v>22.35</v>
      </c>
      <c r="E24">
        <v>22.54</v>
      </c>
      <c r="F24">
        <v>171.86</v>
      </c>
      <c r="G24">
        <v>179.61</v>
      </c>
      <c r="H24">
        <v>177.1</v>
      </c>
      <c r="I24">
        <v>22.48</v>
      </c>
      <c r="M24">
        <f t="shared" si="0"/>
        <v>66.23</v>
      </c>
      <c r="N24">
        <f t="shared" si="1"/>
        <v>22.48</v>
      </c>
      <c r="O24">
        <f t="shared" si="2"/>
        <v>22.54</v>
      </c>
    </row>
    <row r="25" spans="1:15">
      <c r="A25">
        <v>1</v>
      </c>
      <c r="B25">
        <v>2112</v>
      </c>
      <c r="C25">
        <v>66.49</v>
      </c>
      <c r="D25">
        <v>22.55</v>
      </c>
      <c r="E25">
        <v>22.77</v>
      </c>
      <c r="F25">
        <v>179.72</v>
      </c>
      <c r="G25">
        <v>189.28</v>
      </c>
      <c r="H25">
        <v>186.72</v>
      </c>
      <c r="I25">
        <v>22.71</v>
      </c>
      <c r="M25">
        <f t="shared" si="0"/>
        <v>66.49</v>
      </c>
      <c r="N25">
        <f t="shared" si="1"/>
        <v>22.71</v>
      </c>
      <c r="O25">
        <f t="shared" si="2"/>
        <v>22.77</v>
      </c>
    </row>
    <row r="26" spans="1:15">
      <c r="A26">
        <v>1</v>
      </c>
      <c r="B26">
        <v>2176</v>
      </c>
      <c r="C26">
        <v>66.75</v>
      </c>
      <c r="D26">
        <v>22.7</v>
      </c>
      <c r="E26">
        <v>22.99</v>
      </c>
      <c r="F26">
        <v>186.26</v>
      </c>
      <c r="G26">
        <v>199.03</v>
      </c>
      <c r="H26">
        <v>194.8</v>
      </c>
      <c r="I26">
        <v>22.9</v>
      </c>
      <c r="M26">
        <f t="shared" si="0"/>
        <v>66.75</v>
      </c>
      <c r="N26">
        <f t="shared" si="1"/>
        <v>22.9</v>
      </c>
      <c r="O26">
        <f t="shared" si="2"/>
        <v>22.99</v>
      </c>
    </row>
    <row r="27" spans="1:15">
      <c r="A27">
        <v>1</v>
      </c>
      <c r="B27">
        <v>2240</v>
      </c>
      <c r="C27">
        <v>67</v>
      </c>
      <c r="D27">
        <v>22.83</v>
      </c>
      <c r="E27">
        <v>23.13</v>
      </c>
      <c r="F27">
        <v>192.09</v>
      </c>
      <c r="G27">
        <v>205.77</v>
      </c>
      <c r="H27">
        <v>202.1</v>
      </c>
      <c r="I27">
        <v>23.06</v>
      </c>
      <c r="M27">
        <f t="shared" si="0"/>
        <v>67</v>
      </c>
      <c r="N27">
        <f t="shared" si="1"/>
        <v>23.06</v>
      </c>
      <c r="O27">
        <f t="shared" si="2"/>
        <v>23.13</v>
      </c>
    </row>
    <row r="28" spans="1:15">
      <c r="A28">
        <v>1</v>
      </c>
      <c r="B28">
        <v>2304</v>
      </c>
      <c r="C28">
        <v>67.25</v>
      </c>
      <c r="D28">
        <v>23.01</v>
      </c>
      <c r="E28">
        <v>23.32</v>
      </c>
      <c r="F28">
        <v>200.09</v>
      </c>
      <c r="G28">
        <v>214.92</v>
      </c>
      <c r="H28">
        <v>212.24</v>
      </c>
      <c r="I28">
        <v>23.27</v>
      </c>
      <c r="M28">
        <f t="shared" si="0"/>
        <v>67.25</v>
      </c>
      <c r="N28">
        <f t="shared" si="1"/>
        <v>23.27</v>
      </c>
      <c r="O28">
        <f t="shared" si="2"/>
        <v>23.32</v>
      </c>
    </row>
    <row r="29" spans="1:15">
      <c r="A29">
        <v>1</v>
      </c>
      <c r="B29">
        <v>2368</v>
      </c>
      <c r="C29">
        <v>67.49</v>
      </c>
      <c r="D29">
        <v>23.17</v>
      </c>
      <c r="E29">
        <v>23.51</v>
      </c>
      <c r="F29">
        <v>207.51</v>
      </c>
      <c r="G29">
        <v>224.62</v>
      </c>
      <c r="H29">
        <v>221.76</v>
      </c>
      <c r="I29">
        <v>23.46</v>
      </c>
      <c r="M29">
        <f t="shared" si="0"/>
        <v>67.49</v>
      </c>
      <c r="N29">
        <f t="shared" si="1"/>
        <v>23.46</v>
      </c>
      <c r="O29">
        <f t="shared" si="2"/>
        <v>23.51</v>
      </c>
    </row>
    <row r="30" spans="1:15">
      <c r="A30">
        <v>1</v>
      </c>
      <c r="B30">
        <v>2432</v>
      </c>
      <c r="C30">
        <v>67.72</v>
      </c>
      <c r="D30">
        <v>23.28</v>
      </c>
      <c r="E30">
        <v>23.69</v>
      </c>
      <c r="F30">
        <v>212.86</v>
      </c>
      <c r="G30">
        <v>233.82</v>
      </c>
      <c r="H30">
        <v>228.69</v>
      </c>
      <c r="I30">
        <v>23.59</v>
      </c>
      <c r="M30">
        <f t="shared" si="0"/>
        <v>67.72</v>
      </c>
      <c r="N30">
        <f t="shared" si="1"/>
        <v>23.59</v>
      </c>
      <c r="O30">
        <f t="shared" si="2"/>
        <v>23.69</v>
      </c>
    </row>
    <row r="31" spans="1:15">
      <c r="A31">
        <v>1</v>
      </c>
      <c r="B31">
        <v>2496</v>
      </c>
      <c r="C31">
        <v>67.94</v>
      </c>
      <c r="D31">
        <v>23.45</v>
      </c>
      <c r="E31">
        <v>23.85</v>
      </c>
      <c r="F31">
        <v>221.09</v>
      </c>
      <c r="G31">
        <v>242.74</v>
      </c>
      <c r="H31">
        <v>239.48</v>
      </c>
      <c r="I31">
        <v>23.79</v>
      </c>
      <c r="M31">
        <f t="shared" si="0"/>
        <v>67.94</v>
      </c>
      <c r="N31">
        <f t="shared" si="1"/>
        <v>23.79</v>
      </c>
      <c r="O31">
        <f t="shared" si="2"/>
        <v>23.85</v>
      </c>
    </row>
    <row r="32" spans="1:15">
      <c r="A32">
        <v>1</v>
      </c>
      <c r="B32">
        <v>2560</v>
      </c>
      <c r="C32">
        <v>68.16</v>
      </c>
      <c r="D32">
        <v>23.58</v>
      </c>
      <c r="E32">
        <v>24</v>
      </c>
      <c r="F32">
        <v>227.92</v>
      </c>
      <c r="G32">
        <v>251.08</v>
      </c>
      <c r="H32">
        <v>248.54</v>
      </c>
      <c r="I32">
        <v>23.95</v>
      </c>
      <c r="M32">
        <f t="shared" si="0"/>
        <v>68.16</v>
      </c>
      <c r="N32">
        <f t="shared" si="1"/>
        <v>23.95</v>
      </c>
      <c r="O32">
        <f t="shared" si="2"/>
        <v>24</v>
      </c>
    </row>
    <row r="33" spans="1:15">
      <c r="A33">
        <v>1</v>
      </c>
      <c r="B33">
        <v>2624</v>
      </c>
      <c r="C33">
        <v>68.38</v>
      </c>
      <c r="D33">
        <v>23.7</v>
      </c>
      <c r="E33">
        <v>24.15</v>
      </c>
      <c r="F33">
        <v>234.42</v>
      </c>
      <c r="G33">
        <v>260.14</v>
      </c>
      <c r="H33">
        <v>257.25</v>
      </c>
      <c r="I33">
        <v>24.1</v>
      </c>
      <c r="M33">
        <f t="shared" si="0"/>
        <v>68.38</v>
      </c>
      <c r="N33">
        <f t="shared" si="1"/>
        <v>24.1</v>
      </c>
      <c r="O33">
        <f t="shared" si="2"/>
        <v>24.15</v>
      </c>
    </row>
    <row r="34" spans="1:15">
      <c r="A34">
        <v>1</v>
      </c>
      <c r="B34">
        <v>2688</v>
      </c>
      <c r="C34">
        <v>68.59</v>
      </c>
      <c r="D34">
        <v>23.79</v>
      </c>
      <c r="E34">
        <v>24.28</v>
      </c>
      <c r="F34">
        <v>239.55</v>
      </c>
      <c r="G34">
        <v>268.11</v>
      </c>
      <c r="H34">
        <v>264.2</v>
      </c>
      <c r="I34">
        <v>24.22</v>
      </c>
      <c r="M34">
        <f t="shared" si="0"/>
        <v>68.59</v>
      </c>
      <c r="N34">
        <f t="shared" si="1"/>
        <v>24.22</v>
      </c>
      <c r="O34">
        <f t="shared" si="2"/>
        <v>24.28</v>
      </c>
    </row>
    <row r="35" spans="1:15">
      <c r="A35">
        <v>1</v>
      </c>
      <c r="B35">
        <v>2752</v>
      </c>
      <c r="C35">
        <v>68.79</v>
      </c>
      <c r="D35">
        <v>23.9</v>
      </c>
      <c r="E35">
        <v>24.41</v>
      </c>
      <c r="F35">
        <v>245.71</v>
      </c>
      <c r="G35">
        <v>276.07</v>
      </c>
      <c r="H35">
        <v>272.61</v>
      </c>
      <c r="I35">
        <v>24.36</v>
      </c>
      <c r="M35">
        <f t="shared" ref="M35:M66" si="3">C35</f>
        <v>68.79</v>
      </c>
      <c r="N35">
        <f t="shared" ref="N35:N66" si="4">I35</f>
        <v>24.36</v>
      </c>
      <c r="O35">
        <f t="shared" ref="O35:O66" si="5">E35</f>
        <v>24.41</v>
      </c>
    </row>
    <row r="36" spans="1:15">
      <c r="A36">
        <v>1</v>
      </c>
      <c r="B36">
        <v>2816</v>
      </c>
      <c r="C36">
        <v>68.99</v>
      </c>
      <c r="D36">
        <v>23.99</v>
      </c>
      <c r="E36">
        <v>24.52</v>
      </c>
      <c r="F36">
        <v>250.51</v>
      </c>
      <c r="G36">
        <v>283.41</v>
      </c>
      <c r="H36">
        <v>279.22</v>
      </c>
      <c r="I36">
        <v>24.46</v>
      </c>
      <c r="M36">
        <f t="shared" si="3"/>
        <v>68.99</v>
      </c>
      <c r="N36">
        <f t="shared" si="4"/>
        <v>24.46</v>
      </c>
      <c r="O36">
        <f t="shared" si="5"/>
        <v>24.52</v>
      </c>
    </row>
    <row r="37" spans="1:15">
      <c r="A37">
        <v>1</v>
      </c>
      <c r="B37">
        <v>2880</v>
      </c>
      <c r="C37">
        <v>69.19</v>
      </c>
      <c r="D37">
        <v>24.11</v>
      </c>
      <c r="E37">
        <v>24.63</v>
      </c>
      <c r="F37">
        <v>257.41</v>
      </c>
      <c r="G37">
        <v>290.36</v>
      </c>
      <c r="H37">
        <v>288.82</v>
      </c>
      <c r="I37">
        <v>24.61</v>
      </c>
      <c r="M37">
        <f t="shared" si="3"/>
        <v>69.19</v>
      </c>
      <c r="N37">
        <f t="shared" si="4"/>
        <v>24.61</v>
      </c>
      <c r="O37">
        <f t="shared" si="5"/>
        <v>24.63</v>
      </c>
    </row>
    <row r="38" spans="1:15">
      <c r="A38">
        <v>1</v>
      </c>
      <c r="B38">
        <v>2944</v>
      </c>
      <c r="C38">
        <v>69.38</v>
      </c>
      <c r="D38">
        <v>24.17</v>
      </c>
      <c r="E38">
        <v>24.74</v>
      </c>
      <c r="F38">
        <v>261.39</v>
      </c>
      <c r="G38">
        <v>297.55</v>
      </c>
      <c r="H38">
        <v>294.4</v>
      </c>
      <c r="I38">
        <v>24.69</v>
      </c>
      <c r="M38">
        <f t="shared" si="3"/>
        <v>69.38</v>
      </c>
      <c r="N38">
        <f t="shared" si="4"/>
        <v>24.69</v>
      </c>
      <c r="O38">
        <f t="shared" si="5"/>
        <v>24.74</v>
      </c>
    </row>
    <row r="39" spans="1:15">
      <c r="A39">
        <v>1</v>
      </c>
      <c r="B39">
        <v>3008</v>
      </c>
      <c r="C39">
        <v>69.57</v>
      </c>
      <c r="D39">
        <v>24.26</v>
      </c>
      <c r="E39">
        <v>24.83</v>
      </c>
      <c r="F39">
        <v>266.74</v>
      </c>
      <c r="G39">
        <v>303.9</v>
      </c>
      <c r="H39">
        <v>301.96</v>
      </c>
      <c r="I39">
        <v>24.8</v>
      </c>
      <c r="M39">
        <f t="shared" si="3"/>
        <v>69.57</v>
      </c>
      <c r="N39">
        <f t="shared" si="4"/>
        <v>24.8</v>
      </c>
      <c r="O39">
        <f t="shared" si="5"/>
        <v>24.83</v>
      </c>
    </row>
    <row r="40" spans="1:15">
      <c r="A40">
        <v>1</v>
      </c>
      <c r="B40">
        <v>3072</v>
      </c>
      <c r="C40">
        <v>69.75</v>
      </c>
      <c r="D40">
        <v>24.35</v>
      </c>
      <c r="E40">
        <v>24.91</v>
      </c>
      <c r="F40">
        <v>272.17</v>
      </c>
      <c r="G40">
        <v>310.04</v>
      </c>
      <c r="H40">
        <v>309.68</v>
      </c>
      <c r="I40">
        <v>24.91</v>
      </c>
      <c r="M40">
        <f t="shared" si="3"/>
        <v>69.75</v>
      </c>
      <c r="N40">
        <f t="shared" si="4"/>
        <v>24.91</v>
      </c>
      <c r="O40">
        <f t="shared" si="5"/>
        <v>24.91</v>
      </c>
    </row>
    <row r="41" spans="1:15">
      <c r="A41">
        <v>1</v>
      </c>
      <c r="B41">
        <v>3136</v>
      </c>
      <c r="C41">
        <v>69.93</v>
      </c>
      <c r="D41">
        <v>24.44</v>
      </c>
      <c r="E41">
        <v>25.01</v>
      </c>
      <c r="F41">
        <v>277.67</v>
      </c>
      <c r="G41">
        <v>317.23</v>
      </c>
      <c r="H41">
        <v>317.57</v>
      </c>
      <c r="I41">
        <v>25.02</v>
      </c>
      <c r="M41">
        <f t="shared" si="3"/>
        <v>69.93</v>
      </c>
      <c r="N41">
        <f t="shared" si="4"/>
        <v>25.02</v>
      </c>
      <c r="O41">
        <f t="shared" si="5"/>
        <v>25.01</v>
      </c>
    </row>
    <row r="42" spans="1:15">
      <c r="A42">
        <v>1</v>
      </c>
      <c r="B42">
        <v>3200</v>
      </c>
      <c r="C42">
        <v>70.1</v>
      </c>
      <c r="D42">
        <v>24.48</v>
      </c>
      <c r="E42">
        <v>25.09</v>
      </c>
      <c r="F42">
        <v>280.58</v>
      </c>
      <c r="G42">
        <v>323.11</v>
      </c>
      <c r="H42">
        <v>321.78</v>
      </c>
      <c r="I42">
        <v>25.08</v>
      </c>
      <c r="M42">
        <f t="shared" si="3"/>
        <v>70.1</v>
      </c>
      <c r="N42">
        <f t="shared" si="4"/>
        <v>25.08</v>
      </c>
      <c r="O42">
        <f t="shared" si="5"/>
        <v>25.09</v>
      </c>
    </row>
    <row r="43" spans="1:15">
      <c r="A43">
        <v>1</v>
      </c>
      <c r="B43">
        <v>3264</v>
      </c>
      <c r="C43">
        <v>70.28</v>
      </c>
      <c r="D43">
        <v>24.55</v>
      </c>
      <c r="E43">
        <v>25.17</v>
      </c>
      <c r="F43">
        <v>284.9</v>
      </c>
      <c r="G43">
        <v>328.81</v>
      </c>
      <c r="H43">
        <v>328.05</v>
      </c>
      <c r="I43">
        <v>25.16</v>
      </c>
      <c r="M43">
        <f t="shared" si="3"/>
        <v>70.28</v>
      </c>
      <c r="N43">
        <f t="shared" si="4"/>
        <v>25.16</v>
      </c>
      <c r="O43">
        <f t="shared" si="5"/>
        <v>25.17</v>
      </c>
    </row>
    <row r="44" spans="1:15">
      <c r="A44">
        <v>1</v>
      </c>
      <c r="B44">
        <v>3328</v>
      </c>
      <c r="C44">
        <v>70.44</v>
      </c>
      <c r="D44">
        <v>24.59</v>
      </c>
      <c r="E44">
        <v>25.24</v>
      </c>
      <c r="F44">
        <v>288.04</v>
      </c>
      <c r="G44">
        <v>334.35</v>
      </c>
      <c r="H44">
        <v>332.63</v>
      </c>
      <c r="I44">
        <v>25.22</v>
      </c>
      <c r="M44">
        <f t="shared" si="3"/>
        <v>70.44</v>
      </c>
      <c r="N44">
        <f t="shared" si="4"/>
        <v>25.22</v>
      </c>
      <c r="O44">
        <f t="shared" si="5"/>
        <v>25.24</v>
      </c>
    </row>
    <row r="45" spans="1:15">
      <c r="A45">
        <v>1</v>
      </c>
      <c r="B45">
        <v>3392</v>
      </c>
      <c r="C45">
        <v>70.61</v>
      </c>
      <c r="D45">
        <v>24.68</v>
      </c>
      <c r="E45">
        <v>25.31</v>
      </c>
      <c r="F45">
        <v>293.54</v>
      </c>
      <c r="G45">
        <v>339.75</v>
      </c>
      <c r="H45">
        <v>340.7</v>
      </c>
      <c r="I45">
        <v>25.32</v>
      </c>
      <c r="M45">
        <f t="shared" si="3"/>
        <v>70.61</v>
      </c>
      <c r="N45">
        <f t="shared" si="4"/>
        <v>25.32</v>
      </c>
      <c r="O45">
        <f t="shared" si="5"/>
        <v>25.31</v>
      </c>
    </row>
    <row r="46" spans="1:15">
      <c r="A46">
        <v>1</v>
      </c>
      <c r="B46">
        <v>3456</v>
      </c>
      <c r="C46">
        <v>70.77</v>
      </c>
      <c r="D46">
        <v>24.73</v>
      </c>
      <c r="E46">
        <v>25.37</v>
      </c>
      <c r="F46">
        <v>297.41</v>
      </c>
      <c r="G46">
        <v>344.64</v>
      </c>
      <c r="H46">
        <v>346.43</v>
      </c>
      <c r="I46">
        <v>25.4</v>
      </c>
      <c r="M46">
        <f t="shared" si="3"/>
        <v>70.77</v>
      </c>
      <c r="N46">
        <f t="shared" si="4"/>
        <v>25.4</v>
      </c>
      <c r="O46">
        <f t="shared" si="5"/>
        <v>25.37</v>
      </c>
    </row>
    <row r="47" spans="1:15">
      <c r="A47">
        <v>1</v>
      </c>
      <c r="B47">
        <v>3520</v>
      </c>
      <c r="C47">
        <v>70.93</v>
      </c>
      <c r="D47">
        <v>24.77</v>
      </c>
      <c r="E47">
        <v>25.43</v>
      </c>
      <c r="F47">
        <v>299.81</v>
      </c>
      <c r="G47">
        <v>349.53</v>
      </c>
      <c r="H47">
        <v>350</v>
      </c>
      <c r="I47">
        <v>25.44</v>
      </c>
      <c r="M47">
        <f t="shared" si="3"/>
        <v>70.93</v>
      </c>
      <c r="N47">
        <f t="shared" si="4"/>
        <v>25.44</v>
      </c>
      <c r="O47">
        <f t="shared" si="5"/>
        <v>25.43</v>
      </c>
    </row>
    <row r="48" spans="1:15">
      <c r="A48">
        <v>1</v>
      </c>
      <c r="B48">
        <v>3584</v>
      </c>
      <c r="C48">
        <v>71.09</v>
      </c>
      <c r="D48">
        <v>24.81</v>
      </c>
      <c r="E48">
        <v>25.49</v>
      </c>
      <c r="F48">
        <v>302.84</v>
      </c>
      <c r="G48">
        <v>354.29</v>
      </c>
      <c r="H48">
        <v>354.51</v>
      </c>
      <c r="I48">
        <v>25.5</v>
      </c>
      <c r="M48">
        <f t="shared" si="3"/>
        <v>71.09</v>
      </c>
      <c r="N48">
        <f t="shared" si="4"/>
        <v>25.5</v>
      </c>
      <c r="O48">
        <f t="shared" si="5"/>
        <v>25.49</v>
      </c>
    </row>
    <row r="49" spans="1:15">
      <c r="A49">
        <v>1</v>
      </c>
      <c r="B49">
        <v>3648</v>
      </c>
      <c r="C49">
        <v>71.24</v>
      </c>
      <c r="D49">
        <v>24.86</v>
      </c>
      <c r="E49">
        <v>25.55</v>
      </c>
      <c r="F49">
        <v>306.01</v>
      </c>
      <c r="G49">
        <v>358.71</v>
      </c>
      <c r="H49">
        <v>359.26</v>
      </c>
      <c r="I49">
        <v>25.55</v>
      </c>
      <c r="M49">
        <f t="shared" si="3"/>
        <v>71.24</v>
      </c>
      <c r="N49">
        <f t="shared" si="4"/>
        <v>25.55</v>
      </c>
      <c r="O49">
        <f t="shared" si="5"/>
        <v>25.55</v>
      </c>
    </row>
    <row r="50" spans="1:15">
      <c r="A50">
        <v>1</v>
      </c>
      <c r="B50">
        <v>3712</v>
      </c>
      <c r="C50">
        <v>71.39</v>
      </c>
      <c r="D50">
        <v>24.91</v>
      </c>
      <c r="E50">
        <v>25.6</v>
      </c>
      <c r="F50">
        <v>310</v>
      </c>
      <c r="G50">
        <v>362.84</v>
      </c>
      <c r="H50">
        <v>365.27</v>
      </c>
      <c r="I50">
        <v>25.63</v>
      </c>
      <c r="M50">
        <f t="shared" si="3"/>
        <v>71.39</v>
      </c>
      <c r="N50">
        <f t="shared" si="4"/>
        <v>25.63</v>
      </c>
      <c r="O50">
        <f t="shared" si="5"/>
        <v>25.6</v>
      </c>
    </row>
    <row r="51" spans="1:15">
      <c r="A51">
        <v>1</v>
      </c>
      <c r="B51">
        <v>3776</v>
      </c>
      <c r="C51">
        <v>71.54</v>
      </c>
      <c r="D51">
        <v>24.96</v>
      </c>
      <c r="E51">
        <v>25.65</v>
      </c>
      <c r="F51">
        <v>313.13</v>
      </c>
      <c r="G51">
        <v>367.18</v>
      </c>
      <c r="H51">
        <v>370.01</v>
      </c>
      <c r="I51">
        <v>25.68</v>
      </c>
      <c r="M51">
        <f t="shared" si="3"/>
        <v>71.54</v>
      </c>
      <c r="N51">
        <f t="shared" si="4"/>
        <v>25.68</v>
      </c>
      <c r="O51">
        <f t="shared" si="5"/>
        <v>25.65</v>
      </c>
    </row>
    <row r="52" spans="1:15">
      <c r="A52">
        <v>1</v>
      </c>
      <c r="B52">
        <v>3840</v>
      </c>
      <c r="C52">
        <v>71.69</v>
      </c>
      <c r="D52">
        <v>25.01</v>
      </c>
      <c r="E52">
        <v>25.7</v>
      </c>
      <c r="F52">
        <v>316.64</v>
      </c>
      <c r="G52">
        <v>371.36</v>
      </c>
      <c r="H52">
        <v>375.34</v>
      </c>
      <c r="I52">
        <v>25.74</v>
      </c>
      <c r="M52">
        <f t="shared" si="3"/>
        <v>71.69</v>
      </c>
      <c r="N52">
        <f t="shared" si="4"/>
        <v>25.74</v>
      </c>
      <c r="O52">
        <f t="shared" si="5"/>
        <v>25.7</v>
      </c>
    </row>
    <row r="53" spans="1:15">
      <c r="A53">
        <v>1</v>
      </c>
      <c r="B53">
        <v>3904</v>
      </c>
      <c r="C53">
        <v>71.83</v>
      </c>
      <c r="D53">
        <v>25.05</v>
      </c>
      <c r="E53">
        <v>25.74</v>
      </c>
      <c r="F53">
        <v>319.59</v>
      </c>
      <c r="G53">
        <v>375.28</v>
      </c>
      <c r="H53">
        <v>379.85</v>
      </c>
      <c r="I53">
        <v>25.8</v>
      </c>
      <c r="M53">
        <f t="shared" si="3"/>
        <v>71.83</v>
      </c>
      <c r="N53">
        <f t="shared" si="4"/>
        <v>25.8</v>
      </c>
      <c r="O53">
        <f t="shared" si="5"/>
        <v>25.74</v>
      </c>
    </row>
    <row r="54" spans="1:15">
      <c r="A54">
        <v>1</v>
      </c>
      <c r="B54">
        <v>3968</v>
      </c>
      <c r="C54">
        <v>71.97</v>
      </c>
      <c r="D54">
        <v>25.08</v>
      </c>
      <c r="E54">
        <v>25.79</v>
      </c>
      <c r="F54">
        <v>322.43</v>
      </c>
      <c r="G54">
        <v>378.99</v>
      </c>
      <c r="H54">
        <v>384.21</v>
      </c>
      <c r="I54">
        <v>25.85</v>
      </c>
      <c r="M54">
        <f t="shared" si="3"/>
        <v>71.97</v>
      </c>
      <c r="N54">
        <f t="shared" si="4"/>
        <v>25.85</v>
      </c>
      <c r="O54">
        <f t="shared" si="5"/>
        <v>25.79</v>
      </c>
    </row>
    <row r="55" spans="1:15">
      <c r="A55">
        <v>1</v>
      </c>
      <c r="B55">
        <v>4032</v>
      </c>
      <c r="C55">
        <v>72.11</v>
      </c>
      <c r="D55">
        <v>25.12</v>
      </c>
      <c r="E55">
        <v>25.83</v>
      </c>
      <c r="F55">
        <v>324.9</v>
      </c>
      <c r="G55">
        <v>382.93</v>
      </c>
      <c r="H55">
        <v>388.02</v>
      </c>
      <c r="I55">
        <v>25.89</v>
      </c>
      <c r="M55">
        <f t="shared" si="3"/>
        <v>72.11</v>
      </c>
      <c r="N55">
        <f t="shared" si="4"/>
        <v>25.89</v>
      </c>
      <c r="O55">
        <f t="shared" si="5"/>
        <v>25.83</v>
      </c>
    </row>
    <row r="56" spans="1:1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8</v>
      </c>
      <c r="M56" t="str">
        <f t="shared" si="3"/>
        <v> pwr_dig_dbm</v>
      </c>
      <c r="N56" t="str">
        <f t="shared" si="4"/>
        <v> pwr_msadc_dbm_cal</v>
      </c>
      <c r="O56" t="str">
        <f t="shared" si="5"/>
        <v> pwr_cmp180_dbm</v>
      </c>
    </row>
    <row r="57" spans="1:15">
      <c r="A57">
        <v>7</v>
      </c>
      <c r="B57">
        <v>640</v>
      </c>
      <c r="C57">
        <v>56.12</v>
      </c>
      <c r="D57">
        <v>12.6</v>
      </c>
      <c r="E57">
        <v>11.84</v>
      </c>
      <c r="F57">
        <v>18.19</v>
      </c>
      <c r="G57">
        <v>15.29</v>
      </c>
      <c r="H57">
        <v>15.76</v>
      </c>
      <c r="I57">
        <v>11.97</v>
      </c>
      <c r="M57">
        <f t="shared" si="3"/>
        <v>56.12</v>
      </c>
      <c r="N57">
        <f t="shared" si="4"/>
        <v>11.97</v>
      </c>
      <c r="O57">
        <f t="shared" si="5"/>
        <v>11.84</v>
      </c>
    </row>
    <row r="58" spans="1:15">
      <c r="A58">
        <v>7</v>
      </c>
      <c r="B58">
        <v>704</v>
      </c>
      <c r="C58">
        <v>56.95</v>
      </c>
      <c r="D58">
        <v>13.32</v>
      </c>
      <c r="E58">
        <v>12.71</v>
      </c>
      <c r="F58">
        <v>21.48</v>
      </c>
      <c r="G58">
        <v>18.66</v>
      </c>
      <c r="H58">
        <v>18.68</v>
      </c>
      <c r="I58">
        <v>12.71</v>
      </c>
      <c r="M58">
        <f t="shared" si="3"/>
        <v>56.95</v>
      </c>
      <c r="N58">
        <f t="shared" si="4"/>
        <v>12.71</v>
      </c>
      <c r="O58">
        <f t="shared" si="5"/>
        <v>12.71</v>
      </c>
    </row>
    <row r="59" spans="1:15">
      <c r="A59">
        <v>7</v>
      </c>
      <c r="B59">
        <v>768</v>
      </c>
      <c r="C59">
        <v>57.71</v>
      </c>
      <c r="D59">
        <v>14.08</v>
      </c>
      <c r="E59">
        <v>13.49</v>
      </c>
      <c r="F59">
        <v>25.61</v>
      </c>
      <c r="G59">
        <v>22.31</v>
      </c>
      <c r="H59">
        <v>22.38</v>
      </c>
      <c r="I59">
        <v>13.5</v>
      </c>
      <c r="M59">
        <f t="shared" si="3"/>
        <v>57.71</v>
      </c>
      <c r="N59">
        <f t="shared" si="4"/>
        <v>13.5</v>
      </c>
      <c r="O59">
        <f t="shared" si="5"/>
        <v>13.49</v>
      </c>
    </row>
    <row r="60" spans="1:15">
      <c r="A60">
        <v>7</v>
      </c>
      <c r="B60">
        <v>832</v>
      </c>
      <c r="C60">
        <v>58.4</v>
      </c>
      <c r="D60">
        <v>14.82</v>
      </c>
      <c r="E60">
        <v>14.21</v>
      </c>
      <c r="F60">
        <v>30.37</v>
      </c>
      <c r="G60">
        <v>26.38</v>
      </c>
      <c r="H60">
        <v>26.7</v>
      </c>
      <c r="I60">
        <v>14.27</v>
      </c>
      <c r="M60">
        <f t="shared" si="3"/>
        <v>58.4</v>
      </c>
      <c r="N60">
        <f t="shared" si="4"/>
        <v>14.27</v>
      </c>
      <c r="O60">
        <f t="shared" si="5"/>
        <v>14.21</v>
      </c>
    </row>
    <row r="61" spans="1:15">
      <c r="A61">
        <v>7</v>
      </c>
      <c r="B61">
        <v>896</v>
      </c>
      <c r="C61">
        <v>59.05</v>
      </c>
      <c r="D61">
        <v>15.42</v>
      </c>
      <c r="E61">
        <v>14.85</v>
      </c>
      <c r="F61">
        <v>34.8</v>
      </c>
      <c r="G61">
        <v>30.56</v>
      </c>
      <c r="H61">
        <v>30.76</v>
      </c>
      <c r="I61">
        <v>14.88</v>
      </c>
      <c r="M61">
        <f t="shared" si="3"/>
        <v>59.05</v>
      </c>
      <c r="N61">
        <f t="shared" si="4"/>
        <v>14.88</v>
      </c>
      <c r="O61">
        <f t="shared" si="5"/>
        <v>14.85</v>
      </c>
    </row>
    <row r="62" spans="1:15">
      <c r="A62">
        <v>7</v>
      </c>
      <c r="B62">
        <v>960</v>
      </c>
      <c r="C62">
        <v>59.65</v>
      </c>
      <c r="D62">
        <v>15.89</v>
      </c>
      <c r="E62">
        <v>15.41</v>
      </c>
      <c r="F62">
        <v>38.79</v>
      </c>
      <c r="G62">
        <v>34.76</v>
      </c>
      <c r="H62">
        <v>34.45</v>
      </c>
      <c r="I62">
        <v>15.37</v>
      </c>
      <c r="M62">
        <f t="shared" si="3"/>
        <v>59.65</v>
      </c>
      <c r="N62">
        <f t="shared" si="4"/>
        <v>15.37</v>
      </c>
      <c r="O62">
        <f t="shared" si="5"/>
        <v>15.41</v>
      </c>
    </row>
    <row r="63" spans="1:15">
      <c r="A63">
        <v>7</v>
      </c>
      <c r="B63">
        <v>1024</v>
      </c>
      <c r="C63">
        <v>60.21</v>
      </c>
      <c r="D63">
        <v>16.43</v>
      </c>
      <c r="E63">
        <v>15.97</v>
      </c>
      <c r="F63">
        <v>43.95</v>
      </c>
      <c r="G63">
        <v>39.55</v>
      </c>
      <c r="H63">
        <v>39.28</v>
      </c>
      <c r="I63">
        <v>15.94</v>
      </c>
      <c r="M63">
        <f t="shared" si="3"/>
        <v>60.21</v>
      </c>
      <c r="N63">
        <f t="shared" si="4"/>
        <v>15.94</v>
      </c>
      <c r="O63">
        <f t="shared" si="5"/>
        <v>15.97</v>
      </c>
    </row>
    <row r="64" spans="1:15">
      <c r="A64">
        <v>7</v>
      </c>
      <c r="B64">
        <v>1088</v>
      </c>
      <c r="C64">
        <v>60.73</v>
      </c>
      <c r="D64">
        <v>16.95</v>
      </c>
      <c r="E64">
        <v>16.53</v>
      </c>
      <c r="F64">
        <v>49.56</v>
      </c>
      <c r="G64">
        <v>44.93</v>
      </c>
      <c r="H64">
        <v>44.59</v>
      </c>
      <c r="I64">
        <v>16.49</v>
      </c>
      <c r="M64">
        <f t="shared" si="3"/>
        <v>60.73</v>
      </c>
      <c r="N64">
        <f t="shared" si="4"/>
        <v>16.49</v>
      </c>
      <c r="O64">
        <f t="shared" si="5"/>
        <v>16.53</v>
      </c>
    </row>
    <row r="65" spans="1:15">
      <c r="A65">
        <v>7</v>
      </c>
      <c r="B65">
        <v>1152</v>
      </c>
      <c r="C65">
        <v>61.23</v>
      </c>
      <c r="D65">
        <v>17.43</v>
      </c>
      <c r="E65">
        <v>17.04</v>
      </c>
      <c r="F65">
        <v>55.36</v>
      </c>
      <c r="G65">
        <v>50.56</v>
      </c>
      <c r="H65">
        <v>50.14</v>
      </c>
      <c r="I65">
        <v>17</v>
      </c>
      <c r="M65">
        <f t="shared" si="3"/>
        <v>61.23</v>
      </c>
      <c r="N65">
        <f t="shared" si="4"/>
        <v>17</v>
      </c>
      <c r="O65">
        <f t="shared" si="5"/>
        <v>17.04</v>
      </c>
    </row>
    <row r="66" spans="1:15">
      <c r="A66">
        <v>7</v>
      </c>
      <c r="B66">
        <v>1216</v>
      </c>
      <c r="C66">
        <v>61.7</v>
      </c>
      <c r="D66">
        <v>17.93</v>
      </c>
      <c r="E66">
        <v>17.55</v>
      </c>
      <c r="F66">
        <v>62.15</v>
      </c>
      <c r="G66">
        <v>56.88</v>
      </c>
      <c r="H66">
        <v>56.75</v>
      </c>
      <c r="I66">
        <v>17.54</v>
      </c>
      <c r="M66">
        <f t="shared" si="3"/>
        <v>61.7</v>
      </c>
      <c r="N66">
        <f t="shared" si="4"/>
        <v>17.54</v>
      </c>
      <c r="O66">
        <f t="shared" si="5"/>
        <v>17.55</v>
      </c>
    </row>
    <row r="67" spans="1:15">
      <c r="A67">
        <v>7</v>
      </c>
      <c r="B67">
        <v>1280</v>
      </c>
      <c r="C67">
        <v>62.14</v>
      </c>
      <c r="D67">
        <v>18.35</v>
      </c>
      <c r="E67">
        <v>17.99</v>
      </c>
      <c r="F67">
        <v>68.46</v>
      </c>
      <c r="G67">
        <v>62.93</v>
      </c>
      <c r="H67">
        <v>62.97</v>
      </c>
      <c r="I67">
        <v>17.99</v>
      </c>
      <c r="M67">
        <f t="shared" ref="M67:M98" si="6">C67</f>
        <v>62.14</v>
      </c>
      <c r="N67">
        <f t="shared" ref="N67:N98" si="7">I67</f>
        <v>17.99</v>
      </c>
      <c r="O67">
        <f t="shared" ref="O67:O98" si="8">E67</f>
        <v>17.99</v>
      </c>
    </row>
    <row r="68" spans="1:15">
      <c r="A68">
        <v>7</v>
      </c>
      <c r="B68">
        <v>1344</v>
      </c>
      <c r="C68">
        <v>62.57</v>
      </c>
      <c r="D68">
        <v>18.75</v>
      </c>
      <c r="E68">
        <v>18.42</v>
      </c>
      <c r="F68">
        <v>74.99</v>
      </c>
      <c r="G68">
        <v>69.47</v>
      </c>
      <c r="H68">
        <v>69.5</v>
      </c>
      <c r="I68">
        <v>18.42</v>
      </c>
      <c r="M68">
        <f t="shared" si="6"/>
        <v>62.57</v>
      </c>
      <c r="N68">
        <f t="shared" si="7"/>
        <v>18.42</v>
      </c>
      <c r="O68">
        <f t="shared" si="8"/>
        <v>18.42</v>
      </c>
    </row>
    <row r="69" spans="1:15">
      <c r="A69">
        <v>7</v>
      </c>
      <c r="B69">
        <v>1408</v>
      </c>
      <c r="C69">
        <v>62.97</v>
      </c>
      <c r="D69">
        <v>19.12</v>
      </c>
      <c r="E69">
        <v>18.82</v>
      </c>
      <c r="F69">
        <v>81.6</v>
      </c>
      <c r="G69">
        <v>76.25</v>
      </c>
      <c r="H69">
        <v>76.2</v>
      </c>
      <c r="I69">
        <v>18.82</v>
      </c>
      <c r="M69">
        <f t="shared" si="6"/>
        <v>62.97</v>
      </c>
      <c r="N69">
        <f t="shared" si="7"/>
        <v>18.82</v>
      </c>
      <c r="O69">
        <f t="shared" si="8"/>
        <v>18.82</v>
      </c>
    </row>
    <row r="70" spans="1:15">
      <c r="A70">
        <v>7</v>
      </c>
      <c r="B70">
        <v>1472</v>
      </c>
      <c r="C70">
        <v>63.36</v>
      </c>
      <c r="D70">
        <v>19.46</v>
      </c>
      <c r="E70">
        <v>19.19</v>
      </c>
      <c r="F70">
        <v>88.24</v>
      </c>
      <c r="G70">
        <v>82.95</v>
      </c>
      <c r="H70">
        <v>83.03</v>
      </c>
      <c r="I70">
        <v>19.19</v>
      </c>
      <c r="M70">
        <f t="shared" si="6"/>
        <v>63.36</v>
      </c>
      <c r="N70">
        <f t="shared" si="7"/>
        <v>19.19</v>
      </c>
      <c r="O70">
        <f t="shared" si="8"/>
        <v>19.19</v>
      </c>
    </row>
    <row r="71" spans="1:15">
      <c r="A71">
        <v>7</v>
      </c>
      <c r="B71">
        <v>1536</v>
      </c>
      <c r="C71">
        <v>63.73</v>
      </c>
      <c r="D71">
        <v>19.78</v>
      </c>
      <c r="E71">
        <v>19.55</v>
      </c>
      <c r="F71">
        <v>95.07</v>
      </c>
      <c r="G71">
        <v>90.19</v>
      </c>
      <c r="H71">
        <v>90.15</v>
      </c>
      <c r="I71">
        <v>19.55</v>
      </c>
      <c r="M71">
        <f t="shared" si="6"/>
        <v>63.73</v>
      </c>
      <c r="N71">
        <f t="shared" si="7"/>
        <v>19.55</v>
      </c>
      <c r="O71">
        <f t="shared" si="8"/>
        <v>19.55</v>
      </c>
    </row>
    <row r="72" spans="1:15">
      <c r="A72">
        <v>7</v>
      </c>
      <c r="B72">
        <v>1600</v>
      </c>
      <c r="C72">
        <v>64.08</v>
      </c>
      <c r="D72">
        <v>20.11</v>
      </c>
      <c r="E72">
        <v>19.91</v>
      </c>
      <c r="F72">
        <v>102.52</v>
      </c>
      <c r="G72">
        <v>97.92</v>
      </c>
      <c r="H72">
        <v>98.04</v>
      </c>
      <c r="I72">
        <v>19.91</v>
      </c>
      <c r="M72">
        <f t="shared" si="6"/>
        <v>64.08</v>
      </c>
      <c r="N72">
        <f t="shared" si="7"/>
        <v>19.91</v>
      </c>
      <c r="O72">
        <f t="shared" si="8"/>
        <v>19.91</v>
      </c>
    </row>
    <row r="73" spans="1:15">
      <c r="A73">
        <v>7</v>
      </c>
      <c r="B73">
        <v>1664</v>
      </c>
      <c r="C73">
        <v>64.42</v>
      </c>
      <c r="D73">
        <v>20.41</v>
      </c>
      <c r="E73">
        <v>20.27</v>
      </c>
      <c r="F73">
        <v>110.01</v>
      </c>
      <c r="G73">
        <v>106.36</v>
      </c>
      <c r="H73">
        <v>106.09</v>
      </c>
      <c r="I73">
        <v>20.26</v>
      </c>
      <c r="M73">
        <f t="shared" si="6"/>
        <v>64.42</v>
      </c>
      <c r="N73">
        <f t="shared" si="7"/>
        <v>20.26</v>
      </c>
      <c r="O73">
        <f t="shared" si="8"/>
        <v>20.27</v>
      </c>
    </row>
    <row r="74" spans="1:15">
      <c r="A74">
        <v>7</v>
      </c>
      <c r="B74">
        <v>1728</v>
      </c>
      <c r="C74">
        <v>64.75</v>
      </c>
      <c r="D74">
        <v>20.7</v>
      </c>
      <c r="E74">
        <v>20.58</v>
      </c>
      <c r="F74">
        <v>117.39</v>
      </c>
      <c r="G74">
        <v>114.32</v>
      </c>
      <c r="H74">
        <v>114.13</v>
      </c>
      <c r="I74">
        <v>20.57</v>
      </c>
      <c r="M74">
        <f t="shared" si="6"/>
        <v>64.75</v>
      </c>
      <c r="N74">
        <f t="shared" si="7"/>
        <v>20.57</v>
      </c>
      <c r="O74">
        <f t="shared" si="8"/>
        <v>20.58</v>
      </c>
    </row>
    <row r="75" spans="1:15">
      <c r="A75">
        <v>7</v>
      </c>
      <c r="B75">
        <v>1792</v>
      </c>
      <c r="C75">
        <v>65.07</v>
      </c>
      <c r="D75">
        <v>20.97</v>
      </c>
      <c r="E75">
        <v>20.88</v>
      </c>
      <c r="F75">
        <v>124.96</v>
      </c>
      <c r="G75">
        <v>122.53</v>
      </c>
      <c r="H75">
        <v>122.5</v>
      </c>
      <c r="I75">
        <v>20.88</v>
      </c>
      <c r="M75">
        <f t="shared" si="6"/>
        <v>65.07</v>
      </c>
      <c r="N75">
        <f t="shared" si="7"/>
        <v>20.88</v>
      </c>
      <c r="O75">
        <f t="shared" si="8"/>
        <v>20.88</v>
      </c>
    </row>
    <row r="76" spans="1:15">
      <c r="A76">
        <v>7</v>
      </c>
      <c r="B76">
        <v>1856</v>
      </c>
      <c r="C76">
        <v>65.37</v>
      </c>
      <c r="D76">
        <v>21.24</v>
      </c>
      <c r="E76">
        <v>21.18</v>
      </c>
      <c r="F76">
        <v>132.93</v>
      </c>
      <c r="G76">
        <v>131.2</v>
      </c>
      <c r="H76">
        <v>131.44</v>
      </c>
      <c r="I76">
        <v>21.19</v>
      </c>
      <c r="M76">
        <f t="shared" si="6"/>
        <v>65.37</v>
      </c>
      <c r="N76">
        <f t="shared" si="7"/>
        <v>21.19</v>
      </c>
      <c r="O76">
        <f t="shared" si="8"/>
        <v>21.18</v>
      </c>
    </row>
    <row r="77" spans="1:15">
      <c r="A77">
        <v>7</v>
      </c>
      <c r="B77">
        <v>1920</v>
      </c>
      <c r="C77">
        <v>65.67</v>
      </c>
      <c r="D77">
        <v>21.49</v>
      </c>
      <c r="E77">
        <v>21.46</v>
      </c>
      <c r="F77">
        <v>140.97</v>
      </c>
      <c r="G77">
        <v>139.98</v>
      </c>
      <c r="H77">
        <v>140.61</v>
      </c>
      <c r="I77">
        <v>21.48</v>
      </c>
      <c r="M77">
        <f t="shared" si="6"/>
        <v>65.67</v>
      </c>
      <c r="N77">
        <f t="shared" si="7"/>
        <v>21.48</v>
      </c>
      <c r="O77">
        <f t="shared" si="8"/>
        <v>21.46</v>
      </c>
    </row>
    <row r="78" spans="1:15">
      <c r="A78">
        <v>7</v>
      </c>
      <c r="B78">
        <v>1984</v>
      </c>
      <c r="C78">
        <v>65.95</v>
      </c>
      <c r="D78">
        <v>21.69</v>
      </c>
      <c r="E78">
        <v>21.72</v>
      </c>
      <c r="F78">
        <v>147.51</v>
      </c>
      <c r="G78">
        <v>148.67</v>
      </c>
      <c r="H78">
        <v>148.16</v>
      </c>
      <c r="I78">
        <v>21.71</v>
      </c>
      <c r="M78">
        <f t="shared" si="6"/>
        <v>65.95</v>
      </c>
      <c r="N78">
        <f t="shared" si="7"/>
        <v>21.71</v>
      </c>
      <c r="O78">
        <f t="shared" si="8"/>
        <v>21.72</v>
      </c>
    </row>
    <row r="79" spans="1:15">
      <c r="A79">
        <v>7</v>
      </c>
      <c r="B79">
        <v>2048</v>
      </c>
      <c r="C79">
        <v>66.23</v>
      </c>
      <c r="D79">
        <v>21.92</v>
      </c>
      <c r="E79">
        <v>21.98</v>
      </c>
      <c r="F79">
        <v>155.55</v>
      </c>
      <c r="G79">
        <v>157.92</v>
      </c>
      <c r="H79">
        <v>157.58</v>
      </c>
      <c r="I79">
        <v>21.97</v>
      </c>
      <c r="M79">
        <f t="shared" si="6"/>
        <v>66.23</v>
      </c>
      <c r="N79">
        <f t="shared" si="7"/>
        <v>21.97</v>
      </c>
      <c r="O79">
        <f t="shared" si="8"/>
        <v>21.98</v>
      </c>
    </row>
    <row r="80" spans="1:15">
      <c r="A80">
        <v>7</v>
      </c>
      <c r="B80">
        <v>2112</v>
      </c>
      <c r="C80">
        <v>66.49</v>
      </c>
      <c r="D80">
        <v>22.13</v>
      </c>
      <c r="E80">
        <v>22.25</v>
      </c>
      <c r="F80">
        <v>163.23</v>
      </c>
      <c r="G80">
        <v>167.7</v>
      </c>
      <c r="H80">
        <v>166.7</v>
      </c>
      <c r="I80">
        <v>22.22</v>
      </c>
      <c r="M80">
        <f t="shared" si="6"/>
        <v>66.49</v>
      </c>
      <c r="N80">
        <f t="shared" si="7"/>
        <v>22.22</v>
      </c>
      <c r="O80">
        <f t="shared" si="8"/>
        <v>22.25</v>
      </c>
    </row>
    <row r="81" spans="1:15">
      <c r="A81">
        <v>7</v>
      </c>
      <c r="B81">
        <v>2176</v>
      </c>
      <c r="C81">
        <v>66.75</v>
      </c>
      <c r="D81">
        <v>22.33</v>
      </c>
      <c r="E81">
        <v>22.47</v>
      </c>
      <c r="F81">
        <v>170.98</v>
      </c>
      <c r="G81">
        <v>176.79</v>
      </c>
      <c r="H81">
        <v>176.03</v>
      </c>
      <c r="I81">
        <v>22.46</v>
      </c>
      <c r="M81">
        <f t="shared" si="6"/>
        <v>66.75</v>
      </c>
      <c r="N81">
        <f t="shared" si="7"/>
        <v>22.46</v>
      </c>
      <c r="O81">
        <f t="shared" si="8"/>
        <v>22.47</v>
      </c>
    </row>
    <row r="82" spans="1:15">
      <c r="A82">
        <v>7</v>
      </c>
      <c r="B82">
        <v>2240</v>
      </c>
      <c r="C82">
        <v>67</v>
      </c>
      <c r="D82">
        <v>22.52</v>
      </c>
      <c r="E82">
        <v>22.69</v>
      </c>
      <c r="F82">
        <v>178.51</v>
      </c>
      <c r="G82">
        <v>185.72</v>
      </c>
      <c r="H82">
        <v>185.22</v>
      </c>
      <c r="I82">
        <v>22.68</v>
      </c>
      <c r="M82">
        <f t="shared" si="6"/>
        <v>67</v>
      </c>
      <c r="N82">
        <f t="shared" si="7"/>
        <v>22.68</v>
      </c>
      <c r="O82">
        <f t="shared" si="8"/>
        <v>22.69</v>
      </c>
    </row>
    <row r="83" spans="1:15">
      <c r="A83">
        <v>7</v>
      </c>
      <c r="B83">
        <v>2304</v>
      </c>
      <c r="C83">
        <v>67.25</v>
      </c>
      <c r="D83">
        <v>22.65</v>
      </c>
      <c r="E83">
        <v>22.9</v>
      </c>
      <c r="F83">
        <v>184.19</v>
      </c>
      <c r="G83">
        <v>195.08</v>
      </c>
      <c r="H83">
        <v>192.23</v>
      </c>
      <c r="I83">
        <v>22.84</v>
      </c>
      <c r="M83">
        <f t="shared" si="6"/>
        <v>67.25</v>
      </c>
      <c r="N83">
        <f t="shared" si="7"/>
        <v>22.84</v>
      </c>
      <c r="O83">
        <f t="shared" si="8"/>
        <v>22.9</v>
      </c>
    </row>
    <row r="84" spans="1:15">
      <c r="A84">
        <v>7</v>
      </c>
      <c r="B84">
        <v>2368</v>
      </c>
      <c r="C84">
        <v>67.49</v>
      </c>
      <c r="D84">
        <v>22.73</v>
      </c>
      <c r="E84">
        <v>23.02</v>
      </c>
      <c r="F84">
        <v>187.62</v>
      </c>
      <c r="G84">
        <v>200.45</v>
      </c>
      <c r="H84">
        <v>196.51</v>
      </c>
      <c r="I84">
        <v>22.93</v>
      </c>
      <c r="M84">
        <f t="shared" si="6"/>
        <v>67.49</v>
      </c>
      <c r="N84">
        <f t="shared" si="7"/>
        <v>22.93</v>
      </c>
      <c r="O84">
        <f t="shared" si="8"/>
        <v>23.02</v>
      </c>
    </row>
    <row r="85" spans="1:15">
      <c r="A85">
        <v>7</v>
      </c>
      <c r="B85">
        <v>2432</v>
      </c>
      <c r="C85">
        <v>67.72</v>
      </c>
      <c r="D85">
        <v>22.89</v>
      </c>
      <c r="E85">
        <v>23.21</v>
      </c>
      <c r="F85">
        <v>194.63</v>
      </c>
      <c r="G85">
        <v>209.5</v>
      </c>
      <c r="H85">
        <v>205.31</v>
      </c>
      <c r="I85">
        <v>23.12</v>
      </c>
      <c r="M85">
        <f t="shared" si="6"/>
        <v>67.72</v>
      </c>
      <c r="N85">
        <f t="shared" si="7"/>
        <v>23.12</v>
      </c>
      <c r="O85">
        <f t="shared" si="8"/>
        <v>23.21</v>
      </c>
    </row>
    <row r="86" spans="1:15">
      <c r="A86">
        <v>7</v>
      </c>
      <c r="B86">
        <v>2496</v>
      </c>
      <c r="C86">
        <v>67.94</v>
      </c>
      <c r="D86">
        <v>23.05</v>
      </c>
      <c r="E86">
        <v>23.4</v>
      </c>
      <c r="F86">
        <v>201.83</v>
      </c>
      <c r="G86">
        <v>218.59</v>
      </c>
      <c r="H86">
        <v>214.45</v>
      </c>
      <c r="I86">
        <v>23.31</v>
      </c>
      <c r="M86">
        <f t="shared" si="6"/>
        <v>67.94</v>
      </c>
      <c r="N86">
        <f t="shared" si="7"/>
        <v>23.31</v>
      </c>
      <c r="O86">
        <f t="shared" si="8"/>
        <v>23.4</v>
      </c>
    </row>
    <row r="87" spans="1:15">
      <c r="A87">
        <v>7</v>
      </c>
      <c r="B87">
        <v>2560</v>
      </c>
      <c r="C87">
        <v>68.16</v>
      </c>
      <c r="D87">
        <v>23.21</v>
      </c>
      <c r="E87">
        <v>23.57</v>
      </c>
      <c r="F87">
        <v>209.28</v>
      </c>
      <c r="G87">
        <v>227.42</v>
      </c>
      <c r="H87">
        <v>224.05</v>
      </c>
      <c r="I87">
        <v>23.5</v>
      </c>
      <c r="M87">
        <f t="shared" si="6"/>
        <v>68.16</v>
      </c>
      <c r="N87">
        <f t="shared" si="7"/>
        <v>23.5</v>
      </c>
      <c r="O87">
        <f t="shared" si="8"/>
        <v>23.57</v>
      </c>
    </row>
    <row r="88" spans="1:15">
      <c r="A88">
        <v>7</v>
      </c>
      <c r="B88">
        <v>2624</v>
      </c>
      <c r="C88">
        <v>68.38</v>
      </c>
      <c r="D88">
        <v>23.35</v>
      </c>
      <c r="E88">
        <v>23.72</v>
      </c>
      <c r="F88">
        <v>216.22</v>
      </c>
      <c r="G88">
        <v>235.76</v>
      </c>
      <c r="H88">
        <v>233.08</v>
      </c>
      <c r="I88">
        <v>23.68</v>
      </c>
      <c r="M88">
        <f t="shared" si="6"/>
        <v>68.38</v>
      </c>
      <c r="N88">
        <f t="shared" si="7"/>
        <v>23.68</v>
      </c>
      <c r="O88">
        <f t="shared" si="8"/>
        <v>23.72</v>
      </c>
    </row>
    <row r="89" spans="1:15">
      <c r="A89">
        <v>7</v>
      </c>
      <c r="B89">
        <v>2688</v>
      </c>
      <c r="C89">
        <v>68.59</v>
      </c>
      <c r="D89">
        <v>23.45</v>
      </c>
      <c r="E89">
        <v>23.88</v>
      </c>
      <c r="F89">
        <v>221.09</v>
      </c>
      <c r="G89">
        <v>244.29</v>
      </c>
      <c r="H89">
        <v>239.48</v>
      </c>
      <c r="I89">
        <v>23.79</v>
      </c>
      <c r="M89">
        <f t="shared" si="6"/>
        <v>68.59</v>
      </c>
      <c r="N89">
        <f t="shared" si="7"/>
        <v>23.79</v>
      </c>
      <c r="O89">
        <f t="shared" si="8"/>
        <v>23.88</v>
      </c>
    </row>
    <row r="90" spans="1:15">
      <c r="A90">
        <v>7</v>
      </c>
      <c r="B90">
        <v>2752</v>
      </c>
      <c r="C90">
        <v>68.79</v>
      </c>
      <c r="D90">
        <v>23.58</v>
      </c>
      <c r="E90">
        <v>24.03</v>
      </c>
      <c r="F90">
        <v>227.96</v>
      </c>
      <c r="G90">
        <v>253.15</v>
      </c>
      <c r="H90">
        <v>248.59</v>
      </c>
      <c r="I90">
        <v>23.95</v>
      </c>
      <c r="M90">
        <f t="shared" si="6"/>
        <v>68.79</v>
      </c>
      <c r="N90">
        <f t="shared" si="7"/>
        <v>23.95</v>
      </c>
      <c r="O90">
        <f t="shared" si="8"/>
        <v>24.03</v>
      </c>
    </row>
    <row r="91" spans="1:15">
      <c r="A91">
        <v>7</v>
      </c>
      <c r="B91">
        <v>2816</v>
      </c>
      <c r="C91">
        <v>68.99</v>
      </c>
      <c r="D91">
        <v>23.7</v>
      </c>
      <c r="E91">
        <v>24.17</v>
      </c>
      <c r="F91">
        <v>234.23</v>
      </c>
      <c r="G91">
        <v>261.06</v>
      </c>
      <c r="H91">
        <v>257</v>
      </c>
      <c r="I91">
        <v>24.1</v>
      </c>
      <c r="M91">
        <f t="shared" si="6"/>
        <v>68.99</v>
      </c>
      <c r="N91">
        <f t="shared" si="7"/>
        <v>24.1</v>
      </c>
      <c r="O91">
        <f t="shared" si="8"/>
        <v>24.17</v>
      </c>
    </row>
    <row r="92" spans="1:15">
      <c r="A92">
        <v>7</v>
      </c>
      <c r="B92">
        <v>2880</v>
      </c>
      <c r="C92">
        <v>69.19</v>
      </c>
      <c r="D92">
        <v>23.83</v>
      </c>
      <c r="E92">
        <v>24.3</v>
      </c>
      <c r="F92">
        <v>241.46</v>
      </c>
      <c r="G92">
        <v>269.14</v>
      </c>
      <c r="H92">
        <v>266.81</v>
      </c>
      <c r="I92">
        <v>24.26</v>
      </c>
      <c r="M92">
        <f t="shared" si="6"/>
        <v>69.19</v>
      </c>
      <c r="N92">
        <f t="shared" si="7"/>
        <v>24.26</v>
      </c>
      <c r="O92">
        <f t="shared" si="8"/>
        <v>24.3</v>
      </c>
    </row>
    <row r="93" spans="1:15">
      <c r="A93">
        <v>7</v>
      </c>
      <c r="B93">
        <v>2944</v>
      </c>
      <c r="C93">
        <v>69.38</v>
      </c>
      <c r="D93">
        <v>23.89</v>
      </c>
      <c r="E93">
        <v>24.42</v>
      </c>
      <c r="F93">
        <v>245.15</v>
      </c>
      <c r="G93">
        <v>276.57</v>
      </c>
      <c r="H93">
        <v>271.86</v>
      </c>
      <c r="I93">
        <v>24.34</v>
      </c>
      <c r="M93">
        <f t="shared" si="6"/>
        <v>69.38</v>
      </c>
      <c r="N93">
        <f t="shared" si="7"/>
        <v>24.34</v>
      </c>
      <c r="O93">
        <f t="shared" si="8"/>
        <v>24.42</v>
      </c>
    </row>
    <row r="94" spans="1:15">
      <c r="A94">
        <v>7</v>
      </c>
      <c r="B94">
        <v>3008</v>
      </c>
      <c r="C94">
        <v>69.57</v>
      </c>
      <c r="D94">
        <v>23.99</v>
      </c>
      <c r="E94">
        <v>24.52</v>
      </c>
      <c r="F94">
        <v>250.36</v>
      </c>
      <c r="G94">
        <v>282.81</v>
      </c>
      <c r="H94">
        <v>279.02</v>
      </c>
      <c r="I94">
        <v>24.46</v>
      </c>
      <c r="M94">
        <f t="shared" si="6"/>
        <v>69.57</v>
      </c>
      <c r="N94">
        <f t="shared" si="7"/>
        <v>24.46</v>
      </c>
      <c r="O94">
        <f t="shared" si="8"/>
        <v>24.52</v>
      </c>
    </row>
    <row r="95" spans="1:15">
      <c r="A95">
        <v>7</v>
      </c>
      <c r="B95">
        <v>3072</v>
      </c>
      <c r="C95">
        <v>69.75</v>
      </c>
      <c r="D95">
        <v>24.08</v>
      </c>
      <c r="E95">
        <v>24.62</v>
      </c>
      <c r="F95">
        <v>255.64</v>
      </c>
      <c r="G95">
        <v>289.82</v>
      </c>
      <c r="H95">
        <v>286.34</v>
      </c>
      <c r="I95">
        <v>24.57</v>
      </c>
      <c r="M95">
        <f t="shared" si="6"/>
        <v>69.75</v>
      </c>
      <c r="N95">
        <f t="shared" si="7"/>
        <v>24.57</v>
      </c>
      <c r="O95">
        <f t="shared" si="8"/>
        <v>24.62</v>
      </c>
    </row>
    <row r="96" spans="1:15">
      <c r="A96">
        <v>7</v>
      </c>
      <c r="B96">
        <v>3136</v>
      </c>
      <c r="C96">
        <v>69.93</v>
      </c>
      <c r="D96">
        <v>24.18</v>
      </c>
      <c r="E96">
        <v>24.72</v>
      </c>
      <c r="F96">
        <v>261.65</v>
      </c>
      <c r="G96">
        <v>296.38</v>
      </c>
      <c r="H96">
        <v>294.77</v>
      </c>
      <c r="I96">
        <v>24.69</v>
      </c>
      <c r="M96">
        <f t="shared" si="6"/>
        <v>69.93</v>
      </c>
      <c r="N96">
        <f t="shared" si="7"/>
        <v>24.69</v>
      </c>
      <c r="O96">
        <f t="shared" si="8"/>
        <v>24.72</v>
      </c>
    </row>
    <row r="97" spans="1:15">
      <c r="A97">
        <v>7</v>
      </c>
      <c r="B97">
        <v>3200</v>
      </c>
      <c r="C97">
        <v>70.1</v>
      </c>
      <c r="D97">
        <v>24.24</v>
      </c>
      <c r="E97">
        <v>24.81</v>
      </c>
      <c r="F97">
        <v>265.71</v>
      </c>
      <c r="G97">
        <v>302.36</v>
      </c>
      <c r="H97">
        <v>300.49</v>
      </c>
      <c r="I97">
        <v>24.78</v>
      </c>
      <c r="M97">
        <f t="shared" si="6"/>
        <v>70.1</v>
      </c>
      <c r="N97">
        <f t="shared" si="7"/>
        <v>24.78</v>
      </c>
      <c r="O97">
        <f t="shared" si="8"/>
        <v>24.81</v>
      </c>
    </row>
    <row r="98" spans="1:15">
      <c r="A98">
        <v>7</v>
      </c>
      <c r="B98">
        <v>3264</v>
      </c>
      <c r="C98">
        <v>70.28</v>
      </c>
      <c r="D98">
        <v>24.31</v>
      </c>
      <c r="E98">
        <v>24.89</v>
      </c>
      <c r="F98">
        <v>269.99</v>
      </c>
      <c r="G98">
        <v>308.43</v>
      </c>
      <c r="H98">
        <v>306.57</v>
      </c>
      <c r="I98">
        <v>24.87</v>
      </c>
      <c r="M98">
        <f t="shared" si="6"/>
        <v>70.28</v>
      </c>
      <c r="N98">
        <f t="shared" si="7"/>
        <v>24.87</v>
      </c>
      <c r="O98">
        <f t="shared" si="8"/>
        <v>24.89</v>
      </c>
    </row>
    <row r="99" spans="1:15">
      <c r="A99">
        <v>7</v>
      </c>
      <c r="B99">
        <v>3328</v>
      </c>
      <c r="C99">
        <v>70.44</v>
      </c>
      <c r="D99">
        <v>24.37</v>
      </c>
      <c r="E99">
        <v>24.97</v>
      </c>
      <c r="F99">
        <v>273.35</v>
      </c>
      <c r="G99">
        <v>314.35</v>
      </c>
      <c r="H99">
        <v>311.37</v>
      </c>
      <c r="I99">
        <v>24.93</v>
      </c>
      <c r="M99">
        <f t="shared" ref="M99:M130" si="9">C99</f>
        <v>70.44</v>
      </c>
      <c r="N99">
        <f t="shared" ref="N99:N130" si="10">I99</f>
        <v>24.93</v>
      </c>
      <c r="O99">
        <f t="shared" ref="O99:O130" si="11">E99</f>
        <v>24.97</v>
      </c>
    </row>
    <row r="100" spans="1:15">
      <c r="A100">
        <v>7</v>
      </c>
      <c r="B100">
        <v>3392</v>
      </c>
      <c r="C100">
        <v>70.61</v>
      </c>
      <c r="D100">
        <v>24.43</v>
      </c>
      <c r="E100">
        <v>25.05</v>
      </c>
      <c r="F100">
        <v>277.15</v>
      </c>
      <c r="G100">
        <v>320.21</v>
      </c>
      <c r="H100">
        <v>316.82</v>
      </c>
      <c r="I100">
        <v>25.01</v>
      </c>
      <c r="M100">
        <f t="shared" si="9"/>
        <v>70.61</v>
      </c>
      <c r="N100">
        <f t="shared" si="10"/>
        <v>25.01</v>
      </c>
      <c r="O100">
        <f t="shared" si="11"/>
        <v>25.05</v>
      </c>
    </row>
    <row r="101" spans="1:15">
      <c r="A101">
        <v>7</v>
      </c>
      <c r="B101">
        <v>3456</v>
      </c>
      <c r="C101">
        <v>70.77</v>
      </c>
      <c r="D101">
        <v>24.52</v>
      </c>
      <c r="E101">
        <v>25.12</v>
      </c>
      <c r="F101">
        <v>283.24</v>
      </c>
      <c r="G101">
        <v>325.41</v>
      </c>
      <c r="H101">
        <v>325.63</v>
      </c>
      <c r="I101">
        <v>25.13</v>
      </c>
      <c r="M101">
        <f t="shared" si="9"/>
        <v>70.77</v>
      </c>
      <c r="N101">
        <f t="shared" si="10"/>
        <v>25.13</v>
      </c>
      <c r="O101">
        <f t="shared" si="11"/>
        <v>25.12</v>
      </c>
    </row>
    <row r="102" spans="1:15">
      <c r="A102">
        <v>7</v>
      </c>
      <c r="B102">
        <v>3520</v>
      </c>
      <c r="C102">
        <v>70.93</v>
      </c>
      <c r="D102">
        <v>24.56</v>
      </c>
      <c r="E102">
        <v>25.19</v>
      </c>
      <c r="F102">
        <v>285.9</v>
      </c>
      <c r="G102">
        <v>330.58</v>
      </c>
      <c r="H102">
        <v>329.5</v>
      </c>
      <c r="I102">
        <v>25.18</v>
      </c>
      <c r="M102">
        <f t="shared" si="9"/>
        <v>70.93</v>
      </c>
      <c r="N102">
        <f t="shared" si="10"/>
        <v>25.18</v>
      </c>
      <c r="O102">
        <f t="shared" si="11"/>
        <v>25.19</v>
      </c>
    </row>
    <row r="103" spans="1:15">
      <c r="A103">
        <v>7</v>
      </c>
      <c r="B103">
        <v>3584</v>
      </c>
      <c r="C103">
        <v>71.09</v>
      </c>
      <c r="D103">
        <v>24.62</v>
      </c>
      <c r="E103">
        <v>25.26</v>
      </c>
      <c r="F103">
        <v>289.4</v>
      </c>
      <c r="G103">
        <v>335.68</v>
      </c>
      <c r="H103">
        <v>334.62</v>
      </c>
      <c r="I103">
        <v>25.25</v>
      </c>
      <c r="M103">
        <f t="shared" si="9"/>
        <v>71.09</v>
      </c>
      <c r="N103">
        <f t="shared" si="10"/>
        <v>25.25</v>
      </c>
      <c r="O103">
        <f t="shared" si="11"/>
        <v>25.26</v>
      </c>
    </row>
    <row r="104" spans="1:15">
      <c r="A104">
        <v>7</v>
      </c>
      <c r="B104">
        <v>3648</v>
      </c>
      <c r="C104">
        <v>71.24</v>
      </c>
      <c r="D104">
        <v>24.68</v>
      </c>
      <c r="E104">
        <v>25.32</v>
      </c>
      <c r="F104">
        <v>294.02</v>
      </c>
      <c r="G104">
        <v>340.75</v>
      </c>
      <c r="H104">
        <v>341.41</v>
      </c>
      <c r="I104">
        <v>25.33</v>
      </c>
      <c r="M104">
        <f t="shared" si="9"/>
        <v>71.24</v>
      </c>
      <c r="N104">
        <f t="shared" si="10"/>
        <v>25.33</v>
      </c>
      <c r="O104">
        <f t="shared" si="11"/>
        <v>25.32</v>
      </c>
    </row>
    <row r="105" spans="1:15">
      <c r="A105">
        <v>7</v>
      </c>
      <c r="B105">
        <v>3712</v>
      </c>
      <c r="C105">
        <v>71.39</v>
      </c>
      <c r="D105">
        <v>24.73</v>
      </c>
      <c r="E105">
        <v>25.38</v>
      </c>
      <c r="F105">
        <v>296.93</v>
      </c>
      <c r="G105">
        <v>345.39</v>
      </c>
      <c r="H105">
        <v>345.72</v>
      </c>
      <c r="I105">
        <v>25.39</v>
      </c>
      <c r="M105">
        <f t="shared" si="9"/>
        <v>71.39</v>
      </c>
      <c r="N105">
        <f t="shared" si="10"/>
        <v>25.39</v>
      </c>
      <c r="O105">
        <f t="shared" si="11"/>
        <v>25.38</v>
      </c>
    </row>
    <row r="106" spans="1:15">
      <c r="A106">
        <v>7</v>
      </c>
      <c r="B106">
        <v>3776</v>
      </c>
      <c r="C106">
        <v>71.54</v>
      </c>
      <c r="D106">
        <v>24.77</v>
      </c>
      <c r="E106">
        <v>25.44</v>
      </c>
      <c r="F106">
        <v>299.88</v>
      </c>
      <c r="G106">
        <v>349.56</v>
      </c>
      <c r="H106">
        <v>350.11</v>
      </c>
      <c r="I106">
        <v>25.44</v>
      </c>
      <c r="M106">
        <f t="shared" si="9"/>
        <v>71.54</v>
      </c>
      <c r="N106">
        <f t="shared" si="10"/>
        <v>25.44</v>
      </c>
      <c r="O106">
        <f t="shared" si="11"/>
        <v>25.44</v>
      </c>
    </row>
    <row r="107" spans="1:15">
      <c r="A107">
        <v>7</v>
      </c>
      <c r="B107">
        <v>3840</v>
      </c>
      <c r="C107">
        <v>71.69</v>
      </c>
      <c r="D107">
        <v>24.81</v>
      </c>
      <c r="E107">
        <v>25.49</v>
      </c>
      <c r="F107">
        <v>302.58</v>
      </c>
      <c r="G107">
        <v>354.09</v>
      </c>
      <c r="H107">
        <v>354.12</v>
      </c>
      <c r="I107">
        <v>25.49</v>
      </c>
      <c r="M107">
        <f t="shared" si="9"/>
        <v>71.69</v>
      </c>
      <c r="N107">
        <f t="shared" si="10"/>
        <v>25.49</v>
      </c>
      <c r="O107">
        <f t="shared" si="11"/>
        <v>25.49</v>
      </c>
    </row>
    <row r="108" spans="1:15">
      <c r="A108">
        <v>7</v>
      </c>
      <c r="B108">
        <v>3904</v>
      </c>
      <c r="C108">
        <v>71.83</v>
      </c>
      <c r="D108">
        <v>24.86</v>
      </c>
      <c r="E108">
        <v>25.54</v>
      </c>
      <c r="F108">
        <v>306.12</v>
      </c>
      <c r="G108">
        <v>358.26</v>
      </c>
      <c r="H108">
        <v>359.43</v>
      </c>
      <c r="I108">
        <v>25.56</v>
      </c>
      <c r="M108">
        <f t="shared" si="9"/>
        <v>71.83</v>
      </c>
      <c r="N108">
        <f t="shared" si="10"/>
        <v>25.56</v>
      </c>
      <c r="O108">
        <f t="shared" si="11"/>
        <v>25.54</v>
      </c>
    </row>
    <row r="109" spans="1:15">
      <c r="A109">
        <v>7</v>
      </c>
      <c r="B109">
        <v>3968</v>
      </c>
      <c r="C109">
        <v>71.97</v>
      </c>
      <c r="D109">
        <v>24.91</v>
      </c>
      <c r="E109">
        <v>25.59</v>
      </c>
      <c r="F109">
        <v>309.59</v>
      </c>
      <c r="G109">
        <v>362.34</v>
      </c>
      <c r="H109">
        <v>364.65</v>
      </c>
      <c r="I109">
        <v>25.62</v>
      </c>
      <c r="M109">
        <f t="shared" si="9"/>
        <v>71.97</v>
      </c>
      <c r="N109">
        <f t="shared" si="10"/>
        <v>25.62</v>
      </c>
      <c r="O109">
        <f t="shared" si="11"/>
        <v>25.59</v>
      </c>
    </row>
    <row r="110" spans="1:15">
      <c r="A110">
        <v>7</v>
      </c>
      <c r="B110">
        <v>4032</v>
      </c>
      <c r="C110">
        <v>72.11</v>
      </c>
      <c r="D110">
        <v>24.94</v>
      </c>
      <c r="E110">
        <v>25.64</v>
      </c>
      <c r="F110">
        <v>311.77</v>
      </c>
      <c r="G110">
        <v>366.34</v>
      </c>
      <c r="H110">
        <v>367.94</v>
      </c>
      <c r="I110">
        <v>25.66</v>
      </c>
      <c r="M110">
        <f t="shared" si="9"/>
        <v>72.11</v>
      </c>
      <c r="N110">
        <f t="shared" si="10"/>
        <v>25.66</v>
      </c>
      <c r="O110">
        <f t="shared" si="11"/>
        <v>25.64</v>
      </c>
    </row>
    <row r="111" spans="1:1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8</v>
      </c>
      <c r="M111" t="str">
        <f t="shared" si="9"/>
        <v> pwr_dig_dbm</v>
      </c>
      <c r="N111" t="str">
        <f t="shared" si="10"/>
        <v> pwr_msadc_dbm_cal</v>
      </c>
      <c r="O111" t="str">
        <f t="shared" si="11"/>
        <v> pwr_cmp180_dbm</v>
      </c>
    </row>
    <row r="112" spans="1:15">
      <c r="A112">
        <v>13</v>
      </c>
      <c r="B112">
        <v>640</v>
      </c>
      <c r="C112">
        <v>56.12</v>
      </c>
      <c r="D112">
        <v>11.34</v>
      </c>
      <c r="E112">
        <v>10.82</v>
      </c>
      <c r="F112">
        <v>13.62</v>
      </c>
      <c r="G112">
        <v>12.09</v>
      </c>
      <c r="H112">
        <v>11.73</v>
      </c>
      <c r="I112">
        <v>10.69</v>
      </c>
      <c r="M112">
        <f t="shared" si="9"/>
        <v>56.12</v>
      </c>
      <c r="N112">
        <f t="shared" si="10"/>
        <v>10.69</v>
      </c>
      <c r="O112">
        <f t="shared" si="11"/>
        <v>10.82</v>
      </c>
    </row>
    <row r="113" spans="1:15">
      <c r="A113">
        <v>13</v>
      </c>
      <c r="B113">
        <v>704</v>
      </c>
      <c r="C113">
        <v>56.95</v>
      </c>
      <c r="D113">
        <v>12.23</v>
      </c>
      <c r="E113">
        <v>11.71</v>
      </c>
      <c r="F113">
        <v>16.72</v>
      </c>
      <c r="G113">
        <v>14.82</v>
      </c>
      <c r="H113">
        <v>14.45</v>
      </c>
      <c r="I113">
        <v>11.6</v>
      </c>
      <c r="M113">
        <f t="shared" si="9"/>
        <v>56.95</v>
      </c>
      <c r="N113">
        <f t="shared" si="10"/>
        <v>11.6</v>
      </c>
      <c r="O113">
        <f t="shared" si="11"/>
        <v>11.71</v>
      </c>
    </row>
    <row r="114" spans="1:15">
      <c r="A114">
        <v>13</v>
      </c>
      <c r="B114">
        <v>768</v>
      </c>
      <c r="C114">
        <v>57.71</v>
      </c>
      <c r="D114">
        <v>13.05</v>
      </c>
      <c r="E114">
        <v>12.46</v>
      </c>
      <c r="F114">
        <v>20.19</v>
      </c>
      <c r="G114">
        <v>17.63</v>
      </c>
      <c r="H114">
        <v>17.53</v>
      </c>
      <c r="I114">
        <v>12.44</v>
      </c>
      <c r="M114">
        <f t="shared" si="9"/>
        <v>57.71</v>
      </c>
      <c r="N114">
        <f t="shared" si="10"/>
        <v>12.44</v>
      </c>
      <c r="O114">
        <f t="shared" si="11"/>
        <v>12.46</v>
      </c>
    </row>
    <row r="115" spans="1:15">
      <c r="A115">
        <v>13</v>
      </c>
      <c r="B115">
        <v>832</v>
      </c>
      <c r="C115">
        <v>58.4</v>
      </c>
      <c r="D115">
        <v>13.74</v>
      </c>
      <c r="E115">
        <v>13.15</v>
      </c>
      <c r="F115">
        <v>23.66</v>
      </c>
      <c r="G115">
        <v>20.65</v>
      </c>
      <c r="H115">
        <v>20.63</v>
      </c>
      <c r="I115">
        <v>13.14</v>
      </c>
      <c r="M115">
        <f t="shared" si="9"/>
        <v>58.4</v>
      </c>
      <c r="N115">
        <f t="shared" si="10"/>
        <v>13.14</v>
      </c>
      <c r="O115">
        <f t="shared" si="11"/>
        <v>13.15</v>
      </c>
    </row>
    <row r="116" spans="1:15">
      <c r="A116">
        <v>13</v>
      </c>
      <c r="B116">
        <v>896</v>
      </c>
      <c r="C116">
        <v>59.05</v>
      </c>
      <c r="D116">
        <v>14.32</v>
      </c>
      <c r="E116">
        <v>13.8</v>
      </c>
      <c r="F116">
        <v>27.01</v>
      </c>
      <c r="G116">
        <v>23.97</v>
      </c>
      <c r="H116">
        <v>23.65</v>
      </c>
      <c r="I116">
        <v>13.74</v>
      </c>
      <c r="M116">
        <f t="shared" si="9"/>
        <v>59.05</v>
      </c>
      <c r="N116">
        <f t="shared" si="10"/>
        <v>13.74</v>
      </c>
      <c r="O116">
        <f t="shared" si="11"/>
        <v>13.8</v>
      </c>
    </row>
    <row r="117" spans="1:15">
      <c r="A117">
        <v>13</v>
      </c>
      <c r="B117">
        <v>960</v>
      </c>
      <c r="C117">
        <v>59.65</v>
      </c>
      <c r="D117">
        <v>14.97</v>
      </c>
      <c r="E117">
        <v>14.39</v>
      </c>
      <c r="F117">
        <v>31.41</v>
      </c>
      <c r="G117">
        <v>27.46</v>
      </c>
      <c r="H117">
        <v>27.64</v>
      </c>
      <c r="I117">
        <v>14.42</v>
      </c>
      <c r="M117">
        <f t="shared" si="9"/>
        <v>59.65</v>
      </c>
      <c r="N117">
        <f t="shared" si="10"/>
        <v>14.42</v>
      </c>
      <c r="O117">
        <f t="shared" si="11"/>
        <v>14.39</v>
      </c>
    </row>
    <row r="118" spans="1:15">
      <c r="A118">
        <v>13</v>
      </c>
      <c r="B118">
        <v>1024</v>
      </c>
      <c r="C118">
        <v>60.21</v>
      </c>
      <c r="D118">
        <v>15.5</v>
      </c>
      <c r="E118">
        <v>14.96</v>
      </c>
      <c r="F118">
        <v>35.46</v>
      </c>
      <c r="G118">
        <v>31.31</v>
      </c>
      <c r="H118">
        <v>31.37</v>
      </c>
      <c r="I118">
        <v>14.97</v>
      </c>
      <c r="M118">
        <f t="shared" si="9"/>
        <v>60.21</v>
      </c>
      <c r="N118">
        <f t="shared" si="10"/>
        <v>14.97</v>
      </c>
      <c r="O118">
        <f t="shared" si="11"/>
        <v>14.96</v>
      </c>
    </row>
    <row r="119" spans="1:15">
      <c r="A119">
        <v>13</v>
      </c>
      <c r="B119">
        <v>1088</v>
      </c>
      <c r="C119">
        <v>60.73</v>
      </c>
      <c r="D119">
        <v>15.98</v>
      </c>
      <c r="E119">
        <v>15.55</v>
      </c>
      <c r="F119">
        <v>39.6</v>
      </c>
      <c r="G119">
        <v>35.86</v>
      </c>
      <c r="H119">
        <v>35.2</v>
      </c>
      <c r="I119">
        <v>15.47</v>
      </c>
      <c r="M119">
        <f t="shared" si="9"/>
        <v>60.73</v>
      </c>
      <c r="N119">
        <f t="shared" si="10"/>
        <v>15.47</v>
      </c>
      <c r="O119">
        <f t="shared" si="11"/>
        <v>15.55</v>
      </c>
    </row>
    <row r="120" spans="1:15">
      <c r="A120">
        <v>13</v>
      </c>
      <c r="B120">
        <v>1152</v>
      </c>
      <c r="C120">
        <v>61.23</v>
      </c>
      <c r="D120">
        <v>16.46</v>
      </c>
      <c r="E120">
        <v>16.04</v>
      </c>
      <c r="F120">
        <v>44.29</v>
      </c>
      <c r="G120">
        <v>40.19</v>
      </c>
      <c r="H120">
        <v>39.59</v>
      </c>
      <c r="I120">
        <v>15.98</v>
      </c>
      <c r="M120">
        <f t="shared" si="9"/>
        <v>61.23</v>
      </c>
      <c r="N120">
        <f t="shared" si="10"/>
        <v>15.98</v>
      </c>
      <c r="O120">
        <f t="shared" si="11"/>
        <v>16.04</v>
      </c>
    </row>
    <row r="121" spans="1:15">
      <c r="A121">
        <v>13</v>
      </c>
      <c r="B121">
        <v>1216</v>
      </c>
      <c r="C121">
        <v>61.7</v>
      </c>
      <c r="D121">
        <v>16.92</v>
      </c>
      <c r="E121">
        <v>16.5</v>
      </c>
      <c r="F121">
        <v>49.16</v>
      </c>
      <c r="G121">
        <v>44.63</v>
      </c>
      <c r="H121">
        <v>44.2</v>
      </c>
      <c r="I121">
        <v>16.45</v>
      </c>
      <c r="M121">
        <f t="shared" si="9"/>
        <v>61.7</v>
      </c>
      <c r="N121">
        <f t="shared" si="10"/>
        <v>16.45</v>
      </c>
      <c r="O121">
        <f t="shared" si="11"/>
        <v>16.5</v>
      </c>
    </row>
    <row r="122" spans="1:15">
      <c r="A122">
        <v>13</v>
      </c>
      <c r="B122">
        <v>1280</v>
      </c>
      <c r="C122">
        <v>62.14</v>
      </c>
      <c r="D122">
        <v>17.36</v>
      </c>
      <c r="E122">
        <v>16.95</v>
      </c>
      <c r="F122">
        <v>54.43</v>
      </c>
      <c r="G122">
        <v>49.55</v>
      </c>
      <c r="H122">
        <v>49.25</v>
      </c>
      <c r="I122">
        <v>16.92</v>
      </c>
      <c r="M122">
        <f t="shared" si="9"/>
        <v>62.14</v>
      </c>
      <c r="N122">
        <f t="shared" si="10"/>
        <v>16.92</v>
      </c>
      <c r="O122">
        <f t="shared" si="11"/>
        <v>16.95</v>
      </c>
    </row>
    <row r="123" spans="1:15">
      <c r="A123">
        <v>13</v>
      </c>
      <c r="B123">
        <v>1344</v>
      </c>
      <c r="C123">
        <v>62.57</v>
      </c>
      <c r="D123">
        <v>17.76</v>
      </c>
      <c r="E123">
        <v>17.37</v>
      </c>
      <c r="F123">
        <v>59.71</v>
      </c>
      <c r="G123">
        <v>54.59</v>
      </c>
      <c r="H123">
        <v>54.37</v>
      </c>
      <c r="I123">
        <v>17.35</v>
      </c>
      <c r="M123">
        <f t="shared" si="9"/>
        <v>62.57</v>
      </c>
      <c r="N123">
        <f t="shared" si="10"/>
        <v>17.35</v>
      </c>
      <c r="O123">
        <f t="shared" si="11"/>
        <v>17.37</v>
      </c>
    </row>
    <row r="124" spans="1:15">
      <c r="A124">
        <v>13</v>
      </c>
      <c r="B124">
        <v>1408</v>
      </c>
      <c r="C124">
        <v>62.97</v>
      </c>
      <c r="D124">
        <v>18.16</v>
      </c>
      <c r="E124">
        <v>17.77</v>
      </c>
      <c r="F124">
        <v>65.39</v>
      </c>
      <c r="G124">
        <v>59.87</v>
      </c>
      <c r="H124">
        <v>59.94</v>
      </c>
      <c r="I124">
        <v>17.78</v>
      </c>
      <c r="M124">
        <f t="shared" si="9"/>
        <v>62.97</v>
      </c>
      <c r="N124">
        <f t="shared" si="10"/>
        <v>17.78</v>
      </c>
      <c r="O124">
        <f t="shared" si="11"/>
        <v>17.77</v>
      </c>
    </row>
    <row r="125" spans="1:15">
      <c r="A125">
        <v>13</v>
      </c>
      <c r="B125">
        <v>1472</v>
      </c>
      <c r="C125">
        <v>63.36</v>
      </c>
      <c r="D125">
        <v>18.49</v>
      </c>
      <c r="E125">
        <v>18.16</v>
      </c>
      <c r="F125">
        <v>70.71</v>
      </c>
      <c r="G125">
        <v>65.45</v>
      </c>
      <c r="H125">
        <v>65.21</v>
      </c>
      <c r="I125">
        <v>18.14</v>
      </c>
      <c r="M125">
        <f t="shared" si="9"/>
        <v>63.36</v>
      </c>
      <c r="N125">
        <f t="shared" si="10"/>
        <v>18.14</v>
      </c>
      <c r="O125">
        <f t="shared" si="11"/>
        <v>18.16</v>
      </c>
    </row>
    <row r="126" spans="1:15">
      <c r="A126">
        <v>13</v>
      </c>
      <c r="B126">
        <v>1536</v>
      </c>
      <c r="C126">
        <v>63.73</v>
      </c>
      <c r="D126">
        <v>18.85</v>
      </c>
      <c r="E126">
        <v>18.53</v>
      </c>
      <c r="F126">
        <v>76.72</v>
      </c>
      <c r="G126">
        <v>71.22</v>
      </c>
      <c r="H126">
        <v>71.25</v>
      </c>
      <c r="I126">
        <v>18.53</v>
      </c>
      <c r="M126">
        <f t="shared" si="9"/>
        <v>63.73</v>
      </c>
      <c r="N126">
        <f t="shared" si="10"/>
        <v>18.53</v>
      </c>
      <c r="O126">
        <f t="shared" si="11"/>
        <v>18.53</v>
      </c>
    </row>
    <row r="127" spans="1:15">
      <c r="A127">
        <v>13</v>
      </c>
      <c r="B127">
        <v>1600</v>
      </c>
      <c r="C127">
        <v>64.08</v>
      </c>
      <c r="D127">
        <v>19.18</v>
      </c>
      <c r="E127">
        <v>18.88</v>
      </c>
      <c r="F127">
        <v>82.81</v>
      </c>
      <c r="G127">
        <v>77.28</v>
      </c>
      <c r="H127">
        <v>77.45</v>
      </c>
      <c r="I127">
        <v>18.89</v>
      </c>
      <c r="M127">
        <f t="shared" si="9"/>
        <v>64.08</v>
      </c>
      <c r="N127">
        <f t="shared" si="10"/>
        <v>18.89</v>
      </c>
      <c r="O127">
        <f t="shared" si="11"/>
        <v>18.88</v>
      </c>
    </row>
    <row r="128" spans="1:15">
      <c r="A128">
        <v>13</v>
      </c>
      <c r="B128">
        <v>1664</v>
      </c>
      <c r="C128">
        <v>64.42</v>
      </c>
      <c r="D128">
        <v>19.48</v>
      </c>
      <c r="E128">
        <v>19.22</v>
      </c>
      <c r="F128">
        <v>88.64</v>
      </c>
      <c r="G128">
        <v>83.63</v>
      </c>
      <c r="H128">
        <v>83.45</v>
      </c>
      <c r="I128">
        <v>19.21</v>
      </c>
      <c r="M128">
        <f t="shared" si="9"/>
        <v>64.42</v>
      </c>
      <c r="N128">
        <f t="shared" si="10"/>
        <v>19.21</v>
      </c>
      <c r="O128">
        <f t="shared" si="11"/>
        <v>19.22</v>
      </c>
    </row>
    <row r="129" spans="1:15">
      <c r="A129">
        <v>13</v>
      </c>
      <c r="B129">
        <v>1728</v>
      </c>
      <c r="C129">
        <v>64.75</v>
      </c>
      <c r="D129">
        <v>19.8</v>
      </c>
      <c r="E129">
        <v>19.55</v>
      </c>
      <c r="F129">
        <v>95.4</v>
      </c>
      <c r="G129">
        <v>90.15</v>
      </c>
      <c r="H129">
        <v>90.5</v>
      </c>
      <c r="I129">
        <v>19.57</v>
      </c>
      <c r="M129">
        <f t="shared" si="9"/>
        <v>64.75</v>
      </c>
      <c r="N129">
        <f t="shared" si="10"/>
        <v>19.57</v>
      </c>
      <c r="O129">
        <f t="shared" si="11"/>
        <v>19.55</v>
      </c>
    </row>
    <row r="130" spans="1:15">
      <c r="A130">
        <v>13</v>
      </c>
      <c r="B130">
        <v>1792</v>
      </c>
      <c r="C130">
        <v>65.07</v>
      </c>
      <c r="D130">
        <v>20.09</v>
      </c>
      <c r="E130">
        <v>19.87</v>
      </c>
      <c r="F130">
        <v>102</v>
      </c>
      <c r="G130">
        <v>97.02</v>
      </c>
      <c r="H130">
        <v>97.49</v>
      </c>
      <c r="I130">
        <v>19.89</v>
      </c>
      <c r="M130">
        <f t="shared" si="9"/>
        <v>65.07</v>
      </c>
      <c r="N130">
        <f t="shared" si="10"/>
        <v>19.89</v>
      </c>
      <c r="O130">
        <f t="shared" si="11"/>
        <v>19.87</v>
      </c>
    </row>
    <row r="131" spans="1:15">
      <c r="A131">
        <v>13</v>
      </c>
      <c r="B131">
        <v>1856</v>
      </c>
      <c r="C131">
        <v>65.37</v>
      </c>
      <c r="D131">
        <v>20.34</v>
      </c>
      <c r="E131">
        <v>20.17</v>
      </c>
      <c r="F131">
        <v>108.24</v>
      </c>
      <c r="G131">
        <v>103.98</v>
      </c>
      <c r="H131">
        <v>104.17</v>
      </c>
      <c r="I131">
        <v>20.18</v>
      </c>
      <c r="M131">
        <f t="shared" ref="M131:M162" si="12">C131</f>
        <v>65.37</v>
      </c>
      <c r="N131">
        <f t="shared" ref="N131:N162" si="13">I131</f>
        <v>20.18</v>
      </c>
      <c r="O131">
        <f t="shared" ref="O131:O162" si="14">E131</f>
        <v>20.17</v>
      </c>
    </row>
    <row r="132" spans="1:15">
      <c r="A132">
        <v>13</v>
      </c>
      <c r="B132">
        <v>1920</v>
      </c>
      <c r="C132">
        <v>65.67</v>
      </c>
      <c r="D132">
        <v>20.61</v>
      </c>
      <c r="E132">
        <v>20.45</v>
      </c>
      <c r="F132">
        <v>115.07</v>
      </c>
      <c r="G132">
        <v>110.99</v>
      </c>
      <c r="H132">
        <v>111.58</v>
      </c>
      <c r="I132">
        <v>20.48</v>
      </c>
      <c r="M132">
        <f t="shared" si="12"/>
        <v>65.67</v>
      </c>
      <c r="N132">
        <f t="shared" si="13"/>
        <v>20.48</v>
      </c>
      <c r="O132">
        <f t="shared" si="14"/>
        <v>20.45</v>
      </c>
    </row>
    <row r="133" spans="1:15">
      <c r="A133">
        <v>13</v>
      </c>
      <c r="B133">
        <v>1984</v>
      </c>
      <c r="C133">
        <v>65.95</v>
      </c>
      <c r="D133">
        <v>20.85</v>
      </c>
      <c r="E133">
        <v>20.74</v>
      </c>
      <c r="F133">
        <v>121.75</v>
      </c>
      <c r="G133">
        <v>118.54</v>
      </c>
      <c r="H133">
        <v>118.93</v>
      </c>
      <c r="I133">
        <v>20.75</v>
      </c>
      <c r="M133">
        <f t="shared" si="12"/>
        <v>65.95</v>
      </c>
      <c r="N133">
        <f t="shared" si="13"/>
        <v>20.75</v>
      </c>
      <c r="O133">
        <f t="shared" si="14"/>
        <v>20.74</v>
      </c>
    </row>
    <row r="134" spans="1:15">
      <c r="A134">
        <v>13</v>
      </c>
      <c r="B134">
        <v>2048</v>
      </c>
      <c r="C134">
        <v>66.23</v>
      </c>
      <c r="D134">
        <v>21.09</v>
      </c>
      <c r="E134">
        <v>20.99</v>
      </c>
      <c r="F134">
        <v>128.65</v>
      </c>
      <c r="G134">
        <v>125.74</v>
      </c>
      <c r="H134">
        <v>126.62</v>
      </c>
      <c r="I134">
        <v>21.03</v>
      </c>
      <c r="M134">
        <f t="shared" si="12"/>
        <v>66.23</v>
      </c>
      <c r="N134">
        <f t="shared" si="13"/>
        <v>21.03</v>
      </c>
      <c r="O134">
        <f t="shared" si="14"/>
        <v>20.99</v>
      </c>
    </row>
    <row r="135" spans="1:15">
      <c r="A135">
        <v>13</v>
      </c>
      <c r="B135">
        <v>2112</v>
      </c>
      <c r="C135">
        <v>66.49</v>
      </c>
      <c r="D135">
        <v>21.31</v>
      </c>
      <c r="E135">
        <v>21.26</v>
      </c>
      <c r="F135">
        <v>135.14</v>
      </c>
      <c r="G135">
        <v>133.55</v>
      </c>
      <c r="H135">
        <v>133.95</v>
      </c>
      <c r="I135">
        <v>21.27</v>
      </c>
      <c r="M135">
        <f t="shared" si="12"/>
        <v>66.49</v>
      </c>
      <c r="N135">
        <f t="shared" si="13"/>
        <v>21.27</v>
      </c>
      <c r="O135">
        <f t="shared" si="14"/>
        <v>21.26</v>
      </c>
    </row>
    <row r="136" spans="1:15">
      <c r="A136">
        <v>13</v>
      </c>
      <c r="B136">
        <v>2176</v>
      </c>
      <c r="C136">
        <v>66.75</v>
      </c>
      <c r="D136">
        <v>21.54</v>
      </c>
      <c r="E136">
        <v>21.5</v>
      </c>
      <c r="F136">
        <v>142.41</v>
      </c>
      <c r="G136">
        <v>141.2</v>
      </c>
      <c r="H136">
        <v>142.27</v>
      </c>
      <c r="I136">
        <v>21.53</v>
      </c>
      <c r="M136">
        <f t="shared" si="12"/>
        <v>66.75</v>
      </c>
      <c r="N136">
        <f t="shared" si="13"/>
        <v>21.53</v>
      </c>
      <c r="O136">
        <f t="shared" si="14"/>
        <v>21.5</v>
      </c>
    </row>
    <row r="137" spans="1:15">
      <c r="A137">
        <v>13</v>
      </c>
      <c r="B137">
        <v>2240</v>
      </c>
      <c r="C137">
        <v>67</v>
      </c>
      <c r="D137">
        <v>21.76</v>
      </c>
      <c r="E137">
        <v>21.75</v>
      </c>
      <c r="F137">
        <v>150.13</v>
      </c>
      <c r="G137">
        <v>149.49</v>
      </c>
      <c r="H137">
        <v>151.21</v>
      </c>
      <c r="I137">
        <v>21.8</v>
      </c>
      <c r="M137">
        <f t="shared" si="12"/>
        <v>67</v>
      </c>
      <c r="N137">
        <f t="shared" si="13"/>
        <v>21.8</v>
      </c>
      <c r="O137">
        <f t="shared" si="14"/>
        <v>21.75</v>
      </c>
    </row>
    <row r="138" spans="1:15">
      <c r="A138">
        <v>13</v>
      </c>
      <c r="B138">
        <v>2304</v>
      </c>
      <c r="C138">
        <v>67.25</v>
      </c>
      <c r="D138">
        <v>21.94</v>
      </c>
      <c r="E138">
        <v>21.97</v>
      </c>
      <c r="F138">
        <v>156.36</v>
      </c>
      <c r="G138">
        <v>157.32</v>
      </c>
      <c r="H138">
        <v>158.54</v>
      </c>
      <c r="I138">
        <v>22</v>
      </c>
      <c r="M138">
        <f t="shared" si="12"/>
        <v>67.25</v>
      </c>
      <c r="N138">
        <f t="shared" si="13"/>
        <v>22</v>
      </c>
      <c r="O138">
        <f t="shared" si="14"/>
        <v>21.97</v>
      </c>
    </row>
    <row r="139" spans="1:15">
      <c r="A139">
        <v>13</v>
      </c>
      <c r="B139">
        <v>2368</v>
      </c>
      <c r="C139">
        <v>67.49</v>
      </c>
      <c r="D139">
        <v>22.14</v>
      </c>
      <c r="E139">
        <v>22.2</v>
      </c>
      <c r="F139">
        <v>163.78</v>
      </c>
      <c r="G139">
        <v>165.84</v>
      </c>
      <c r="H139">
        <v>167.36</v>
      </c>
      <c r="I139">
        <v>22.24</v>
      </c>
      <c r="M139">
        <f t="shared" si="12"/>
        <v>67.49</v>
      </c>
      <c r="N139">
        <f t="shared" si="13"/>
        <v>22.24</v>
      </c>
      <c r="O139">
        <f t="shared" si="14"/>
        <v>22.2</v>
      </c>
    </row>
    <row r="140" spans="1:15">
      <c r="A140">
        <v>13</v>
      </c>
      <c r="B140">
        <v>2432</v>
      </c>
      <c r="C140">
        <v>67.72</v>
      </c>
      <c r="D140">
        <v>22.31</v>
      </c>
      <c r="E140">
        <v>22.39</v>
      </c>
      <c r="F140">
        <v>170.17</v>
      </c>
      <c r="G140">
        <v>173.2</v>
      </c>
      <c r="H140">
        <v>175.04</v>
      </c>
      <c r="I140">
        <v>22.43</v>
      </c>
      <c r="M140">
        <f t="shared" si="12"/>
        <v>67.72</v>
      </c>
      <c r="N140">
        <f t="shared" si="13"/>
        <v>22.43</v>
      </c>
      <c r="O140">
        <f t="shared" si="14"/>
        <v>22.39</v>
      </c>
    </row>
    <row r="141" spans="1:15">
      <c r="A141">
        <v>13</v>
      </c>
      <c r="B141">
        <v>2496</v>
      </c>
      <c r="C141">
        <v>67.94</v>
      </c>
      <c r="D141">
        <v>22.49</v>
      </c>
      <c r="E141">
        <v>22.59</v>
      </c>
      <c r="F141">
        <v>177.58</v>
      </c>
      <c r="G141">
        <v>181.48</v>
      </c>
      <c r="H141">
        <v>184.08</v>
      </c>
      <c r="I141">
        <v>22.65</v>
      </c>
      <c r="M141">
        <f t="shared" si="12"/>
        <v>67.94</v>
      </c>
      <c r="N141">
        <f t="shared" si="13"/>
        <v>22.65</v>
      </c>
      <c r="O141">
        <f t="shared" si="14"/>
        <v>22.59</v>
      </c>
    </row>
    <row r="142" spans="1:15">
      <c r="A142">
        <v>13</v>
      </c>
      <c r="B142">
        <v>2560</v>
      </c>
      <c r="C142">
        <v>68.16</v>
      </c>
      <c r="D142">
        <v>22.64</v>
      </c>
      <c r="E142">
        <v>22.78</v>
      </c>
      <c r="F142">
        <v>183.56</v>
      </c>
      <c r="G142">
        <v>189.74</v>
      </c>
      <c r="H142">
        <v>191.46</v>
      </c>
      <c r="I142">
        <v>22.82</v>
      </c>
      <c r="M142">
        <f t="shared" si="12"/>
        <v>68.16</v>
      </c>
      <c r="N142">
        <f t="shared" si="13"/>
        <v>22.82</v>
      </c>
      <c r="O142">
        <f t="shared" si="14"/>
        <v>22.78</v>
      </c>
    </row>
    <row r="143" spans="1:15">
      <c r="A143">
        <v>13</v>
      </c>
      <c r="B143">
        <v>2624</v>
      </c>
      <c r="C143">
        <v>68.38</v>
      </c>
      <c r="D143">
        <v>22.79</v>
      </c>
      <c r="E143">
        <v>22.96</v>
      </c>
      <c r="F143">
        <v>190.2</v>
      </c>
      <c r="G143">
        <v>197.92</v>
      </c>
      <c r="H143">
        <v>199.74</v>
      </c>
      <c r="I143">
        <v>23</v>
      </c>
      <c r="M143">
        <f t="shared" si="12"/>
        <v>68.38</v>
      </c>
      <c r="N143">
        <f t="shared" si="13"/>
        <v>23</v>
      </c>
      <c r="O143">
        <f t="shared" si="14"/>
        <v>22.96</v>
      </c>
    </row>
    <row r="144" spans="1:15">
      <c r="A144">
        <v>13</v>
      </c>
      <c r="B144">
        <v>2688</v>
      </c>
      <c r="C144">
        <v>68.59</v>
      </c>
      <c r="D144">
        <v>22.83</v>
      </c>
      <c r="E144">
        <v>23.11</v>
      </c>
      <c r="F144">
        <v>191.9</v>
      </c>
      <c r="G144">
        <v>204.83</v>
      </c>
      <c r="H144">
        <v>201.87</v>
      </c>
      <c r="I144">
        <v>23.05</v>
      </c>
      <c r="M144">
        <f t="shared" si="12"/>
        <v>68.59</v>
      </c>
      <c r="N144">
        <f t="shared" si="13"/>
        <v>23.05</v>
      </c>
      <c r="O144">
        <f t="shared" si="14"/>
        <v>23.11</v>
      </c>
    </row>
    <row r="145" spans="1:15">
      <c r="A145">
        <v>13</v>
      </c>
      <c r="B145">
        <v>2752</v>
      </c>
      <c r="C145">
        <v>68.79</v>
      </c>
      <c r="D145">
        <v>22.97</v>
      </c>
      <c r="E145">
        <v>23.28</v>
      </c>
      <c r="F145">
        <v>198.03</v>
      </c>
      <c r="G145">
        <v>212.76</v>
      </c>
      <c r="H145">
        <v>209.61</v>
      </c>
      <c r="I145">
        <v>23.21</v>
      </c>
      <c r="M145">
        <f t="shared" si="12"/>
        <v>68.79</v>
      </c>
      <c r="N145">
        <f t="shared" si="13"/>
        <v>23.21</v>
      </c>
      <c r="O145">
        <f t="shared" si="14"/>
        <v>23.28</v>
      </c>
    </row>
    <row r="146" spans="1:15">
      <c r="A146">
        <v>13</v>
      </c>
      <c r="B146">
        <v>2816</v>
      </c>
      <c r="C146">
        <v>68.99</v>
      </c>
      <c r="D146">
        <v>23.1</v>
      </c>
      <c r="E146">
        <v>23.44</v>
      </c>
      <c r="F146">
        <v>204.04</v>
      </c>
      <c r="G146">
        <v>220.69</v>
      </c>
      <c r="H146">
        <v>217.29</v>
      </c>
      <c r="I146">
        <v>23.37</v>
      </c>
      <c r="M146">
        <f t="shared" si="12"/>
        <v>68.99</v>
      </c>
      <c r="N146">
        <f t="shared" si="13"/>
        <v>23.37</v>
      </c>
      <c r="O146">
        <f t="shared" si="14"/>
        <v>23.44</v>
      </c>
    </row>
    <row r="147" spans="1:15">
      <c r="A147">
        <v>13</v>
      </c>
      <c r="B147">
        <v>2880</v>
      </c>
      <c r="C147">
        <v>69.19</v>
      </c>
      <c r="D147">
        <v>23.23</v>
      </c>
      <c r="E147">
        <v>23.59</v>
      </c>
      <c r="F147">
        <v>210.43</v>
      </c>
      <c r="G147">
        <v>228.75</v>
      </c>
      <c r="H147">
        <v>225.53</v>
      </c>
      <c r="I147">
        <v>23.53</v>
      </c>
      <c r="M147">
        <f t="shared" si="12"/>
        <v>69.19</v>
      </c>
      <c r="N147">
        <f t="shared" si="13"/>
        <v>23.53</v>
      </c>
      <c r="O147">
        <f t="shared" si="14"/>
        <v>23.59</v>
      </c>
    </row>
    <row r="148" spans="1:15">
      <c r="A148">
        <v>13</v>
      </c>
      <c r="B148">
        <v>2944</v>
      </c>
      <c r="C148">
        <v>69.38</v>
      </c>
      <c r="D148">
        <v>23.34</v>
      </c>
      <c r="E148">
        <v>23.74</v>
      </c>
      <c r="F148">
        <v>215.85</v>
      </c>
      <c r="G148">
        <v>236.52</v>
      </c>
      <c r="H148">
        <v>232.59</v>
      </c>
      <c r="I148">
        <v>23.67</v>
      </c>
      <c r="M148">
        <f t="shared" si="12"/>
        <v>69.38</v>
      </c>
      <c r="N148">
        <f t="shared" si="13"/>
        <v>23.67</v>
      </c>
      <c r="O148">
        <f t="shared" si="14"/>
        <v>23.74</v>
      </c>
    </row>
    <row r="149" spans="1:15">
      <c r="A149">
        <v>13</v>
      </c>
      <c r="B149">
        <v>3008</v>
      </c>
      <c r="C149">
        <v>69.57</v>
      </c>
      <c r="D149">
        <v>23.47</v>
      </c>
      <c r="E149">
        <v>23.87</v>
      </c>
      <c r="F149">
        <v>222.53</v>
      </c>
      <c r="G149">
        <v>243.93</v>
      </c>
      <c r="H149">
        <v>241.38</v>
      </c>
      <c r="I149">
        <v>23.83</v>
      </c>
      <c r="M149">
        <f t="shared" si="12"/>
        <v>69.57</v>
      </c>
      <c r="N149">
        <f t="shared" si="13"/>
        <v>23.83</v>
      </c>
      <c r="O149">
        <f t="shared" si="14"/>
        <v>23.87</v>
      </c>
    </row>
    <row r="150" spans="1:15">
      <c r="A150">
        <v>13</v>
      </c>
      <c r="B150">
        <v>3072</v>
      </c>
      <c r="C150">
        <v>69.75</v>
      </c>
      <c r="D150">
        <v>23.56</v>
      </c>
      <c r="E150">
        <v>24.01</v>
      </c>
      <c r="F150">
        <v>227.11</v>
      </c>
      <c r="G150">
        <v>251.53</v>
      </c>
      <c r="H150">
        <v>247.46</v>
      </c>
      <c r="I150">
        <v>23.94</v>
      </c>
      <c r="M150">
        <f t="shared" si="12"/>
        <v>69.75</v>
      </c>
      <c r="N150">
        <f t="shared" si="13"/>
        <v>23.94</v>
      </c>
      <c r="O150">
        <f t="shared" si="14"/>
        <v>24.01</v>
      </c>
    </row>
    <row r="151" spans="1:15">
      <c r="A151">
        <v>13</v>
      </c>
      <c r="B151">
        <v>3136</v>
      </c>
      <c r="C151">
        <v>69.93</v>
      </c>
      <c r="D151">
        <v>23.7</v>
      </c>
      <c r="E151">
        <v>24.13</v>
      </c>
      <c r="F151">
        <v>234.23</v>
      </c>
      <c r="G151">
        <v>258.63</v>
      </c>
      <c r="H151">
        <v>257</v>
      </c>
      <c r="I151">
        <v>24.1</v>
      </c>
      <c r="M151">
        <f t="shared" si="12"/>
        <v>69.93</v>
      </c>
      <c r="N151">
        <f t="shared" si="13"/>
        <v>24.1</v>
      </c>
      <c r="O151">
        <f t="shared" si="14"/>
        <v>24.13</v>
      </c>
    </row>
    <row r="152" spans="1:15">
      <c r="A152">
        <v>13</v>
      </c>
      <c r="B152">
        <v>3200</v>
      </c>
      <c r="C152">
        <v>70.1</v>
      </c>
      <c r="D152">
        <v>23.78</v>
      </c>
      <c r="E152">
        <v>24.24</v>
      </c>
      <c r="F152">
        <v>238.66</v>
      </c>
      <c r="G152">
        <v>265.58</v>
      </c>
      <c r="H152">
        <v>262.99</v>
      </c>
      <c r="I152">
        <v>24.2</v>
      </c>
      <c r="M152">
        <f t="shared" si="12"/>
        <v>70.1</v>
      </c>
      <c r="N152">
        <f t="shared" si="13"/>
        <v>24.2</v>
      </c>
      <c r="O152">
        <f t="shared" si="14"/>
        <v>24.24</v>
      </c>
    </row>
    <row r="153" spans="1:15">
      <c r="A153">
        <v>13</v>
      </c>
      <c r="B153">
        <v>3264</v>
      </c>
      <c r="C153">
        <v>70.28</v>
      </c>
      <c r="D153">
        <v>23.88</v>
      </c>
      <c r="E153">
        <v>24.35</v>
      </c>
      <c r="F153">
        <v>244.49</v>
      </c>
      <c r="G153">
        <v>272.37</v>
      </c>
      <c r="H153">
        <v>270.95</v>
      </c>
      <c r="I153">
        <v>24.33</v>
      </c>
      <c r="M153">
        <f t="shared" si="12"/>
        <v>70.28</v>
      </c>
      <c r="N153">
        <f t="shared" si="13"/>
        <v>24.33</v>
      </c>
      <c r="O153">
        <f t="shared" si="14"/>
        <v>24.35</v>
      </c>
    </row>
    <row r="154" spans="1:15">
      <c r="A154">
        <v>13</v>
      </c>
      <c r="B154">
        <v>3328</v>
      </c>
      <c r="C154">
        <v>70.44</v>
      </c>
      <c r="D154">
        <v>23.96</v>
      </c>
      <c r="E154">
        <v>24.45</v>
      </c>
      <c r="F154">
        <v>248.77</v>
      </c>
      <c r="G154">
        <v>278.91</v>
      </c>
      <c r="H154">
        <v>276.83</v>
      </c>
      <c r="I154">
        <v>24.42</v>
      </c>
      <c r="M154">
        <f t="shared" si="12"/>
        <v>70.44</v>
      </c>
      <c r="N154">
        <f t="shared" si="13"/>
        <v>24.42</v>
      </c>
      <c r="O154">
        <f t="shared" si="14"/>
        <v>24.45</v>
      </c>
    </row>
    <row r="155" spans="1:15">
      <c r="A155">
        <v>13</v>
      </c>
      <c r="B155">
        <v>3392</v>
      </c>
      <c r="C155">
        <v>70.61</v>
      </c>
      <c r="D155">
        <v>24.04</v>
      </c>
      <c r="E155">
        <v>24.55</v>
      </c>
      <c r="F155">
        <v>253.31</v>
      </c>
      <c r="G155">
        <v>285.37</v>
      </c>
      <c r="H155">
        <v>283.11</v>
      </c>
      <c r="I155">
        <v>24.52</v>
      </c>
      <c r="M155">
        <f t="shared" si="12"/>
        <v>70.61</v>
      </c>
      <c r="N155">
        <f t="shared" si="13"/>
        <v>24.52</v>
      </c>
      <c r="O155">
        <f t="shared" si="14"/>
        <v>24.55</v>
      </c>
    </row>
    <row r="156" spans="1:15">
      <c r="A156">
        <v>13</v>
      </c>
      <c r="B156">
        <v>3456</v>
      </c>
      <c r="C156">
        <v>70.77</v>
      </c>
      <c r="D156">
        <v>24.1</v>
      </c>
      <c r="E156">
        <v>24.65</v>
      </c>
      <c r="F156">
        <v>257.19</v>
      </c>
      <c r="G156">
        <v>291.73</v>
      </c>
      <c r="H156">
        <v>288.51</v>
      </c>
      <c r="I156">
        <v>24.6</v>
      </c>
      <c r="M156">
        <f t="shared" si="12"/>
        <v>70.77</v>
      </c>
      <c r="N156">
        <f t="shared" si="13"/>
        <v>24.6</v>
      </c>
      <c r="O156">
        <f t="shared" si="14"/>
        <v>24.65</v>
      </c>
    </row>
    <row r="157" spans="1:15">
      <c r="A157">
        <v>13</v>
      </c>
      <c r="B157">
        <v>3520</v>
      </c>
      <c r="C157">
        <v>70.93</v>
      </c>
      <c r="D157">
        <v>24.18</v>
      </c>
      <c r="E157">
        <v>24.74</v>
      </c>
      <c r="F157">
        <v>261.69</v>
      </c>
      <c r="G157">
        <v>297.58</v>
      </c>
      <c r="H157">
        <v>294.82</v>
      </c>
      <c r="I157">
        <v>24.7</v>
      </c>
      <c r="M157">
        <f t="shared" si="12"/>
        <v>70.93</v>
      </c>
      <c r="N157">
        <f t="shared" si="13"/>
        <v>24.7</v>
      </c>
      <c r="O157">
        <f t="shared" si="14"/>
        <v>24.74</v>
      </c>
    </row>
    <row r="158" spans="1:15">
      <c r="A158">
        <v>13</v>
      </c>
      <c r="B158">
        <v>3584</v>
      </c>
      <c r="C158">
        <v>71.09</v>
      </c>
      <c r="D158">
        <v>24.26</v>
      </c>
      <c r="E158">
        <v>24.82</v>
      </c>
      <c r="F158">
        <v>266.85</v>
      </c>
      <c r="G158">
        <v>303.45</v>
      </c>
      <c r="H158">
        <v>302.11</v>
      </c>
      <c r="I158">
        <v>24.8</v>
      </c>
      <c r="M158">
        <f t="shared" si="12"/>
        <v>71.09</v>
      </c>
      <c r="N158">
        <f t="shared" si="13"/>
        <v>24.8</v>
      </c>
      <c r="O158">
        <f t="shared" si="14"/>
        <v>24.82</v>
      </c>
    </row>
    <row r="159" spans="1:15">
      <c r="A159">
        <v>13</v>
      </c>
      <c r="B159">
        <v>3648</v>
      </c>
      <c r="C159">
        <v>71.24</v>
      </c>
      <c r="D159">
        <v>24.33</v>
      </c>
      <c r="E159">
        <v>24.9</v>
      </c>
      <c r="F159">
        <v>270.8</v>
      </c>
      <c r="G159">
        <v>309.07</v>
      </c>
      <c r="H159">
        <v>307.73</v>
      </c>
      <c r="I159">
        <v>24.88</v>
      </c>
      <c r="M159">
        <f t="shared" si="12"/>
        <v>71.24</v>
      </c>
      <c r="N159">
        <f t="shared" si="13"/>
        <v>24.88</v>
      </c>
      <c r="O159">
        <f t="shared" si="14"/>
        <v>24.9</v>
      </c>
    </row>
    <row r="160" spans="1:15">
      <c r="A160">
        <v>13</v>
      </c>
      <c r="B160">
        <v>3712</v>
      </c>
      <c r="C160">
        <v>71.39</v>
      </c>
      <c r="D160">
        <v>24.4</v>
      </c>
      <c r="E160">
        <v>24.98</v>
      </c>
      <c r="F160">
        <v>275.34</v>
      </c>
      <c r="G160">
        <v>314.45</v>
      </c>
      <c r="H160">
        <v>314.22</v>
      </c>
      <c r="I160">
        <v>24.97</v>
      </c>
      <c r="M160">
        <f t="shared" si="12"/>
        <v>71.39</v>
      </c>
      <c r="N160">
        <f t="shared" si="13"/>
        <v>24.97</v>
      </c>
      <c r="O160">
        <f t="shared" si="14"/>
        <v>24.98</v>
      </c>
    </row>
    <row r="161" spans="1:15">
      <c r="A161">
        <v>13</v>
      </c>
      <c r="B161">
        <v>3776</v>
      </c>
      <c r="C161">
        <v>71.54</v>
      </c>
      <c r="D161">
        <v>24.47</v>
      </c>
      <c r="E161">
        <v>25.06</v>
      </c>
      <c r="F161">
        <v>279.73</v>
      </c>
      <c r="G161">
        <v>320.92</v>
      </c>
      <c r="H161">
        <v>320.55</v>
      </c>
      <c r="I161">
        <v>25.06</v>
      </c>
      <c r="M161">
        <f t="shared" si="12"/>
        <v>71.54</v>
      </c>
      <c r="N161">
        <f t="shared" si="13"/>
        <v>25.06</v>
      </c>
      <c r="O161">
        <f t="shared" si="14"/>
        <v>25.06</v>
      </c>
    </row>
    <row r="162" spans="1:15">
      <c r="A162">
        <v>13</v>
      </c>
      <c r="B162">
        <v>3840</v>
      </c>
      <c r="C162">
        <v>71.69</v>
      </c>
      <c r="D162">
        <v>24.51</v>
      </c>
      <c r="E162">
        <v>25.13</v>
      </c>
      <c r="F162">
        <v>282.43</v>
      </c>
      <c r="G162">
        <v>325.97</v>
      </c>
      <c r="H162">
        <v>324.45</v>
      </c>
      <c r="I162">
        <v>25.11</v>
      </c>
      <c r="M162">
        <f t="shared" si="12"/>
        <v>71.69</v>
      </c>
      <c r="N162">
        <f t="shared" si="13"/>
        <v>25.11</v>
      </c>
      <c r="O162">
        <f t="shared" si="14"/>
        <v>25.13</v>
      </c>
    </row>
    <row r="163" spans="1:15">
      <c r="A163">
        <v>13</v>
      </c>
      <c r="B163">
        <v>3904</v>
      </c>
      <c r="C163">
        <v>71.83</v>
      </c>
      <c r="D163">
        <v>24.55</v>
      </c>
      <c r="E163">
        <v>25.2</v>
      </c>
      <c r="F163">
        <v>285.27</v>
      </c>
      <c r="G163">
        <v>330.92</v>
      </c>
      <c r="H163">
        <v>328.58</v>
      </c>
      <c r="I163">
        <v>25.17</v>
      </c>
      <c r="M163">
        <f>C163</f>
        <v>71.83</v>
      </c>
      <c r="N163">
        <f>I163</f>
        <v>25.17</v>
      </c>
      <c r="O163">
        <f>E163</f>
        <v>25.2</v>
      </c>
    </row>
    <row r="164" spans="1:15">
      <c r="A164">
        <v>13</v>
      </c>
      <c r="B164">
        <v>3968</v>
      </c>
      <c r="C164">
        <v>71.97</v>
      </c>
      <c r="D164">
        <v>24.62</v>
      </c>
      <c r="E164">
        <v>25.26</v>
      </c>
      <c r="F164">
        <v>290.03</v>
      </c>
      <c r="G164">
        <v>335.43</v>
      </c>
      <c r="H164">
        <v>335.54</v>
      </c>
      <c r="I164">
        <v>25.26</v>
      </c>
      <c r="M164">
        <f>C164</f>
        <v>71.97</v>
      </c>
      <c r="N164">
        <f>I164</f>
        <v>25.26</v>
      </c>
      <c r="O164">
        <f>E164</f>
        <v>25.26</v>
      </c>
    </row>
    <row r="165" spans="1:15">
      <c r="A165">
        <v>13</v>
      </c>
      <c r="B165">
        <v>4032</v>
      </c>
      <c r="C165">
        <v>72.11</v>
      </c>
      <c r="D165">
        <v>24.67</v>
      </c>
      <c r="E165">
        <v>25.31</v>
      </c>
      <c r="F165">
        <v>292.8</v>
      </c>
      <c r="G165">
        <v>339.87</v>
      </c>
      <c r="H165">
        <v>339.61</v>
      </c>
      <c r="I165">
        <v>25.31</v>
      </c>
      <c r="M165">
        <f>C165</f>
        <v>72.11</v>
      </c>
      <c r="N165">
        <f>I165</f>
        <v>25.31</v>
      </c>
      <c r="O165">
        <f>E165</f>
        <v>25.31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pwr_sense_data_LB_CALED_2024071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huangpeng</cp:lastModifiedBy>
  <dcterms:created xsi:type="dcterms:W3CDTF">2024-07-19T10:18:29Z</dcterms:created>
  <dcterms:modified xsi:type="dcterms:W3CDTF">2024-07-19T10:29:39Z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781BF9BA19654BDEA9E841E3D3833CF2_13</vt:lpwstr>
  </property>
  <property fmtid="{D5CDD505-2E9C-101B-9397-08002B2CF9AE}" pid="3" name="KSOProductBuildVer">
    <vt:lpwstr>2052-11.1.0.14309</vt:lpwstr>
  </property>
</Properties>
</file>