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<sst xmlns="http://schemas.openxmlformats.org/spreadsheetml/2006/main" count="409" uniqueCount="99">
  <si>
    <t>boardno</t>
  </si>
  <si>
    <t>bin</t>
  </si>
  <si>
    <t>function</t>
  </si>
  <si>
    <t>test_enable</t>
  </si>
  <si>
    <t>test_mode</t>
  </si>
  <si>
    <t>test_bit</t>
  </si>
  <si>
    <t>test_case</t>
  </si>
  <si>
    <t>volt(mv)0903</t>
  </si>
  <si>
    <t>volt(mv)0902</t>
  </si>
  <si>
    <t>delta</t>
  </si>
  <si>
    <t>#OK8</t>
  </si>
  <si>
    <t>testmode19_2025_0818_1550.bin</t>
  </si>
  <si>
    <t>lna_5g_preAmp_balun_IR_drop</t>
  </si>
  <si>
    <t>wf_test_enable_lna5g_preamp</t>
  </si>
  <si>
    <t>2'b11</t>
  </si>
  <si>
    <t>2'b0</t>
  </si>
  <si>
    <t>WF_RX_HB_ON</t>
  </si>
  <si>
    <t>lna_5g_preAmp_dvdd</t>
  </si>
  <si>
    <t>2'b10</t>
  </si>
  <si>
    <t>2'b1</t>
  </si>
  <si>
    <t>lna_5g_preAmp_vbias</t>
  </si>
  <si>
    <t>lna_5g_preAmp_vbcg&lt;1&gt;</t>
  </si>
  <si>
    <t>lna_5g_preAmp_vbcg&lt;0&gt;</t>
  </si>
  <si>
    <t>rmx_dll_vbp</t>
  </si>
  <si>
    <t>wf_test_enable_rmx</t>
  </si>
  <si>
    <t>rmx_dvdd_lo</t>
  </si>
  <si>
    <t>rmx_avdd_sw</t>
  </si>
  <si>
    <t>rmx_dll_vbn</t>
  </si>
  <si>
    <t>rmx_lo_vbias</t>
  </si>
  <si>
    <t>rmx_dvdd_dll</t>
  </si>
  <si>
    <t>rmx_vcm_ref</t>
  </si>
  <si>
    <t>tia_op_vref_threshold</t>
  </si>
  <si>
    <t>wf_test_enable_tia</t>
  </si>
  <si>
    <t>tia_vcm_ref</t>
  </si>
  <si>
    <t>tia_ldo_out</t>
  </si>
  <si>
    <t>tia_q_op</t>
  </si>
  <si>
    <t>2'b100</t>
  </si>
  <si>
    <t>tia_i_op</t>
  </si>
  <si>
    <t>2'b101</t>
  </si>
  <si>
    <t>tia_q_ip</t>
  </si>
  <si>
    <t>2'b110</t>
  </si>
  <si>
    <t>tia_i_ip</t>
  </si>
  <si>
    <t>2'b111</t>
  </si>
  <si>
    <t>tia_iref_ldo</t>
  </si>
  <si>
    <t>tia_iref</t>
  </si>
  <si>
    <t>tia_q_on</t>
  </si>
  <si>
    <t>tia_i_on</t>
  </si>
  <si>
    <t>tia_q_in</t>
  </si>
  <si>
    <t>tia_i_in</t>
  </si>
  <si>
    <t>wf_rxflt_vth</t>
  </si>
  <si>
    <t>wf_test_enable_rxflt</t>
  </si>
  <si>
    <t>3'h6</t>
  </si>
  <si>
    <t>wf_rxflt_i_vop1</t>
  </si>
  <si>
    <t>3'h3</t>
  </si>
  <si>
    <t>wf_rxflt_q_vop1</t>
  </si>
  <si>
    <t>3'h2</t>
  </si>
  <si>
    <t>wf_rxflt_i_vop2</t>
  </si>
  <si>
    <t>3'h1</t>
  </si>
  <si>
    <t>wf_rxflt_q_vop2</t>
  </si>
  <si>
    <t>3'h0</t>
  </si>
  <si>
    <t>wf_rxflt_vcomref</t>
  </si>
  <si>
    <t>2'b01</t>
  </si>
  <si>
    <t>3'h7</t>
  </si>
  <si>
    <t>wf_rxflt_vcombuf</t>
  </si>
  <si>
    <t>wf_rxflt_i_von1</t>
  </si>
  <si>
    <t>wf_rxflt_q_von1</t>
  </si>
  <si>
    <t>wf_rxflt_i_von2</t>
  </si>
  <si>
    <t>wf_rxflt_q_von2</t>
  </si>
  <si>
    <t>wf_saradc_vthnatnfet1</t>
  </si>
  <si>
    <t>wf_test_enable_adc</t>
  </si>
  <si>
    <t>2'h3</t>
  </si>
  <si>
    <t>wf_saradc_vgsndio</t>
  </si>
  <si>
    <t>2'h2</t>
  </si>
  <si>
    <t>wf_saradc_vthnatnfet0</t>
  </si>
  <si>
    <t>wf_saradc_vref</t>
  </si>
  <si>
    <t>2'h1</t>
  </si>
  <si>
    <t>wf_saradc_dvdd</t>
  </si>
  <si>
    <t>2'h0</t>
  </si>
  <si>
    <t>wf_saradc_vref_gatep</t>
  </si>
  <si>
    <t>wf_saradc_vcm</t>
  </si>
  <si>
    <t>xtal_reg_core_half</t>
  </si>
  <si>
    <t>cm_test_enable_xtal</t>
  </si>
  <si>
    <t>unkown</t>
  </si>
  <si>
    <t>xtal_dvdd_clk</t>
  </si>
  <si>
    <t>xtal_dvdd_lpo</t>
  </si>
  <si>
    <t>xtal_ibias_lpo</t>
  </si>
  <si>
    <t>rmx_superhet_vbcgn</t>
  </si>
  <si>
    <t>wf_test_enable_rmx_superhet</t>
  </si>
  <si>
    <t>rmx_superhet_vbcgp</t>
  </si>
  <si>
    <t>rmx_superhet_vop</t>
  </si>
  <si>
    <t>rmx_superhet_vbn</t>
  </si>
  <si>
    <t>rmx_superhet_dvdd</t>
  </si>
  <si>
    <t>rmx_superhet_von</t>
  </si>
  <si>
    <t>lna_24g_balun_IR_drop</t>
  </si>
  <si>
    <t>wf_test_enable_lna24g</t>
  </si>
  <si>
    <t>WF_RX_LB_ON</t>
  </si>
  <si>
    <t>lna_24g_dvdd</t>
  </si>
  <si>
    <t>lna_24g_vbias</t>
  </si>
  <si>
    <t>lna_24g_vbcg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</si>
</sst>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176" fontId="1" fillId="0" borderId="0" xfId="0" applyNumberFormat="1" applyFont="1" applyFill="1" applyAlignmen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0" fontId="1" fillId="0" borderId="0" xfId="0" applyFont="1" applyFill="1" applyAlignmen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topLeftCell="A25" workbookViewId="0">
      <selection activeCell="H60" sqref="H60"/>
    </sheetView>
  </sheetViews>
  <sheetFormatPr defaultColWidth="9" defaultRowHeight="13.5"/>
  <cols>
    <col min="2" max="2" width="12" customWidth="1"/>
    <col min="3" max="3" width="30.375" customWidth="1"/>
    <col min="7" max="7" width="12.625" customWidth="1"/>
    <col min="8" max="8" width="15.375" style="1" customWidth="1"/>
    <col min="9" max="9" width="15.37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t="s">
        <v>9</v>
      </c>
    </row>
    <row r="2" spans="1:1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22.79</v>
      </c>
      <c r="I2" s="2">
        <v>22.86</v>
      </c>
      <c r="J2">
        <f>N2-M2</f>
        <v>0.0700000000000003</v>
      </c>
      <c r="M2">
        <v>22.79</v>
      </c>
      <c r="N2" s="1">
        <v>22.86</v>
      </c>
    </row>
    <row r="3" spans="1:14">
      <c r="A3" t="s">
        <v>10</v>
      </c>
      <c r="B3" t="s">
        <v>11</v>
      </c>
      <c r="C3" t="s">
        <v>17</v>
      </c>
      <c r="D3" t="s">
        <v>13</v>
      </c>
      <c r="E3" t="s">
        <v>18</v>
      </c>
      <c r="F3" t="s">
        <v>19</v>
      </c>
      <c r="G3" t="s">
        <v>16</v>
      </c>
      <c r="H3" s="1">
        <v>1091.11</v>
      </c>
      <c r="I3" s="2">
        <v>1131.66</v>
      </c>
      <c r="J3">
        <f t="shared" ref="J3:J34" si="0">N3-M3</f>
        <v>40.5500000000002</v>
      </c>
      <c r="M3">
        <v>1091.11</v>
      </c>
      <c r="N3" s="1">
        <v>1131.66</v>
      </c>
    </row>
    <row r="4" spans="1:14">
      <c r="A4" t="s">
        <v>10</v>
      </c>
      <c r="B4" t="s">
        <v>11</v>
      </c>
      <c r="C4" t="s">
        <v>20</v>
      </c>
      <c r="D4" t="s">
        <v>13</v>
      </c>
      <c r="E4" t="s">
        <v>18</v>
      </c>
      <c r="F4" t="s">
        <v>18</v>
      </c>
      <c r="G4" t="s">
        <v>16</v>
      </c>
      <c r="H4" s="1">
        <v>404.03</v>
      </c>
      <c r="I4" s="2">
        <v>404.42</v>
      </c>
      <c r="J4">
        <f t="shared" si="0"/>
        <v>0.390000000000043</v>
      </c>
      <c r="M4">
        <v>404.03</v>
      </c>
      <c r="N4" s="1">
        <v>404.42</v>
      </c>
    </row>
    <row r="5" spans="1:14">
      <c r="A5" t="s">
        <v>10</v>
      </c>
      <c r="B5" t="s">
        <v>11</v>
      </c>
      <c r="C5" t="s">
        <v>21</v>
      </c>
      <c r="D5" t="s">
        <v>13</v>
      </c>
      <c r="E5" t="s">
        <v>18</v>
      </c>
      <c r="F5" t="s">
        <v>14</v>
      </c>
      <c r="G5" t="s">
        <v>16</v>
      </c>
      <c r="H5" s="1">
        <v>728.82</v>
      </c>
      <c r="I5" s="2">
        <v>729.85</v>
      </c>
      <c r="J5">
        <f t="shared" si="0"/>
        <v>1.02999999999997</v>
      </c>
      <c r="M5">
        <v>728.82</v>
      </c>
      <c r="N5" s="1">
        <v>729.85</v>
      </c>
    </row>
    <row r="6" spans="1:14">
      <c r="A6" t="s">
        <v>10</v>
      </c>
      <c r="B6" t="s">
        <v>11</v>
      </c>
      <c r="C6" t="s">
        <v>22</v>
      </c>
      <c r="D6" t="s">
        <v>13</v>
      </c>
      <c r="E6" t="s">
        <v>19</v>
      </c>
      <c r="F6" t="s">
        <v>14</v>
      </c>
      <c r="G6" t="s">
        <v>16</v>
      </c>
      <c r="H6" s="1">
        <v>-730.85</v>
      </c>
      <c r="I6" s="2">
        <v>-731.85</v>
      </c>
      <c r="J6">
        <f t="shared" si="0"/>
        <v>-1</v>
      </c>
      <c r="M6">
        <v>-730.85</v>
      </c>
      <c r="N6" s="1">
        <v>-731.85</v>
      </c>
    </row>
    <row r="7" spans="1:14">
      <c r="A7" t="s">
        <v>10</v>
      </c>
      <c r="B7" t="s">
        <v>11</v>
      </c>
      <c r="C7" t="s">
        <v>23</v>
      </c>
      <c r="D7" t="s">
        <v>24</v>
      </c>
      <c r="E7" t="s">
        <v>18</v>
      </c>
      <c r="F7" t="s">
        <v>15</v>
      </c>
      <c r="G7" t="s">
        <v>16</v>
      </c>
      <c r="H7" s="1">
        <v>438.11</v>
      </c>
      <c r="I7" s="2">
        <v>489.9</v>
      </c>
      <c r="J7">
        <f t="shared" si="0"/>
        <v>51.79</v>
      </c>
      <c r="M7">
        <v>438.11</v>
      </c>
      <c r="N7" s="1">
        <v>489.9</v>
      </c>
    </row>
    <row r="8" spans="1:14">
      <c r="A8" t="s">
        <v>10</v>
      </c>
      <c r="B8" t="s">
        <v>11</v>
      </c>
      <c r="C8" t="s">
        <v>25</v>
      </c>
      <c r="D8" t="s">
        <v>24</v>
      </c>
      <c r="E8" t="s">
        <v>18</v>
      </c>
      <c r="F8" t="s">
        <v>19</v>
      </c>
      <c r="G8" t="s">
        <v>16</v>
      </c>
      <c r="H8" s="1">
        <v>1089.22</v>
      </c>
      <c r="I8" s="2">
        <v>1135.07</v>
      </c>
      <c r="J8">
        <f t="shared" si="0"/>
        <v>45.8499999999999</v>
      </c>
      <c r="M8">
        <v>1089.22</v>
      </c>
      <c r="N8" s="1">
        <v>1135.07</v>
      </c>
    </row>
    <row r="9" spans="1:14">
      <c r="A9" t="s">
        <v>10</v>
      </c>
      <c r="B9" t="s">
        <v>11</v>
      </c>
      <c r="C9" t="s">
        <v>26</v>
      </c>
      <c r="D9" t="s">
        <v>24</v>
      </c>
      <c r="E9" t="s">
        <v>18</v>
      </c>
      <c r="F9" t="s">
        <v>18</v>
      </c>
      <c r="G9" t="s">
        <v>16</v>
      </c>
      <c r="H9" s="1">
        <v>1214</v>
      </c>
      <c r="I9" s="2">
        <v>1214</v>
      </c>
      <c r="J9">
        <f t="shared" si="0"/>
        <v>0</v>
      </c>
      <c r="M9">
        <v>1214</v>
      </c>
      <c r="N9" s="1">
        <v>1214</v>
      </c>
    </row>
    <row r="10" spans="1:14">
      <c r="A10" t="s">
        <v>10</v>
      </c>
      <c r="B10" t="s">
        <v>11</v>
      </c>
      <c r="C10" t="s">
        <v>27</v>
      </c>
      <c r="D10" t="s">
        <v>24</v>
      </c>
      <c r="E10" t="s">
        <v>19</v>
      </c>
      <c r="F10" t="s">
        <v>15</v>
      </c>
      <c r="G10" t="s">
        <v>16</v>
      </c>
      <c r="H10" s="1">
        <v>-564.69</v>
      </c>
      <c r="I10" s="2">
        <v>-562.16</v>
      </c>
      <c r="J10">
        <f t="shared" si="0"/>
        <v>2.53000000000009</v>
      </c>
      <c r="M10">
        <v>-564.69</v>
      </c>
      <c r="N10" s="1">
        <v>-562.16</v>
      </c>
    </row>
    <row r="11" spans="1:14">
      <c r="A11" t="s">
        <v>10</v>
      </c>
      <c r="B11" t="s">
        <v>11</v>
      </c>
      <c r="C11" t="s">
        <v>28</v>
      </c>
      <c r="D11" t="s">
        <v>24</v>
      </c>
      <c r="E11" t="s">
        <v>19</v>
      </c>
      <c r="F11" t="s">
        <v>19</v>
      </c>
      <c r="G11" t="s">
        <v>16</v>
      </c>
      <c r="H11" s="1">
        <v>-895.72</v>
      </c>
      <c r="I11" s="2">
        <v>-895.61</v>
      </c>
      <c r="J11">
        <f t="shared" si="0"/>
        <v>0.110000000000014</v>
      </c>
      <c r="M11">
        <v>-895.72</v>
      </c>
      <c r="N11" s="1">
        <v>-895.61</v>
      </c>
    </row>
    <row r="12" spans="1:14">
      <c r="A12" t="s">
        <v>10</v>
      </c>
      <c r="B12" t="s">
        <v>11</v>
      </c>
      <c r="C12" t="s">
        <v>29</v>
      </c>
      <c r="D12" t="s">
        <v>24</v>
      </c>
      <c r="E12" t="s">
        <v>19</v>
      </c>
      <c r="F12" t="s">
        <v>18</v>
      </c>
      <c r="G12" t="s">
        <v>16</v>
      </c>
      <c r="H12" s="1">
        <v>-1060.15</v>
      </c>
      <c r="I12" s="2">
        <v>-1110.37</v>
      </c>
      <c r="J12">
        <f t="shared" si="0"/>
        <v>-50.2199999999998</v>
      </c>
      <c r="M12">
        <v>-1060.15</v>
      </c>
      <c r="N12" s="1">
        <v>-1110.37</v>
      </c>
    </row>
    <row r="13" spans="1:14">
      <c r="A13" t="s">
        <v>10</v>
      </c>
      <c r="B13" t="s">
        <v>11</v>
      </c>
      <c r="C13" t="s">
        <v>30</v>
      </c>
      <c r="D13" t="s">
        <v>24</v>
      </c>
      <c r="E13" t="s">
        <v>19</v>
      </c>
      <c r="F13" t="s">
        <v>14</v>
      </c>
      <c r="G13" t="s">
        <v>16</v>
      </c>
      <c r="H13" s="1">
        <v>-582.7</v>
      </c>
      <c r="I13" s="2">
        <v>-582.42</v>
      </c>
      <c r="J13">
        <f t="shared" si="0"/>
        <v>0.280000000000086</v>
      </c>
      <c r="M13">
        <v>-582.7</v>
      </c>
      <c r="N13" s="1">
        <v>-582.42</v>
      </c>
    </row>
    <row r="14" spans="1:14">
      <c r="A14" t="s">
        <v>10</v>
      </c>
      <c r="B14" t="s">
        <v>11</v>
      </c>
      <c r="C14" t="s">
        <v>31</v>
      </c>
      <c r="D14" t="s">
        <v>32</v>
      </c>
      <c r="E14" t="s">
        <v>18</v>
      </c>
      <c r="F14" t="s">
        <v>19</v>
      </c>
      <c r="G14" t="s">
        <v>16</v>
      </c>
      <c r="H14" s="1">
        <v>935.71</v>
      </c>
      <c r="I14" s="2">
        <v>935.41</v>
      </c>
      <c r="J14">
        <f t="shared" si="0"/>
        <v>-0.300000000000068</v>
      </c>
      <c r="M14">
        <v>935.71</v>
      </c>
      <c r="N14" s="1">
        <v>935.41</v>
      </c>
    </row>
    <row r="15" spans="1:14">
      <c r="A15" t="s">
        <v>10</v>
      </c>
      <c r="B15" t="s">
        <v>11</v>
      </c>
      <c r="C15" t="s">
        <v>33</v>
      </c>
      <c r="D15" t="s">
        <v>32</v>
      </c>
      <c r="E15" t="s">
        <v>18</v>
      </c>
      <c r="F15" t="s">
        <v>18</v>
      </c>
      <c r="G15" t="s">
        <v>16</v>
      </c>
      <c r="H15" s="1">
        <v>581.12</v>
      </c>
      <c r="I15" s="2">
        <v>580.86</v>
      </c>
      <c r="J15">
        <f t="shared" si="0"/>
        <v>-0.259999999999991</v>
      </c>
      <c r="M15">
        <v>581.12</v>
      </c>
      <c r="N15" s="1">
        <v>580.86</v>
      </c>
    </row>
    <row r="16" spans="1:14">
      <c r="A16" t="s">
        <v>10</v>
      </c>
      <c r="B16" t="s">
        <v>11</v>
      </c>
      <c r="C16" t="s">
        <v>34</v>
      </c>
      <c r="D16" t="s">
        <v>32</v>
      </c>
      <c r="E16" t="s">
        <v>18</v>
      </c>
      <c r="F16" t="s">
        <v>14</v>
      </c>
      <c r="G16" t="s">
        <v>16</v>
      </c>
      <c r="H16" s="1">
        <v>1103.35</v>
      </c>
      <c r="I16" s="2">
        <v>1105.86</v>
      </c>
      <c r="J16">
        <f t="shared" si="0"/>
        <v>2.50999999999999</v>
      </c>
      <c r="M16">
        <v>1103.35</v>
      </c>
      <c r="N16" s="1">
        <v>1105.86</v>
      </c>
    </row>
    <row r="17" spans="1:14">
      <c r="A17" t="s">
        <v>10</v>
      </c>
      <c r="B17" t="s">
        <v>11</v>
      </c>
      <c r="C17" t="s">
        <v>35</v>
      </c>
      <c r="D17" t="s">
        <v>32</v>
      </c>
      <c r="E17" t="s">
        <v>18</v>
      </c>
      <c r="F17" t="s">
        <v>36</v>
      </c>
      <c r="G17" t="s">
        <v>16</v>
      </c>
      <c r="H17" s="1">
        <v>594.07</v>
      </c>
      <c r="I17" s="2">
        <v>594.43</v>
      </c>
      <c r="J17">
        <f t="shared" si="0"/>
        <v>0.3599999999999</v>
      </c>
      <c r="M17">
        <v>594.07</v>
      </c>
      <c r="N17" s="1">
        <v>594.43</v>
      </c>
    </row>
    <row r="18" spans="1:14">
      <c r="A18" t="s">
        <v>10</v>
      </c>
      <c r="B18" t="s">
        <v>11</v>
      </c>
      <c r="C18" t="s">
        <v>37</v>
      </c>
      <c r="D18" t="s">
        <v>32</v>
      </c>
      <c r="E18" t="s">
        <v>18</v>
      </c>
      <c r="F18" t="s">
        <v>38</v>
      </c>
      <c r="G18" t="s">
        <v>16</v>
      </c>
      <c r="H18" s="1">
        <v>579.43</v>
      </c>
      <c r="I18" s="2">
        <v>579.47</v>
      </c>
      <c r="J18">
        <f t="shared" si="0"/>
        <v>0.0400000000000773</v>
      </c>
      <c r="M18">
        <v>579.43</v>
      </c>
      <c r="N18" s="1">
        <v>579.47</v>
      </c>
    </row>
    <row r="19" spans="1:14">
      <c r="A19" t="s">
        <v>10</v>
      </c>
      <c r="B19" t="s">
        <v>11</v>
      </c>
      <c r="C19" t="s">
        <v>39</v>
      </c>
      <c r="D19" t="s">
        <v>32</v>
      </c>
      <c r="E19" t="s">
        <v>18</v>
      </c>
      <c r="F19" t="s">
        <v>40</v>
      </c>
      <c r="G19" t="s">
        <v>16</v>
      </c>
      <c r="H19" s="1">
        <v>588.51</v>
      </c>
      <c r="I19" s="2">
        <v>588.73</v>
      </c>
      <c r="J19">
        <f t="shared" si="0"/>
        <v>0.220000000000027</v>
      </c>
      <c r="M19">
        <v>588.51</v>
      </c>
      <c r="N19" s="1">
        <v>588.73</v>
      </c>
    </row>
    <row r="20" spans="1:14">
      <c r="A20" t="s">
        <v>10</v>
      </c>
      <c r="B20" t="s">
        <v>11</v>
      </c>
      <c r="C20" t="s">
        <v>41</v>
      </c>
      <c r="D20" t="s">
        <v>32</v>
      </c>
      <c r="E20" t="s">
        <v>18</v>
      </c>
      <c r="F20" t="s">
        <v>42</v>
      </c>
      <c r="G20" t="s">
        <v>16</v>
      </c>
      <c r="H20" s="1">
        <v>586.92</v>
      </c>
      <c r="I20" s="2">
        <v>587.35</v>
      </c>
      <c r="J20">
        <f t="shared" si="0"/>
        <v>0.430000000000064</v>
      </c>
      <c r="M20">
        <v>586.92</v>
      </c>
      <c r="N20" s="1">
        <v>587.35</v>
      </c>
    </row>
    <row r="21" spans="1:14">
      <c r="A21" t="s">
        <v>10</v>
      </c>
      <c r="B21" t="s">
        <v>11</v>
      </c>
      <c r="C21" t="s">
        <v>43</v>
      </c>
      <c r="D21" t="s">
        <v>32</v>
      </c>
      <c r="E21" t="s">
        <v>19</v>
      </c>
      <c r="F21" t="s">
        <v>18</v>
      </c>
      <c r="G21" t="s">
        <v>16</v>
      </c>
      <c r="H21" s="1">
        <v>-654.29</v>
      </c>
      <c r="I21" s="2">
        <v>-655.07</v>
      </c>
      <c r="J21">
        <f t="shared" si="0"/>
        <v>-0.780000000000086</v>
      </c>
      <c r="M21">
        <v>-654.29</v>
      </c>
      <c r="N21" s="1">
        <v>-655.07</v>
      </c>
    </row>
    <row r="22" spans="1:14">
      <c r="A22" t="s">
        <v>10</v>
      </c>
      <c r="B22" t="s">
        <v>11</v>
      </c>
      <c r="C22" t="s">
        <v>44</v>
      </c>
      <c r="D22" t="s">
        <v>32</v>
      </c>
      <c r="E22" t="s">
        <v>19</v>
      </c>
      <c r="F22" t="s">
        <v>14</v>
      </c>
      <c r="G22" t="s">
        <v>16</v>
      </c>
      <c r="H22" s="1">
        <v>-504.17</v>
      </c>
      <c r="I22" s="2">
        <v>-504.59</v>
      </c>
      <c r="J22">
        <f t="shared" si="0"/>
        <v>-0.419999999999959</v>
      </c>
      <c r="M22">
        <v>-504.17</v>
      </c>
      <c r="N22" s="1">
        <v>-504.59</v>
      </c>
    </row>
    <row r="23" spans="1:14">
      <c r="A23" t="s">
        <v>10</v>
      </c>
      <c r="B23" t="s">
        <v>11</v>
      </c>
      <c r="C23" t="s">
        <v>45</v>
      </c>
      <c r="D23" t="s">
        <v>32</v>
      </c>
      <c r="E23" t="s">
        <v>19</v>
      </c>
      <c r="F23" t="s">
        <v>36</v>
      </c>
      <c r="G23" t="s">
        <v>16</v>
      </c>
      <c r="H23" s="1">
        <v>-595.02</v>
      </c>
      <c r="I23" s="2">
        <v>-595.78</v>
      </c>
      <c r="J23">
        <f t="shared" si="0"/>
        <v>-0.759999999999991</v>
      </c>
      <c r="M23">
        <v>-595.02</v>
      </c>
      <c r="N23" s="1">
        <v>-595.78</v>
      </c>
    </row>
    <row r="24" spans="1:14">
      <c r="A24" t="s">
        <v>10</v>
      </c>
      <c r="B24" t="s">
        <v>11</v>
      </c>
      <c r="C24" t="s">
        <v>46</v>
      </c>
      <c r="D24" t="s">
        <v>32</v>
      </c>
      <c r="E24" t="s">
        <v>19</v>
      </c>
      <c r="F24" t="s">
        <v>38</v>
      </c>
      <c r="G24" t="s">
        <v>16</v>
      </c>
      <c r="H24" s="1">
        <v>-581.29</v>
      </c>
      <c r="I24" s="2">
        <v>-581.58</v>
      </c>
      <c r="J24">
        <f t="shared" si="0"/>
        <v>-0.290000000000077</v>
      </c>
      <c r="M24">
        <v>-581.29</v>
      </c>
      <c r="N24" s="1">
        <v>-581.58</v>
      </c>
    </row>
    <row r="25" spans="1:14">
      <c r="A25" t="s">
        <v>10</v>
      </c>
      <c r="B25" t="s">
        <v>11</v>
      </c>
      <c r="C25" t="s">
        <v>47</v>
      </c>
      <c r="D25" t="s">
        <v>32</v>
      </c>
      <c r="E25" t="s">
        <v>19</v>
      </c>
      <c r="F25" t="s">
        <v>40</v>
      </c>
      <c r="G25" t="s">
        <v>16</v>
      </c>
      <c r="H25" s="1">
        <v>-591</v>
      </c>
      <c r="I25" s="2">
        <v>-591.39</v>
      </c>
      <c r="J25">
        <f t="shared" si="0"/>
        <v>-0.389999999999986</v>
      </c>
      <c r="M25">
        <v>-591</v>
      </c>
      <c r="N25" s="1">
        <v>-591.39</v>
      </c>
    </row>
    <row r="26" spans="1:14">
      <c r="A26" t="s">
        <v>10</v>
      </c>
      <c r="B26" t="s">
        <v>11</v>
      </c>
      <c r="C26" t="s">
        <v>48</v>
      </c>
      <c r="D26" t="s">
        <v>32</v>
      </c>
      <c r="E26" t="s">
        <v>19</v>
      </c>
      <c r="F26" t="s">
        <v>42</v>
      </c>
      <c r="G26" t="s">
        <v>16</v>
      </c>
      <c r="H26" s="1">
        <v>-588.14</v>
      </c>
      <c r="I26" s="2">
        <v>-588.53</v>
      </c>
      <c r="J26">
        <f t="shared" si="0"/>
        <v>-0.389999999999986</v>
      </c>
      <c r="M26">
        <v>-588.14</v>
      </c>
      <c r="N26" s="1">
        <v>-588.53</v>
      </c>
    </row>
    <row r="27" spans="1:14">
      <c r="A27" t="s">
        <v>10</v>
      </c>
      <c r="B27" t="s">
        <v>11</v>
      </c>
      <c r="C27" t="s">
        <v>49</v>
      </c>
      <c r="D27" t="s">
        <v>50</v>
      </c>
      <c r="E27" t="s">
        <v>18</v>
      </c>
      <c r="F27" t="s">
        <v>51</v>
      </c>
      <c r="G27" t="s">
        <v>16</v>
      </c>
      <c r="H27" s="1">
        <v>936.29</v>
      </c>
      <c r="I27" s="2">
        <v>936.16</v>
      </c>
      <c r="J27">
        <f t="shared" si="0"/>
        <v>-0.129999999999995</v>
      </c>
      <c r="M27">
        <v>936.29</v>
      </c>
      <c r="N27" s="1">
        <v>936.16</v>
      </c>
    </row>
    <row r="28" spans="1:14">
      <c r="A28" t="s">
        <v>10</v>
      </c>
      <c r="B28" t="s">
        <v>11</v>
      </c>
      <c r="C28" t="s">
        <v>52</v>
      </c>
      <c r="D28" t="s">
        <v>50</v>
      </c>
      <c r="E28" t="s">
        <v>18</v>
      </c>
      <c r="F28" t="s">
        <v>53</v>
      </c>
      <c r="G28" t="s">
        <v>16</v>
      </c>
      <c r="H28" s="1">
        <v>630.02</v>
      </c>
      <c r="I28" s="2">
        <v>630.35</v>
      </c>
      <c r="J28">
        <f t="shared" si="0"/>
        <v>0.330000000000041</v>
      </c>
      <c r="M28">
        <v>630.02</v>
      </c>
      <c r="N28" s="1">
        <v>630.35</v>
      </c>
    </row>
    <row r="29" spans="1:14">
      <c r="A29" t="s">
        <v>10</v>
      </c>
      <c r="B29" t="s">
        <v>11</v>
      </c>
      <c r="C29" t="s">
        <v>54</v>
      </c>
      <c r="D29" t="s">
        <v>50</v>
      </c>
      <c r="E29" t="s">
        <v>18</v>
      </c>
      <c r="F29" t="s">
        <v>55</v>
      </c>
      <c r="G29" t="s">
        <v>16</v>
      </c>
      <c r="H29" s="1">
        <v>648.42</v>
      </c>
      <c r="I29" s="2">
        <v>648.55</v>
      </c>
      <c r="J29">
        <f t="shared" si="0"/>
        <v>0.129999999999995</v>
      </c>
      <c r="M29">
        <v>648.42</v>
      </c>
      <c r="N29" s="1">
        <v>648.55</v>
      </c>
    </row>
    <row r="30" spans="1:14">
      <c r="A30" t="s">
        <v>10</v>
      </c>
      <c r="B30" t="s">
        <v>11</v>
      </c>
      <c r="C30" t="s">
        <v>56</v>
      </c>
      <c r="D30" t="s">
        <v>50</v>
      </c>
      <c r="E30" t="s">
        <v>18</v>
      </c>
      <c r="F30" t="s">
        <v>57</v>
      </c>
      <c r="G30" t="s">
        <v>16</v>
      </c>
      <c r="H30" s="1">
        <v>632.55</v>
      </c>
      <c r="I30" s="2">
        <v>634.07</v>
      </c>
      <c r="J30">
        <f t="shared" si="0"/>
        <v>1.5200000000001</v>
      </c>
      <c r="M30">
        <v>632.55</v>
      </c>
      <c r="N30" s="1">
        <v>634.07</v>
      </c>
    </row>
    <row r="31" spans="1:14">
      <c r="A31" t="s">
        <v>10</v>
      </c>
      <c r="B31" t="s">
        <v>11</v>
      </c>
      <c r="C31" t="s">
        <v>58</v>
      </c>
      <c r="D31" t="s">
        <v>50</v>
      </c>
      <c r="E31" t="s">
        <v>18</v>
      </c>
      <c r="F31" t="s">
        <v>59</v>
      </c>
      <c r="G31" t="s">
        <v>16</v>
      </c>
      <c r="H31" s="1">
        <v>624</v>
      </c>
      <c r="I31" s="2">
        <v>622.41</v>
      </c>
      <c r="J31">
        <f t="shared" si="0"/>
        <v>-1.59000000000003</v>
      </c>
      <c r="M31">
        <v>624</v>
      </c>
      <c r="N31" s="1">
        <v>622.41</v>
      </c>
    </row>
    <row r="32" spans="1:14">
      <c r="A32" t="s">
        <v>10</v>
      </c>
      <c r="B32" t="s">
        <v>11</v>
      </c>
      <c r="C32" t="s">
        <v>60</v>
      </c>
      <c r="D32" t="s">
        <v>50</v>
      </c>
      <c r="E32" t="s">
        <v>61</v>
      </c>
      <c r="F32" t="s">
        <v>62</v>
      </c>
      <c r="G32" t="s">
        <v>16</v>
      </c>
      <c r="H32" s="1">
        <v>-618.33</v>
      </c>
      <c r="I32" s="2">
        <v>-618.29</v>
      </c>
      <c r="J32">
        <f t="shared" si="0"/>
        <v>0.0400000000000773</v>
      </c>
      <c r="M32">
        <v>-618.33</v>
      </c>
      <c r="N32" s="1">
        <v>-618.29</v>
      </c>
    </row>
    <row r="33" spans="1:14">
      <c r="A33" t="s">
        <v>10</v>
      </c>
      <c r="B33" t="s">
        <v>11</v>
      </c>
      <c r="C33" t="s">
        <v>63</v>
      </c>
      <c r="D33" t="s">
        <v>50</v>
      </c>
      <c r="E33" t="s">
        <v>61</v>
      </c>
      <c r="F33" t="s">
        <v>51</v>
      </c>
      <c r="G33" t="s">
        <v>16</v>
      </c>
      <c r="H33" s="1">
        <v>-608.61</v>
      </c>
      <c r="I33" s="2">
        <v>-608.53</v>
      </c>
      <c r="J33">
        <f t="shared" si="0"/>
        <v>0.0800000000000409</v>
      </c>
      <c r="M33">
        <v>-608.61</v>
      </c>
      <c r="N33" s="1">
        <v>-608.53</v>
      </c>
    </row>
    <row r="34" spans="1:14">
      <c r="A34" t="s">
        <v>10</v>
      </c>
      <c r="B34" t="s">
        <v>11</v>
      </c>
      <c r="C34" t="s">
        <v>64</v>
      </c>
      <c r="D34" t="s">
        <v>50</v>
      </c>
      <c r="E34" t="s">
        <v>61</v>
      </c>
      <c r="F34" t="s">
        <v>53</v>
      </c>
      <c r="G34" t="s">
        <v>16</v>
      </c>
      <c r="H34" s="1">
        <v>-630.17</v>
      </c>
      <c r="I34" s="2">
        <v>-630.25</v>
      </c>
      <c r="J34">
        <f t="shared" si="0"/>
        <v>-0.0800000000000409</v>
      </c>
      <c r="M34">
        <v>-630.17</v>
      </c>
      <c r="N34" s="1">
        <v>-630.25</v>
      </c>
    </row>
    <row r="35" spans="1:14">
      <c r="A35" t="s">
        <v>10</v>
      </c>
      <c r="B35" t="s">
        <v>11</v>
      </c>
      <c r="C35" t="s">
        <v>65</v>
      </c>
      <c r="D35" t="s">
        <v>50</v>
      </c>
      <c r="E35" t="s">
        <v>61</v>
      </c>
      <c r="F35" t="s">
        <v>55</v>
      </c>
      <c r="G35" t="s">
        <v>16</v>
      </c>
      <c r="H35" s="1">
        <v>-650.09</v>
      </c>
      <c r="I35" s="2">
        <v>-650.27</v>
      </c>
      <c r="J35">
        <f t="shared" ref="J35:J58" si="1">N35-M35</f>
        <v>-0.17999999999995</v>
      </c>
      <c r="M35">
        <v>-650.09</v>
      </c>
      <c r="N35" s="1">
        <v>-650.27</v>
      </c>
    </row>
    <row r="36" spans="1:14">
      <c r="A36" t="s">
        <v>10</v>
      </c>
      <c r="B36" t="s">
        <v>11</v>
      </c>
      <c r="C36" t="s">
        <v>66</v>
      </c>
      <c r="D36" t="s">
        <v>50</v>
      </c>
      <c r="E36" t="s">
        <v>61</v>
      </c>
      <c r="F36" t="s">
        <v>57</v>
      </c>
      <c r="G36" t="s">
        <v>16</v>
      </c>
      <c r="H36" s="1">
        <v>-637.43</v>
      </c>
      <c r="I36" s="2">
        <v>-636.2</v>
      </c>
      <c r="J36">
        <f t="shared" si="1"/>
        <v>1.2299999999999</v>
      </c>
      <c r="M36">
        <v>-637.43</v>
      </c>
      <c r="N36" s="1">
        <v>-636.2</v>
      </c>
    </row>
    <row r="37" spans="1:14">
      <c r="A37" t="s">
        <v>10</v>
      </c>
      <c r="B37" t="s">
        <v>11</v>
      </c>
      <c r="C37" t="s">
        <v>67</v>
      </c>
      <c r="D37" t="s">
        <v>50</v>
      </c>
      <c r="E37" t="s">
        <v>61</v>
      </c>
      <c r="F37" t="s">
        <v>59</v>
      </c>
      <c r="G37" t="s">
        <v>16</v>
      </c>
      <c r="H37" s="1">
        <v>-622.48</v>
      </c>
      <c r="I37" s="2">
        <v>-625.01</v>
      </c>
      <c r="J37">
        <f t="shared" si="1"/>
        <v>-2.52999999999997</v>
      </c>
      <c r="M37">
        <v>-622.48</v>
      </c>
      <c r="N37" s="1">
        <v>-625.01</v>
      </c>
    </row>
    <row r="38" spans="1:14">
      <c r="A38" t="s">
        <v>10</v>
      </c>
      <c r="B38" t="s">
        <v>11</v>
      </c>
      <c r="C38" t="s">
        <v>68</v>
      </c>
      <c r="D38" t="s">
        <v>69</v>
      </c>
      <c r="E38" t="s">
        <v>14</v>
      </c>
      <c r="F38" t="s">
        <v>70</v>
      </c>
      <c r="G38" t="s">
        <v>16</v>
      </c>
      <c r="H38" s="1">
        <v>58.12</v>
      </c>
      <c r="I38" s="2">
        <v>58.26</v>
      </c>
      <c r="J38">
        <f t="shared" si="1"/>
        <v>0.140000000000001</v>
      </c>
      <c r="M38">
        <v>58.12</v>
      </c>
      <c r="N38" s="1">
        <v>58.26</v>
      </c>
    </row>
    <row r="39" spans="1:14">
      <c r="A39" t="s">
        <v>10</v>
      </c>
      <c r="B39" t="s">
        <v>11</v>
      </c>
      <c r="C39" t="s">
        <v>71</v>
      </c>
      <c r="D39" t="s">
        <v>69</v>
      </c>
      <c r="E39" t="s">
        <v>18</v>
      </c>
      <c r="F39" t="s">
        <v>72</v>
      </c>
      <c r="G39" t="s">
        <v>16</v>
      </c>
      <c r="H39" s="1">
        <v>765.12</v>
      </c>
      <c r="I39" s="2">
        <v>765.23</v>
      </c>
      <c r="J39">
        <f t="shared" si="1"/>
        <v>0.110000000000014</v>
      </c>
      <c r="M39">
        <v>765.12</v>
      </c>
      <c r="N39" s="1">
        <v>765.23</v>
      </c>
    </row>
    <row r="40" spans="1:14">
      <c r="A40" t="s">
        <v>10</v>
      </c>
      <c r="B40" t="s">
        <v>11</v>
      </c>
      <c r="C40" t="s">
        <v>73</v>
      </c>
      <c r="D40" t="s">
        <v>69</v>
      </c>
      <c r="E40" t="s">
        <v>61</v>
      </c>
      <c r="F40" t="s">
        <v>72</v>
      </c>
      <c r="G40" t="s">
        <v>16</v>
      </c>
      <c r="H40" s="1">
        <v>-43.02</v>
      </c>
      <c r="I40" s="2">
        <v>-42.87</v>
      </c>
      <c r="J40">
        <f t="shared" si="1"/>
        <v>0.150000000000006</v>
      </c>
      <c r="M40">
        <v>-43.02</v>
      </c>
      <c r="N40" s="1">
        <v>-42.87</v>
      </c>
    </row>
    <row r="41" spans="1:14">
      <c r="A41" t="s">
        <v>10</v>
      </c>
      <c r="B41" t="s">
        <v>11</v>
      </c>
      <c r="C41" t="s">
        <v>74</v>
      </c>
      <c r="D41" t="s">
        <v>69</v>
      </c>
      <c r="E41" t="s">
        <v>18</v>
      </c>
      <c r="F41" t="s">
        <v>75</v>
      </c>
      <c r="G41" t="s">
        <v>16</v>
      </c>
      <c r="H41" s="1">
        <v>1063.71</v>
      </c>
      <c r="I41" s="2">
        <v>1063.91</v>
      </c>
      <c r="J41">
        <f t="shared" si="1"/>
        <v>0.200000000000045</v>
      </c>
      <c r="M41">
        <v>1063.71</v>
      </c>
      <c r="N41" s="1">
        <v>1063.91</v>
      </c>
    </row>
    <row r="42" spans="1:14">
      <c r="A42" t="s">
        <v>10</v>
      </c>
      <c r="B42" t="s">
        <v>11</v>
      </c>
      <c r="C42" t="s">
        <v>76</v>
      </c>
      <c r="D42" t="s">
        <v>69</v>
      </c>
      <c r="E42" t="s">
        <v>18</v>
      </c>
      <c r="F42" t="s">
        <v>77</v>
      </c>
      <c r="G42" t="s">
        <v>16</v>
      </c>
      <c r="H42" s="1">
        <v>942.2</v>
      </c>
      <c r="I42" s="2">
        <v>942.4</v>
      </c>
      <c r="J42">
        <f t="shared" si="1"/>
        <v>0.199999999999932</v>
      </c>
      <c r="M42">
        <v>942.2</v>
      </c>
      <c r="N42" s="1">
        <v>942.4</v>
      </c>
    </row>
    <row r="43" spans="1:14">
      <c r="A43" t="s">
        <v>10</v>
      </c>
      <c r="B43" t="s">
        <v>11</v>
      </c>
      <c r="C43" t="s">
        <v>78</v>
      </c>
      <c r="D43" t="s">
        <v>69</v>
      </c>
      <c r="E43" t="s">
        <v>61</v>
      </c>
      <c r="F43" t="s">
        <v>75</v>
      </c>
      <c r="G43" t="s">
        <v>16</v>
      </c>
      <c r="H43" s="1">
        <v>-768.38</v>
      </c>
      <c r="I43" s="2">
        <v>-768.4</v>
      </c>
      <c r="J43">
        <f t="shared" si="1"/>
        <v>-0.0199999999999818</v>
      </c>
      <c r="M43">
        <v>-768.38</v>
      </c>
      <c r="N43" s="1">
        <v>-768.4</v>
      </c>
    </row>
    <row r="44" spans="1:14">
      <c r="A44" t="s">
        <v>10</v>
      </c>
      <c r="B44" t="s">
        <v>11</v>
      </c>
      <c r="C44" t="s">
        <v>79</v>
      </c>
      <c r="D44" t="s">
        <v>69</v>
      </c>
      <c r="E44" t="s">
        <v>61</v>
      </c>
      <c r="F44" t="s">
        <v>77</v>
      </c>
      <c r="G44" t="s">
        <v>16</v>
      </c>
      <c r="H44" s="1">
        <v>-626.82</v>
      </c>
      <c r="I44" s="2">
        <v>-627.18</v>
      </c>
      <c r="J44">
        <f t="shared" si="1"/>
        <v>-0.3599999999999</v>
      </c>
      <c r="M44">
        <v>-626.82</v>
      </c>
      <c r="N44" s="1">
        <v>-627.18</v>
      </c>
    </row>
    <row r="45" spans="1:14">
      <c r="A45" t="s">
        <v>10</v>
      </c>
      <c r="B45" t="s">
        <v>11</v>
      </c>
      <c r="C45" t="s">
        <v>80</v>
      </c>
      <c r="D45" t="s">
        <v>81</v>
      </c>
      <c r="E45" t="s">
        <v>18</v>
      </c>
      <c r="F45" t="s">
        <v>18</v>
      </c>
      <c r="G45" t="s">
        <v>82</v>
      </c>
      <c r="H45" s="1">
        <v>869.92</v>
      </c>
      <c r="I45" s="2">
        <v>911.9</v>
      </c>
      <c r="J45">
        <f t="shared" si="1"/>
        <v>41.98</v>
      </c>
      <c r="M45">
        <v>869.92</v>
      </c>
      <c r="N45" s="1">
        <v>911.9</v>
      </c>
    </row>
    <row r="46" spans="1:14">
      <c r="A46" t="s">
        <v>10</v>
      </c>
      <c r="B46" t="s">
        <v>11</v>
      </c>
      <c r="C46" t="s">
        <v>83</v>
      </c>
      <c r="D46" t="s">
        <v>81</v>
      </c>
      <c r="E46" t="s">
        <v>18</v>
      </c>
      <c r="F46" t="s">
        <v>14</v>
      </c>
      <c r="G46" t="s">
        <v>82</v>
      </c>
      <c r="H46" s="1">
        <v>1013.04</v>
      </c>
      <c r="I46" s="2">
        <v>1013.26</v>
      </c>
      <c r="J46">
        <f t="shared" si="1"/>
        <v>0.220000000000027</v>
      </c>
      <c r="M46">
        <v>1013.04</v>
      </c>
      <c r="N46" s="1">
        <v>1013.26</v>
      </c>
    </row>
    <row r="47" spans="1:14">
      <c r="A47" t="s">
        <v>10</v>
      </c>
      <c r="B47" t="s">
        <v>11</v>
      </c>
      <c r="C47" t="s">
        <v>84</v>
      </c>
      <c r="D47" t="s">
        <v>81</v>
      </c>
      <c r="E47" t="s">
        <v>19</v>
      </c>
      <c r="F47" t="s">
        <v>15</v>
      </c>
      <c r="G47" t="s">
        <v>82</v>
      </c>
      <c r="H47" s="1">
        <v>-242.81</v>
      </c>
      <c r="I47" s="2">
        <v>-242.72</v>
      </c>
      <c r="J47">
        <f t="shared" si="1"/>
        <v>0.0900000000000034</v>
      </c>
      <c r="M47">
        <v>-242.81</v>
      </c>
      <c r="N47" s="1">
        <v>-242.72</v>
      </c>
    </row>
    <row r="48" spans="1:14">
      <c r="A48" t="s">
        <v>10</v>
      </c>
      <c r="B48" t="s">
        <v>11</v>
      </c>
      <c r="C48" t="s">
        <v>85</v>
      </c>
      <c r="D48" t="s">
        <v>81</v>
      </c>
      <c r="E48" t="s">
        <v>19</v>
      </c>
      <c r="F48" t="s">
        <v>19</v>
      </c>
      <c r="G48" t="s">
        <v>82</v>
      </c>
      <c r="H48" s="1">
        <v>-0.97</v>
      </c>
      <c r="I48" s="2">
        <v>-1.01</v>
      </c>
      <c r="J48">
        <f t="shared" si="1"/>
        <v>-0.04</v>
      </c>
      <c r="M48">
        <v>-0.97</v>
      </c>
      <c r="N48" s="1">
        <v>-1.01</v>
      </c>
    </row>
    <row r="49" spans="1:14">
      <c r="A49" t="s">
        <v>10</v>
      </c>
      <c r="B49" t="s">
        <v>11</v>
      </c>
      <c r="C49" t="s">
        <v>86</v>
      </c>
      <c r="D49" t="s">
        <v>87</v>
      </c>
      <c r="E49" t="s">
        <v>18</v>
      </c>
      <c r="F49" t="s">
        <v>19</v>
      </c>
      <c r="G49" t="s">
        <v>16</v>
      </c>
      <c r="H49" s="1">
        <v>606.61</v>
      </c>
      <c r="I49" s="2">
        <v>607.42</v>
      </c>
      <c r="J49">
        <f t="shared" si="1"/>
        <v>0.809999999999945</v>
      </c>
      <c r="M49">
        <v>606.61</v>
      </c>
      <c r="N49" s="1">
        <v>607.42</v>
      </c>
    </row>
    <row r="50" spans="1:14">
      <c r="A50" t="s">
        <v>10</v>
      </c>
      <c r="B50" t="s">
        <v>11</v>
      </c>
      <c r="C50" t="s">
        <v>88</v>
      </c>
      <c r="D50" t="s">
        <v>87</v>
      </c>
      <c r="E50" t="s">
        <v>18</v>
      </c>
      <c r="F50" t="s">
        <v>18</v>
      </c>
      <c r="G50" t="s">
        <v>16</v>
      </c>
      <c r="H50" s="1">
        <v>466.88</v>
      </c>
      <c r="I50" s="2">
        <v>508.54</v>
      </c>
      <c r="J50">
        <f t="shared" si="1"/>
        <v>41.66</v>
      </c>
      <c r="M50">
        <v>466.88</v>
      </c>
      <c r="N50" s="1">
        <v>508.54</v>
      </c>
    </row>
    <row r="51" spans="1:14">
      <c r="A51" t="s">
        <v>10</v>
      </c>
      <c r="B51" t="s">
        <v>11</v>
      </c>
      <c r="C51" t="s">
        <v>89</v>
      </c>
      <c r="D51" t="s">
        <v>87</v>
      </c>
      <c r="E51" t="s">
        <v>18</v>
      </c>
      <c r="F51" t="s">
        <v>14</v>
      </c>
      <c r="G51" t="s">
        <v>16</v>
      </c>
      <c r="H51" s="1">
        <v>541.24</v>
      </c>
      <c r="I51" s="2">
        <v>581.33</v>
      </c>
      <c r="J51">
        <f t="shared" si="1"/>
        <v>40.09</v>
      </c>
      <c r="M51">
        <v>541.24</v>
      </c>
      <c r="N51" s="1">
        <v>581.33</v>
      </c>
    </row>
    <row r="52" spans="1:14">
      <c r="A52" t="s">
        <v>10</v>
      </c>
      <c r="B52" t="s">
        <v>11</v>
      </c>
      <c r="C52" t="s">
        <v>90</v>
      </c>
      <c r="D52" t="s">
        <v>87</v>
      </c>
      <c r="E52" t="s">
        <v>19</v>
      </c>
      <c r="F52" t="s">
        <v>19</v>
      </c>
      <c r="G52" t="s">
        <v>16</v>
      </c>
      <c r="H52" s="1">
        <v>-508.58</v>
      </c>
      <c r="I52" s="2">
        <v>-508.57</v>
      </c>
      <c r="J52">
        <f t="shared" si="1"/>
        <v>0.00999999999999091</v>
      </c>
      <c r="M52">
        <v>-508.58</v>
      </c>
      <c r="N52" s="1">
        <v>-508.57</v>
      </c>
    </row>
    <row r="53" spans="1:14">
      <c r="A53" t="s">
        <v>10</v>
      </c>
      <c r="B53" t="s">
        <v>11</v>
      </c>
      <c r="C53" t="s">
        <v>91</v>
      </c>
      <c r="D53" t="s">
        <v>87</v>
      </c>
      <c r="E53" t="s">
        <v>19</v>
      </c>
      <c r="F53" t="s">
        <v>18</v>
      </c>
      <c r="G53" t="s">
        <v>16</v>
      </c>
      <c r="H53" s="1">
        <v>-1082.87</v>
      </c>
      <c r="I53" s="2">
        <v>-1123.42</v>
      </c>
      <c r="J53">
        <f t="shared" si="1"/>
        <v>-40.5500000000002</v>
      </c>
      <c r="M53">
        <v>-1082.87</v>
      </c>
      <c r="N53" s="1">
        <v>-1123.42</v>
      </c>
    </row>
    <row r="54" spans="1:14">
      <c r="A54" t="s">
        <v>10</v>
      </c>
      <c r="B54" t="s">
        <v>11</v>
      </c>
      <c r="C54" t="s">
        <v>92</v>
      </c>
      <c r="D54" t="s">
        <v>87</v>
      </c>
      <c r="E54" t="s">
        <v>19</v>
      </c>
      <c r="F54" t="s">
        <v>14</v>
      </c>
      <c r="G54" t="s">
        <v>16</v>
      </c>
      <c r="H54" s="1">
        <v>-550.96</v>
      </c>
      <c r="I54" s="2">
        <v>-590.38</v>
      </c>
      <c r="J54">
        <f t="shared" si="1"/>
        <v>-39.42</v>
      </c>
      <c r="M54">
        <v>-550.96</v>
      </c>
      <c r="N54" s="1">
        <v>-590.38</v>
      </c>
    </row>
    <row r="55" spans="1:14">
      <c r="A55" t="s">
        <v>10</v>
      </c>
      <c r="B55" t="s">
        <v>11</v>
      </c>
      <c r="C55" t="s">
        <v>93</v>
      </c>
      <c r="D55" t="s">
        <v>94</v>
      </c>
      <c r="E55" t="s">
        <v>14</v>
      </c>
      <c r="F55" t="s">
        <v>15</v>
      </c>
      <c r="G55" t="s">
        <v>95</v>
      </c>
      <c r="H55" s="1">
        <v>83.09</v>
      </c>
      <c r="I55" s="6">
        <v>84.05</v>
      </c>
      <c r="J55">
        <f t="shared" si="1"/>
        <v>0.959999999999994</v>
      </c>
      <c r="M55">
        <v>83.09</v>
      </c>
      <c r="N55" s="7">
        <v>84.05</v>
      </c>
    </row>
    <row r="56" spans="1:14">
      <c r="A56" t="s">
        <v>10</v>
      </c>
      <c r="B56" t="s">
        <v>11</v>
      </c>
      <c r="C56" t="s">
        <v>96</v>
      </c>
      <c r="D56" t="s">
        <v>94</v>
      </c>
      <c r="E56" t="s">
        <v>18</v>
      </c>
      <c r="F56" t="s">
        <v>19</v>
      </c>
      <c r="G56" t="s">
        <v>95</v>
      </c>
      <c r="H56" s="1">
        <v>1089.55</v>
      </c>
      <c r="I56" s="6">
        <v>1130.03</v>
      </c>
      <c r="J56">
        <f t="shared" si="1"/>
        <v>40.48</v>
      </c>
      <c r="M56">
        <v>1089.55</v>
      </c>
      <c r="N56" s="7">
        <v>1130.03</v>
      </c>
    </row>
    <row r="57" spans="1:14">
      <c r="A57" t="s">
        <v>10</v>
      </c>
      <c r="B57" t="s">
        <v>11</v>
      </c>
      <c r="C57" t="s">
        <v>97</v>
      </c>
      <c r="D57" t="s">
        <v>94</v>
      </c>
      <c r="E57" t="s">
        <v>18</v>
      </c>
      <c r="F57" t="s">
        <v>18</v>
      </c>
      <c r="G57" t="s">
        <v>95</v>
      </c>
      <c r="H57" s="1">
        <v>410.41</v>
      </c>
      <c r="I57" s="6">
        <v>410.39</v>
      </c>
      <c r="J57">
        <f t="shared" si="1"/>
        <v>-0.0200000000000387</v>
      </c>
      <c r="M57">
        <v>410.41</v>
      </c>
      <c r="N57" s="7">
        <v>410.39</v>
      </c>
    </row>
    <row r="58" spans="1:14">
      <c r="A58" t="s">
        <v>10</v>
      </c>
      <c r="B58" t="s">
        <v>11</v>
      </c>
      <c r="C58" t="s">
        <v>98</v>
      </c>
      <c r="D58" t="s">
        <v>94</v>
      </c>
      <c r="E58" t="s">
        <v>18</v>
      </c>
      <c r="F58" t="s">
        <v>14</v>
      </c>
      <c r="G58" t="s">
        <v>95</v>
      </c>
      <c r="H58" s="1">
        <v>731.35</v>
      </c>
      <c r="I58" s="6">
        <v>731.27</v>
      </c>
      <c r="J58">
        <f t="shared" si="1"/>
        <v>-0.0800000000000409</v>
      </c>
      <c r="M58">
        <v>731.35</v>
      </c>
      <c r="N58" s="7">
        <v>731.27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2025-09-03T02:34:00Z</dcterms:created>
  <dcterms:modified xsi:type="dcterms:W3CDTF">2025-09-03T03:02:30Z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961C4DA47936442B9638D77C412C5943_12</vt:lpwstr>
  </property>
  <property fmtid="{D5CDD505-2E9C-101B-9397-08002B2CF9AE}" pid="3" name="KSOProductBuildVer">
    <vt:lpwstr>2052-12.1.0.21915</vt:lpwstr>
  </property>
</Properties>
</file>