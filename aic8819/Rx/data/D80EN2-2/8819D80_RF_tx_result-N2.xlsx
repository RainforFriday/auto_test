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2\"/>
    </mc:Choice>
  </mc:AlternateContent>
  <xr:revisionPtr revIDLastSave="0" documentId="13_ncr:1_{C4CDB7A4-8919-439A-8C8D-1DADAEB78A48}" xr6:coauthVersionLast="47" xr6:coauthVersionMax="47" xr10:uidLastSave="{00000000-0000-0000-0000-000000000000}"/>
  <bookViews>
    <workbookView xWindow="46470" yWindow="2220" windowWidth="21720" windowHeight="14085" tabRatio="722" firstSheet="1" activeTab="2" xr2:uid="{00000000-000D-0000-FFFF-FFFF00000000}"/>
  </bookViews>
  <sheets>
    <sheet name="Summary" sheetId="17" r:id="rId1"/>
    <sheet name="TX" sheetId="1" r:id="rId2"/>
    <sheet name="CH42MCS0" sheetId="7" r:id="rId3"/>
    <sheet name="CH58MCS0" sheetId="8" r:id="rId4"/>
    <sheet name="CH106MCS0" sheetId="9" r:id="rId5"/>
    <sheet name="CH122MCS11" sheetId="3" r:id="rId6"/>
    <sheet name="CH138MCS11" sheetId="5" r:id="rId7"/>
    <sheet name="CH155MCS11" sheetId="6" r:id="rId8"/>
    <sheet name="CH7rate03" sheetId="14" r:id="rId9"/>
    <sheet name="CH7MCS0" sheetId="15" r:id="rId10"/>
    <sheet name="CH7MCS11" sheetId="16" r:id="rId11"/>
  </sheets>
  <definedNames>
    <definedName name="_xlnm._FilterDatabase" localSheetId="4" hidden="1">CH106MCS0!$A$1:$U$1</definedName>
    <definedName name="_xlnm._FilterDatabase" localSheetId="5" hidden="1">CH122MCS11!$A$1:$U$1</definedName>
    <definedName name="_xlnm._FilterDatabase" localSheetId="6" hidden="1">CH138MCS11!$A$1:$U$1</definedName>
    <definedName name="_xlnm._FilterDatabase" localSheetId="7" hidden="1">CH155MCS11!$A$1:$U$1</definedName>
    <definedName name="_xlnm._FilterDatabase" localSheetId="2" hidden="1">CH42MCS0!$A$1:$R$1</definedName>
    <definedName name="_xlnm._FilterDatabase" localSheetId="3" hidden="1">CH58MCS0!$A$1:$U$1</definedName>
    <definedName name="_xlnm._FilterDatabase" localSheetId="9" hidden="1">CH7MCS0!$A$1:$U$211</definedName>
    <definedName name="_xlnm._FilterDatabase" localSheetId="10" hidden="1">CH7MCS11!$A$1:$R$211</definedName>
    <definedName name="_xlnm._FilterDatabase" localSheetId="8" hidden="1">CH7rate03!$A$1:$U$211</definedName>
    <definedName name="_xlnm._FilterDatabase" localSheetId="1" hidden="1">TX!$A$1:$J$3151</definedName>
  </definedNames>
  <calcPr calcId="181029"/>
</workbook>
</file>

<file path=xl/calcChain.xml><?xml version="1.0" encoding="utf-8"?>
<calcChain xmlns="http://schemas.openxmlformats.org/spreadsheetml/2006/main">
  <c r="O3" i="7" l="1"/>
  <c r="N3" i="7"/>
  <c r="O2" i="7"/>
  <c r="N2" i="7"/>
  <c r="O67" i="15"/>
  <c r="N67" i="15"/>
  <c r="O117" i="15"/>
  <c r="N117" i="15"/>
  <c r="O111" i="14"/>
  <c r="N111" i="14"/>
  <c r="Q111" i="14" s="1"/>
  <c r="S111" i="14" s="1"/>
  <c r="O41" i="14"/>
  <c r="N41" i="14"/>
  <c r="O39" i="6"/>
  <c r="N39" i="6"/>
  <c r="O103" i="6"/>
  <c r="N103" i="6"/>
  <c r="O3" i="5"/>
  <c r="N3" i="5"/>
  <c r="O2" i="5"/>
  <c r="N2" i="5"/>
  <c r="O43" i="3"/>
  <c r="N43" i="3"/>
  <c r="O108" i="3"/>
  <c r="N108" i="3"/>
  <c r="O39" i="9"/>
  <c r="N39" i="9"/>
  <c r="O114" i="9"/>
  <c r="N114" i="9"/>
  <c r="O35" i="8"/>
  <c r="N35" i="8"/>
  <c r="O100" i="8"/>
  <c r="N100" i="8"/>
  <c r="O59" i="16"/>
  <c r="N59" i="16"/>
  <c r="Q59" i="16" s="1"/>
  <c r="O87" i="16"/>
  <c r="N87" i="16"/>
  <c r="P2" i="7" l="1"/>
  <c r="R2" i="7" s="1"/>
  <c r="Q2" i="7"/>
  <c r="S2" i="7" s="1"/>
  <c r="P3" i="7"/>
  <c r="R3" i="7" s="1"/>
  <c r="Q3" i="7"/>
  <c r="S3" i="7" s="1"/>
  <c r="P67" i="15"/>
  <c r="R67" i="15" s="1"/>
  <c r="Q67" i="15"/>
  <c r="S67" i="15" s="1"/>
  <c r="P117" i="15"/>
  <c r="R117" i="15" s="1"/>
  <c r="Q117" i="15"/>
  <c r="S117" i="15" s="1"/>
  <c r="P41" i="14"/>
  <c r="R41" i="14" s="1"/>
  <c r="Q41" i="14"/>
  <c r="S41" i="14" s="1"/>
  <c r="P111" i="14"/>
  <c r="R111" i="14" s="1"/>
  <c r="T111" i="14" s="1"/>
  <c r="P103" i="6"/>
  <c r="R103" i="6" s="1"/>
  <c r="Q103" i="6"/>
  <c r="S103" i="6" s="1"/>
  <c r="Q39" i="6"/>
  <c r="S39" i="6" s="1"/>
  <c r="P39" i="6"/>
  <c r="R39" i="6" s="1"/>
  <c r="P2" i="5"/>
  <c r="R2" i="5" s="1"/>
  <c r="Q2" i="5"/>
  <c r="S2" i="5" s="1"/>
  <c r="P3" i="5"/>
  <c r="R3" i="5" s="1"/>
  <c r="Q3" i="5"/>
  <c r="S3" i="5" s="1"/>
  <c r="P108" i="3"/>
  <c r="R108" i="3" s="1"/>
  <c r="Q108" i="3"/>
  <c r="S108" i="3" s="1"/>
  <c r="Q43" i="3"/>
  <c r="S43" i="3" s="1"/>
  <c r="P43" i="3"/>
  <c r="R43" i="3" s="1"/>
  <c r="P114" i="9"/>
  <c r="R114" i="9" s="1"/>
  <c r="Q114" i="9"/>
  <c r="S114" i="9" s="1"/>
  <c r="P39" i="9"/>
  <c r="R39" i="9" s="1"/>
  <c r="Q39" i="9"/>
  <c r="S39" i="9" s="1"/>
  <c r="P100" i="8"/>
  <c r="R100" i="8" s="1"/>
  <c r="Q100" i="8"/>
  <c r="S100" i="8" s="1"/>
  <c r="P35" i="8"/>
  <c r="R35" i="8" s="1"/>
  <c r="Q35" i="8"/>
  <c r="S35" i="8" s="1"/>
  <c r="P87" i="16"/>
  <c r="R87" i="16" s="1"/>
  <c r="Q87" i="16"/>
  <c r="S2" i="16" s="1"/>
  <c r="P59" i="16"/>
  <c r="R59" i="16" s="1"/>
  <c r="S3" i="16"/>
  <c r="T2" i="7" l="1"/>
  <c r="T3" i="7"/>
  <c r="T103" i="6"/>
  <c r="T117" i="15"/>
  <c r="T67" i="15"/>
  <c r="T41" i="14"/>
  <c r="T39" i="6"/>
  <c r="T3" i="5"/>
  <c r="T2" i="5"/>
  <c r="T43" i="3"/>
  <c r="T108" i="3"/>
  <c r="T39" i="9"/>
  <c r="T114" i="9"/>
  <c r="T35" i="8"/>
  <c r="T100" i="8"/>
  <c r="T3" i="16"/>
  <c r="T2" i="16"/>
</calcChain>
</file>

<file path=xl/sharedStrings.xml><?xml version="1.0" encoding="utf-8"?>
<sst xmlns="http://schemas.openxmlformats.org/spreadsheetml/2006/main" count="3578" uniqueCount="34">
  <si>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</si>
  <si>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</si>
  <si>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</si>
  <si>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</si>
  <si>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</si>
  <si>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</si>
  <si>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</si>
  <si>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</si>
  <si>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</si>
  <si>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</si>
  <si>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0 3</t>
  </si>
  <si>
    <t>0 0</t>
  </si>
  <si>
    <t>5 0</t>
  </si>
  <si>
    <t>5 11</t>
  </si>
  <si>
    <t>155</t>
  </si>
  <si>
    <t>16</t>
  </si>
  <si>
    <t>Mean</t>
    <phoneticPr fontId="1" type="noConversion"/>
  </si>
  <si>
    <t>Ds</t>
    <phoneticPr fontId="1" type="noConversion"/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</si>
  <si>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</si>
  <si>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</si>
  <si>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</si>
  <si>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</si>
  <si>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</si>
  <si>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</si>
  <si>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PWR</t>
    <phoneticPr fontId="1" type="noConversion"/>
  </si>
  <si>
    <t>EVM</t>
  </si>
  <si>
    <t>index</t>
    <phoneticPr fontId="1" type="noConversion"/>
  </si>
  <si>
    <t>Total</t>
    <phoneticPr fontId="1" type="noConversion"/>
  </si>
  <si>
    <t>Yield(%)</t>
    <phoneticPr fontId="1" type="noConversion"/>
  </si>
  <si>
    <t>clock_error</t>
  </si>
  <si>
    <t>testmode19_2025_1113_2037.bin</t>
  </si>
  <si>
    <t>Float_err</t>
  </si>
  <si>
    <t>-29.86</t>
  </si>
  <si>
    <t>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</si>
</sst>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A07-2E1D-4BAA-98E9-DE1A1B1EAA56}">
  <dimension ref="A1:M31"/>
  <sheetViews>
    <sheetView workbookViewId="0">
      <selection activeCell="H22" sqref="H22"/>
    </sheetView>
  </sheetViews>
  <sheetFormatPr defaultRowHeight="13.5" x14ac:dyDescent="0.3"/>
  <cols>
    <col min="13" max="13" width="11.3984375" customWidth="1"/>
  </cols>
  <sheetData>
    <row r="1" spans="1:13" x14ac:dyDescent="0.3">
      <c r="A1" s="2" t="s">
        <v>2</v>
      </c>
      <c r="B1" s="2" t="s">
        <v>3</v>
      </c>
      <c r="C1" s="2" t="s">
        <v>26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27</v>
      </c>
      <c r="L1" s="2" t="s">
        <v>23</v>
      </c>
      <c r="M1" s="2" t="s">
        <v>28</v>
      </c>
    </row>
    <row r="2" spans="1:13" x14ac:dyDescent="0.3">
      <c r="A2" s="12">
        <v>42</v>
      </c>
      <c r="B2" s="12" t="s">
        <v>13</v>
      </c>
      <c r="C2" s="7" t="s">
        <v>24</v>
      </c>
      <c r="D2" s="8"/>
      <c r="E2" s="8"/>
      <c r="F2" s="8"/>
      <c r="G2" s="8"/>
      <c r="H2" s="8"/>
      <c r="I2" s="8"/>
      <c r="J2" s="8"/>
      <c r="K2" s="6"/>
      <c r="L2" s="6"/>
      <c r="M2" s="9"/>
    </row>
    <row r="3" spans="1:13" x14ac:dyDescent="0.3">
      <c r="A3" s="12"/>
      <c r="B3" s="12"/>
      <c r="C3" s="7" t="s">
        <v>25</v>
      </c>
      <c r="D3" s="8"/>
      <c r="E3" s="8"/>
      <c r="F3" s="8"/>
      <c r="G3" s="8"/>
      <c r="H3" s="8"/>
      <c r="I3" s="8"/>
      <c r="J3" s="8"/>
      <c r="K3" s="6"/>
      <c r="L3" s="6"/>
      <c r="M3" s="9"/>
    </row>
    <row r="4" spans="1:13" x14ac:dyDescent="0.3">
      <c r="A4" s="12">
        <v>58</v>
      </c>
      <c r="B4" s="12" t="s">
        <v>13</v>
      </c>
      <c r="C4" s="7" t="s">
        <v>24</v>
      </c>
      <c r="D4" s="8"/>
      <c r="E4" s="8"/>
      <c r="F4" s="8"/>
      <c r="G4" s="8"/>
      <c r="H4" s="8"/>
      <c r="I4" s="8"/>
      <c r="J4" s="8"/>
      <c r="K4" s="6"/>
      <c r="L4" s="6"/>
      <c r="M4" s="9"/>
    </row>
    <row r="5" spans="1:13" x14ac:dyDescent="0.3">
      <c r="A5" s="12"/>
      <c r="B5" s="12"/>
      <c r="C5" s="7" t="s">
        <v>25</v>
      </c>
      <c r="D5" s="8"/>
      <c r="E5" s="8"/>
      <c r="F5" s="8"/>
      <c r="G5" s="8"/>
      <c r="H5" s="8"/>
      <c r="I5" s="8"/>
      <c r="J5" s="8"/>
      <c r="K5" s="6"/>
      <c r="L5" s="6"/>
      <c r="M5" s="9"/>
    </row>
    <row r="6" spans="1:13" x14ac:dyDescent="0.3">
      <c r="A6" s="12">
        <v>106</v>
      </c>
      <c r="B6" s="12" t="s">
        <v>13</v>
      </c>
      <c r="C6" s="7" t="s">
        <v>24</v>
      </c>
      <c r="D6" s="8"/>
      <c r="E6" s="8"/>
      <c r="F6" s="8"/>
      <c r="G6" s="8"/>
      <c r="H6" s="8"/>
      <c r="I6" s="8"/>
      <c r="J6" s="8"/>
      <c r="K6" s="6"/>
      <c r="L6" s="6"/>
      <c r="M6" s="9"/>
    </row>
    <row r="7" spans="1:13" x14ac:dyDescent="0.3">
      <c r="A7" s="12"/>
      <c r="B7" s="12"/>
      <c r="C7" s="7" t="s">
        <v>25</v>
      </c>
      <c r="D7" s="8"/>
      <c r="E7" s="8"/>
      <c r="F7" s="8"/>
      <c r="G7" s="8"/>
      <c r="H7" s="8"/>
      <c r="I7" s="8"/>
      <c r="J7" s="8"/>
      <c r="K7" s="6"/>
      <c r="L7" s="6"/>
      <c r="M7" s="9"/>
    </row>
    <row r="8" spans="1:13" x14ac:dyDescent="0.3">
      <c r="A8" s="12">
        <v>122</v>
      </c>
      <c r="B8" s="12" t="s">
        <v>13</v>
      </c>
      <c r="C8" s="7" t="s">
        <v>24</v>
      </c>
      <c r="D8" s="8"/>
      <c r="E8" s="8"/>
      <c r="F8" s="8"/>
      <c r="G8" s="8"/>
      <c r="H8" s="8"/>
      <c r="I8" s="8"/>
      <c r="J8" s="8"/>
      <c r="K8" s="6"/>
      <c r="L8" s="6"/>
      <c r="M8" s="9"/>
    </row>
    <row r="9" spans="1:13" x14ac:dyDescent="0.3">
      <c r="A9" s="12"/>
      <c r="B9" s="12"/>
      <c r="C9" s="7" t="s">
        <v>25</v>
      </c>
      <c r="D9" s="8"/>
      <c r="E9" s="8"/>
      <c r="F9" s="8"/>
      <c r="G9" s="8"/>
      <c r="H9" s="8"/>
      <c r="I9" s="8"/>
      <c r="J9" s="8"/>
      <c r="K9" s="6"/>
      <c r="L9" s="6"/>
      <c r="M9" s="9"/>
    </row>
    <row r="10" spans="1:13" x14ac:dyDescent="0.3">
      <c r="A10" s="12">
        <v>138</v>
      </c>
      <c r="B10" s="12" t="s">
        <v>13</v>
      </c>
      <c r="C10" s="7" t="s">
        <v>24</v>
      </c>
      <c r="D10" s="8"/>
      <c r="E10" s="8"/>
      <c r="F10" s="8"/>
      <c r="G10" s="8"/>
      <c r="H10" s="8"/>
      <c r="I10" s="8"/>
      <c r="J10" s="8"/>
      <c r="K10" s="6"/>
      <c r="L10" s="6"/>
      <c r="M10" s="9"/>
    </row>
    <row r="11" spans="1:13" x14ac:dyDescent="0.3">
      <c r="A11" s="12"/>
      <c r="B11" s="12"/>
      <c r="C11" s="7" t="s">
        <v>25</v>
      </c>
      <c r="D11" s="8"/>
      <c r="E11" s="8"/>
      <c r="F11" s="8"/>
      <c r="G11" s="8"/>
      <c r="H11" s="8"/>
      <c r="I11" s="8"/>
      <c r="J11" s="8"/>
      <c r="K11" s="6"/>
      <c r="L11" s="6"/>
      <c r="M11" s="9"/>
    </row>
    <row r="12" spans="1:13" x14ac:dyDescent="0.3">
      <c r="A12" s="12">
        <v>155</v>
      </c>
      <c r="B12" s="12" t="s">
        <v>13</v>
      </c>
      <c r="C12" s="7" t="s">
        <v>24</v>
      </c>
      <c r="D12" s="8"/>
      <c r="E12" s="8"/>
      <c r="F12" s="8"/>
      <c r="G12" s="8"/>
      <c r="H12" s="8"/>
      <c r="I12" s="8"/>
      <c r="J12" s="8"/>
      <c r="K12" s="6"/>
      <c r="L12" s="6"/>
      <c r="M12" s="9"/>
    </row>
    <row r="13" spans="1:13" x14ac:dyDescent="0.3">
      <c r="A13" s="12"/>
      <c r="B13" s="12"/>
      <c r="C13" s="7" t="s">
        <v>25</v>
      </c>
      <c r="D13" s="8"/>
      <c r="E13" s="8"/>
      <c r="F13" s="8"/>
      <c r="G13" s="8"/>
      <c r="H13" s="8"/>
      <c r="I13" s="8"/>
      <c r="J13" s="8"/>
      <c r="K13" s="6"/>
      <c r="L13" s="6"/>
      <c r="M13" s="9"/>
    </row>
    <row r="14" spans="1:13" x14ac:dyDescent="0.3">
      <c r="A14" s="12">
        <v>42</v>
      </c>
      <c r="B14" s="12" t="s">
        <v>12</v>
      </c>
      <c r="C14" s="7" t="s">
        <v>24</v>
      </c>
      <c r="D14" s="8"/>
      <c r="E14" s="8"/>
      <c r="F14" s="8"/>
      <c r="G14" s="8"/>
      <c r="H14" s="8"/>
      <c r="I14" s="8"/>
      <c r="J14" s="8"/>
      <c r="K14" s="6"/>
      <c r="L14" s="6"/>
      <c r="M14" s="9"/>
    </row>
    <row r="15" spans="1:13" x14ac:dyDescent="0.3">
      <c r="A15" s="12"/>
      <c r="B15" s="12"/>
      <c r="C15" s="7" t="s">
        <v>25</v>
      </c>
      <c r="D15" s="8"/>
      <c r="E15" s="8"/>
      <c r="F15" s="8"/>
      <c r="G15" s="8"/>
      <c r="H15" s="8"/>
      <c r="I15" s="8"/>
      <c r="J15" s="8"/>
      <c r="K15" s="6"/>
      <c r="L15" s="6"/>
      <c r="M15" s="9"/>
    </row>
    <row r="16" spans="1:13" x14ac:dyDescent="0.3">
      <c r="A16" s="12">
        <v>58</v>
      </c>
      <c r="B16" s="12" t="s">
        <v>12</v>
      </c>
      <c r="C16" s="7" t="s">
        <v>24</v>
      </c>
      <c r="D16" s="8"/>
      <c r="E16" s="8"/>
      <c r="F16" s="8"/>
      <c r="G16" s="8"/>
      <c r="H16" s="8"/>
      <c r="I16" s="8"/>
      <c r="J16" s="8"/>
      <c r="K16" s="6"/>
      <c r="L16" s="6"/>
      <c r="M16" s="9"/>
    </row>
    <row r="17" spans="1:13" x14ac:dyDescent="0.3">
      <c r="A17" s="12"/>
      <c r="B17" s="12"/>
      <c r="C17" s="7" t="s">
        <v>25</v>
      </c>
      <c r="D17" s="8"/>
      <c r="E17" s="8"/>
      <c r="F17" s="8"/>
      <c r="G17" s="8"/>
      <c r="H17" s="8"/>
      <c r="I17" s="8"/>
      <c r="J17" s="8"/>
      <c r="K17" s="6"/>
      <c r="L17" s="6"/>
      <c r="M17" s="9"/>
    </row>
    <row r="18" spans="1:13" x14ac:dyDescent="0.3">
      <c r="A18" s="12">
        <v>106</v>
      </c>
      <c r="B18" s="12" t="s">
        <v>12</v>
      </c>
      <c r="C18" s="7" t="s">
        <v>24</v>
      </c>
      <c r="D18" s="8"/>
      <c r="E18" s="8"/>
      <c r="F18" s="8"/>
      <c r="G18" s="8"/>
      <c r="H18" s="8"/>
      <c r="I18" s="8"/>
      <c r="J18" s="8"/>
      <c r="K18" s="6"/>
      <c r="L18" s="6"/>
      <c r="M18" s="9"/>
    </row>
    <row r="19" spans="1:13" x14ac:dyDescent="0.3">
      <c r="A19" s="12"/>
      <c r="B19" s="12"/>
      <c r="C19" s="7" t="s">
        <v>25</v>
      </c>
      <c r="D19" s="8"/>
      <c r="E19" s="8"/>
      <c r="F19" s="8"/>
      <c r="G19" s="8"/>
      <c r="H19" s="8"/>
      <c r="I19" s="8"/>
      <c r="J19" s="8"/>
      <c r="K19" s="6"/>
      <c r="L19" s="6"/>
      <c r="M19" s="9"/>
    </row>
    <row r="20" spans="1:13" x14ac:dyDescent="0.3">
      <c r="A20" s="12">
        <v>122</v>
      </c>
      <c r="B20" s="12" t="s">
        <v>12</v>
      </c>
      <c r="C20" s="7" t="s">
        <v>24</v>
      </c>
      <c r="D20" s="8"/>
      <c r="E20" s="8"/>
      <c r="F20" s="8"/>
      <c r="G20" s="8"/>
      <c r="H20" s="8"/>
      <c r="I20" s="8"/>
      <c r="J20" s="8"/>
      <c r="K20" s="6"/>
      <c r="L20" s="6"/>
      <c r="M20" s="9"/>
    </row>
    <row r="21" spans="1:13" x14ac:dyDescent="0.3">
      <c r="A21" s="12"/>
      <c r="B21" s="12"/>
      <c r="C21" s="7" t="s">
        <v>25</v>
      </c>
      <c r="D21" s="8"/>
      <c r="E21" s="8"/>
      <c r="F21" s="8"/>
      <c r="G21" s="8"/>
      <c r="H21" s="8"/>
      <c r="I21" s="8"/>
      <c r="J21" s="8"/>
      <c r="K21" s="6"/>
      <c r="L21" s="6"/>
      <c r="M21" s="9"/>
    </row>
    <row r="22" spans="1:13" x14ac:dyDescent="0.3">
      <c r="A22" s="12">
        <v>138</v>
      </c>
      <c r="B22" s="12" t="s">
        <v>12</v>
      </c>
      <c r="C22" s="7" t="s">
        <v>24</v>
      </c>
      <c r="D22" s="8"/>
      <c r="E22" s="8"/>
      <c r="F22" s="8"/>
      <c r="G22" s="8"/>
      <c r="H22" s="8"/>
      <c r="I22" s="8"/>
      <c r="J22" s="8"/>
      <c r="K22" s="6"/>
      <c r="L22" s="6"/>
      <c r="M22" s="9"/>
    </row>
    <row r="23" spans="1:13" x14ac:dyDescent="0.3">
      <c r="A23" s="12"/>
      <c r="B23" s="12"/>
      <c r="C23" s="7" t="s">
        <v>25</v>
      </c>
      <c r="D23" s="8"/>
      <c r="E23" s="8"/>
      <c r="F23" s="8"/>
      <c r="G23" s="8"/>
      <c r="H23" s="8"/>
      <c r="I23" s="8"/>
      <c r="J23" s="8"/>
      <c r="K23" s="6"/>
      <c r="L23" s="6"/>
      <c r="M23" s="9"/>
    </row>
    <row r="24" spans="1:13" x14ac:dyDescent="0.3">
      <c r="A24" s="12">
        <v>155</v>
      </c>
      <c r="B24" s="12" t="s">
        <v>12</v>
      </c>
      <c r="C24" s="7" t="s">
        <v>24</v>
      </c>
      <c r="D24" s="8"/>
      <c r="E24" s="8"/>
      <c r="F24" s="8"/>
      <c r="G24" s="8"/>
      <c r="H24" s="8"/>
      <c r="I24" s="8"/>
      <c r="J24" s="8"/>
      <c r="K24" s="6"/>
      <c r="L24" s="6"/>
      <c r="M24" s="9"/>
    </row>
    <row r="25" spans="1:13" x14ac:dyDescent="0.3">
      <c r="A25" s="12"/>
      <c r="B25" s="12"/>
      <c r="C25" s="7" t="s">
        <v>25</v>
      </c>
      <c r="D25" s="8"/>
      <c r="E25" s="8"/>
      <c r="F25" s="8"/>
      <c r="G25" s="8"/>
      <c r="H25" s="8"/>
      <c r="I25" s="8"/>
      <c r="J25" s="8"/>
      <c r="K25" s="6"/>
      <c r="L25" s="6"/>
      <c r="M25" s="9"/>
    </row>
    <row r="26" spans="1:13" x14ac:dyDescent="0.3">
      <c r="A26" s="12">
        <v>7</v>
      </c>
      <c r="B26" s="12" t="s">
        <v>10</v>
      </c>
      <c r="C26" s="7" t="s">
        <v>24</v>
      </c>
      <c r="D26" s="8"/>
      <c r="E26" s="8"/>
      <c r="F26" s="8"/>
      <c r="G26" s="8"/>
      <c r="H26" s="8"/>
      <c r="I26" s="8"/>
      <c r="J26" s="8"/>
      <c r="K26" s="6"/>
      <c r="L26" s="6"/>
      <c r="M26" s="9"/>
    </row>
    <row r="27" spans="1:13" x14ac:dyDescent="0.3">
      <c r="A27" s="12"/>
      <c r="B27" s="12"/>
      <c r="C27" s="7" t="s">
        <v>25</v>
      </c>
      <c r="D27" s="8"/>
      <c r="E27" s="8"/>
      <c r="F27" s="8"/>
      <c r="G27" s="8"/>
      <c r="H27" s="8"/>
      <c r="I27" s="8"/>
      <c r="J27" s="8"/>
      <c r="K27" s="6"/>
      <c r="L27" s="6"/>
      <c r="M27" s="9"/>
    </row>
    <row r="28" spans="1:13" x14ac:dyDescent="0.3">
      <c r="A28" s="12"/>
      <c r="B28" s="12" t="s">
        <v>12</v>
      </c>
      <c r="C28" s="7" t="s">
        <v>24</v>
      </c>
      <c r="D28" s="8"/>
      <c r="E28" s="8"/>
      <c r="F28" s="8"/>
      <c r="G28" s="8"/>
      <c r="H28" s="8"/>
      <c r="I28" s="8"/>
      <c r="J28" s="8"/>
      <c r="K28" s="6"/>
      <c r="L28" s="6"/>
      <c r="M28" s="9"/>
    </row>
    <row r="29" spans="1:13" x14ac:dyDescent="0.3">
      <c r="A29" s="12"/>
      <c r="B29" s="12"/>
      <c r="C29" s="7" t="s">
        <v>25</v>
      </c>
      <c r="D29" s="8"/>
      <c r="E29" s="8"/>
      <c r="F29" s="8"/>
      <c r="G29" s="8"/>
      <c r="H29" s="8"/>
      <c r="I29" s="8"/>
      <c r="J29" s="8"/>
      <c r="K29" s="6"/>
      <c r="L29" s="6"/>
      <c r="M29" s="9"/>
    </row>
    <row r="30" spans="1:13" x14ac:dyDescent="0.3">
      <c r="A30" s="12"/>
      <c r="B30" s="12" t="s">
        <v>13</v>
      </c>
      <c r="C30" s="7" t="s">
        <v>24</v>
      </c>
      <c r="D30" s="8"/>
      <c r="E30" s="8"/>
      <c r="F30" s="8"/>
      <c r="G30" s="8"/>
      <c r="H30" s="8"/>
      <c r="I30" s="8"/>
      <c r="J30" s="8"/>
      <c r="K30" s="6"/>
      <c r="L30" s="6"/>
      <c r="M30" s="9"/>
    </row>
    <row r="31" spans="1:13" x14ac:dyDescent="0.3">
      <c r="A31" s="12"/>
      <c r="B31" s="12"/>
      <c r="C31" s="7" t="s">
        <v>25</v>
      </c>
      <c r="D31" s="8"/>
      <c r="E31" s="8"/>
      <c r="F31" s="8"/>
      <c r="G31" s="8"/>
      <c r="H31" s="8"/>
      <c r="I31" s="8"/>
      <c r="J31" s="8"/>
      <c r="K31" s="6"/>
      <c r="L31" s="6"/>
      <c r="M31" s="9"/>
    </row>
  </sheetData>
  <mergeCells count="28">
    <mergeCell ref="A10:A11"/>
    <mergeCell ref="B4:B5"/>
    <mergeCell ref="B6:B7"/>
    <mergeCell ref="B8:B9"/>
    <mergeCell ref="B2:B3"/>
    <mergeCell ref="A2:A3"/>
    <mergeCell ref="A4:A5"/>
    <mergeCell ref="A6:A7"/>
    <mergeCell ref="A8:A9"/>
    <mergeCell ref="B10:B11"/>
    <mergeCell ref="B12:B13"/>
    <mergeCell ref="B14:B15"/>
    <mergeCell ref="B16:B17"/>
    <mergeCell ref="B18:B19"/>
    <mergeCell ref="B22:B23"/>
    <mergeCell ref="A12:A13"/>
    <mergeCell ref="A14:A15"/>
    <mergeCell ref="A16:A17"/>
    <mergeCell ref="A18:A19"/>
    <mergeCell ref="A20:A21"/>
    <mergeCell ref="B28:B29"/>
    <mergeCell ref="B30:B31"/>
    <mergeCell ref="B20:B21"/>
    <mergeCell ref="A24:A25"/>
    <mergeCell ref="A26:A31"/>
    <mergeCell ref="A22:A23"/>
    <mergeCell ref="B24:B25"/>
    <mergeCell ref="B26:B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I13" sqref="I13"/>
    </sheetView>
  </sheetViews>
  <sheetFormatPr defaultRowHeight="13.5" x14ac:dyDescent="0.3"/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84B-5022-4E8E-9E2B-10B8320D84D8}">
  <dimension ref="A1:V154"/>
  <sheetViews>
    <sheetView tabSelected="1" zoomScaleNormal="100" workbookViewId="0">
      <selection activeCell="P3" sqref="P3:Q3"/>
    </sheetView>
  </sheetViews>
  <sheetFormatPr defaultRowHeight="13.5" x14ac:dyDescent="0.3"/>
  <cols>
    <col min="3" max="3" width="4.3984375" customWidth="1"/>
    <col min="4" max="4" width="4.1328125" customWidth="1"/>
    <col min="5" max="5" width="5" customWidth="1"/>
    <col min="6" max="6" width="4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3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42</v>
      </c>
      <c r="D2" t="s">
        <v>12</v>
      </c>
      <c r="E2" t="s">
        <v>11</v>
      </c>
      <c r="F2">
        <v>16</v>
      </c>
      <c r="G2">
        <v>14.7</v>
      </c>
      <c r="H2">
        <v>-27.65</v>
      </c>
      <c r="I2">
        <v>0.25020219999999999</v>
      </c>
      <c r="J2">
        <v>2.1590120000000002</v>
      </c>
      <c r="K2">
        <v>-1.5</v>
      </c>
      <c r="N2">
        <f>AVERAGE(G2:G513)</f>
        <v>14.126967213114751</v>
      </c>
      <c r="O2">
        <f>STDEV(G2:G513)</f>
        <v>0.27278753680923562</v>
      </c>
      <c r="P2">
        <f>ROUND(N2 + 2, 1)</f>
        <v>16.100000000000001</v>
      </c>
      <c r="Q2">
        <f>ROUND(N2 -2, 1)</f>
        <v>12.1</v>
      </c>
      <c r="R2">
        <f>(P2-N2)/(3*O2)</f>
        <v>2.410951773388168</v>
      </c>
      <c r="S2">
        <f>(N2-Q2)/(3*O2)</f>
        <v>2.4768570646884549</v>
      </c>
      <c r="T2">
        <f>MIN(R2,S2)</f>
        <v>2.410951773388168</v>
      </c>
      <c r="V2">
        <v>0</v>
      </c>
    </row>
    <row r="3" spans="1:22" x14ac:dyDescent="0.3">
      <c r="A3">
        <v>2</v>
      </c>
      <c r="B3" t="s">
        <v>30</v>
      </c>
      <c r="C3">
        <v>42</v>
      </c>
      <c r="D3" t="s">
        <v>12</v>
      </c>
      <c r="E3" t="s">
        <v>11</v>
      </c>
      <c r="F3">
        <v>16</v>
      </c>
      <c r="G3">
        <v>14.82</v>
      </c>
      <c r="H3">
        <v>-25.75</v>
      </c>
      <c r="I3">
        <v>0.64712910000000001</v>
      </c>
      <c r="J3">
        <v>2.4499170000000001</v>
      </c>
      <c r="K3">
        <v>0.6</v>
      </c>
      <c r="N3">
        <f>AVERAGE(H2:H513)</f>
        <v>-26.229836065573767</v>
      </c>
      <c r="O3">
        <f>STDEV(H2:H513)</f>
        <v>1.1085214511294512</v>
      </c>
      <c r="P3">
        <f>ROUND(N3 + 2, 1)</f>
        <v>-24.2</v>
      </c>
      <c r="Q3">
        <f>ROUND(N3 -2, 1)</f>
        <v>-28.2</v>
      </c>
      <c r="R3">
        <f>(P3-N3)/(3*O3)</f>
        <v>0.61037341331422656</v>
      </c>
      <c r="S3">
        <f>(N3-Q3)/(3*O3)</f>
        <v>0.59242995325556391</v>
      </c>
      <c r="T3">
        <f>MIN(R3,S3)</f>
        <v>0.59242995325556391</v>
      </c>
      <c r="V3">
        <v>0</v>
      </c>
    </row>
    <row r="4" spans="1:22" x14ac:dyDescent="0.3">
      <c r="A4">
        <v>3</v>
      </c>
      <c r="B4" t="s">
        <v>30</v>
      </c>
      <c r="C4">
        <v>42</v>
      </c>
      <c r="D4" t="s">
        <v>12</v>
      </c>
      <c r="E4" t="s">
        <v>11</v>
      </c>
      <c r="F4">
        <v>16</v>
      </c>
      <c r="G4">
        <v>14.27</v>
      </c>
      <c r="H4">
        <v>-27.78</v>
      </c>
      <c r="I4">
        <v>-3.691792</v>
      </c>
      <c r="J4">
        <v>-1.485657</v>
      </c>
      <c r="K4">
        <v>-0.62</v>
      </c>
    </row>
    <row r="5" spans="1:22" x14ac:dyDescent="0.3">
      <c r="A5">
        <v>4</v>
      </c>
      <c r="B5" t="s">
        <v>30</v>
      </c>
      <c r="C5">
        <v>42</v>
      </c>
      <c r="D5" t="s">
        <v>12</v>
      </c>
      <c r="E5" t="s">
        <v>11</v>
      </c>
      <c r="F5">
        <v>16</v>
      </c>
      <c r="G5">
        <v>14.4</v>
      </c>
      <c r="H5">
        <v>-28.03</v>
      </c>
      <c r="I5">
        <v>-0.99400710000000003</v>
      </c>
      <c r="J5">
        <v>0.73769759999999995</v>
      </c>
      <c r="K5">
        <v>-0.27</v>
      </c>
    </row>
    <row r="6" spans="1:22" x14ac:dyDescent="0.3">
      <c r="A6">
        <v>5</v>
      </c>
      <c r="B6" t="s">
        <v>30</v>
      </c>
      <c r="C6">
        <v>42</v>
      </c>
      <c r="D6" t="s">
        <v>12</v>
      </c>
      <c r="E6" t="s">
        <v>11</v>
      </c>
      <c r="F6">
        <v>16</v>
      </c>
      <c r="G6">
        <v>14.58</v>
      </c>
      <c r="H6">
        <v>-25.03</v>
      </c>
      <c r="I6">
        <v>1.908123</v>
      </c>
      <c r="J6">
        <v>3.922752</v>
      </c>
      <c r="K6">
        <v>-1.42</v>
      </c>
    </row>
    <row r="7" spans="1:22" x14ac:dyDescent="0.3">
      <c r="A7">
        <v>6</v>
      </c>
      <c r="B7" t="s">
        <v>30</v>
      </c>
      <c r="C7">
        <v>42</v>
      </c>
      <c r="D7" t="s">
        <v>12</v>
      </c>
      <c r="E7" t="s">
        <v>11</v>
      </c>
      <c r="F7">
        <v>16</v>
      </c>
      <c r="G7">
        <v>14.45</v>
      </c>
      <c r="H7">
        <v>-26.31</v>
      </c>
      <c r="I7">
        <v>0.81857679999999999</v>
      </c>
      <c r="J7">
        <v>2.4967990000000002</v>
      </c>
      <c r="K7">
        <v>-1.69</v>
      </c>
    </row>
    <row r="8" spans="1:22" x14ac:dyDescent="0.3">
      <c r="A8">
        <v>7</v>
      </c>
      <c r="B8" t="s">
        <v>30</v>
      </c>
      <c r="C8">
        <v>42</v>
      </c>
      <c r="D8" t="s">
        <v>12</v>
      </c>
      <c r="E8" t="s">
        <v>11</v>
      </c>
      <c r="F8">
        <v>16</v>
      </c>
      <c r="G8">
        <v>14.26</v>
      </c>
      <c r="H8">
        <v>-25.08</v>
      </c>
      <c r="I8">
        <v>1.0679970000000001</v>
      </c>
      <c r="J8">
        <v>3.3777159999999999</v>
      </c>
      <c r="K8">
        <v>-1.78</v>
      </c>
    </row>
    <row r="9" spans="1:22" x14ac:dyDescent="0.3">
      <c r="A9">
        <v>7</v>
      </c>
      <c r="B9" t="s">
        <v>30</v>
      </c>
      <c r="C9">
        <v>42</v>
      </c>
      <c r="D9" t="s">
        <v>12</v>
      </c>
      <c r="E9" t="s">
        <v>11</v>
      </c>
      <c r="F9">
        <v>16</v>
      </c>
      <c r="G9">
        <v>14.54</v>
      </c>
      <c r="H9">
        <v>-26.21</v>
      </c>
      <c r="I9">
        <v>0.34341050000000001</v>
      </c>
      <c r="J9">
        <v>2.8824920000000001</v>
      </c>
      <c r="K9">
        <v>-0.42</v>
      </c>
    </row>
    <row r="10" spans="1:22" x14ac:dyDescent="0.3">
      <c r="A10">
        <v>8</v>
      </c>
      <c r="B10" t="s">
        <v>30</v>
      </c>
      <c r="C10">
        <v>42</v>
      </c>
      <c r="D10" t="s">
        <v>12</v>
      </c>
      <c r="E10" t="s">
        <v>11</v>
      </c>
      <c r="F10">
        <v>16</v>
      </c>
      <c r="G10">
        <v>14.48</v>
      </c>
      <c r="H10">
        <v>-24.58</v>
      </c>
      <c r="I10">
        <v>0.64856340000000001</v>
      </c>
      <c r="J10">
        <v>2.6776279999999999</v>
      </c>
      <c r="K10">
        <v>4.0199999999999996</v>
      </c>
    </row>
    <row r="11" spans="1:22" x14ac:dyDescent="0.3">
      <c r="A11">
        <v>9</v>
      </c>
      <c r="B11" t="s">
        <v>30</v>
      </c>
      <c r="C11">
        <v>42</v>
      </c>
      <c r="D11" t="s">
        <v>12</v>
      </c>
      <c r="E11" t="s">
        <v>11</v>
      </c>
      <c r="F11">
        <v>16</v>
      </c>
      <c r="G11">
        <v>14.48</v>
      </c>
      <c r="H11">
        <v>-25.58</v>
      </c>
      <c r="I11">
        <v>1.505905</v>
      </c>
      <c r="J11">
        <v>3.4458160000000002</v>
      </c>
      <c r="K11">
        <v>0.67</v>
      </c>
    </row>
    <row r="12" spans="1:22" x14ac:dyDescent="0.3">
      <c r="A12">
        <v>10</v>
      </c>
      <c r="B12" t="s">
        <v>30</v>
      </c>
      <c r="C12">
        <v>42</v>
      </c>
      <c r="D12" t="s">
        <v>12</v>
      </c>
      <c r="E12" t="s">
        <v>11</v>
      </c>
      <c r="F12">
        <v>16</v>
      </c>
      <c r="G12">
        <v>14.61</v>
      </c>
      <c r="H12">
        <v>-25.51</v>
      </c>
      <c r="I12">
        <v>0.90717700000000001</v>
      </c>
      <c r="J12">
        <v>2.6341549999999998</v>
      </c>
      <c r="K12">
        <v>3.41</v>
      </c>
    </row>
    <row r="13" spans="1:22" x14ac:dyDescent="0.3">
      <c r="A13" s="5">
        <v>11</v>
      </c>
      <c r="B13" t="s">
        <v>30</v>
      </c>
      <c r="C13">
        <v>42</v>
      </c>
      <c r="D13" t="s">
        <v>12</v>
      </c>
      <c r="E13" t="s">
        <v>11</v>
      </c>
      <c r="F13">
        <v>16</v>
      </c>
      <c r="G13">
        <v>14.5</v>
      </c>
      <c r="H13">
        <v>-23.56</v>
      </c>
      <c r="I13">
        <v>1.095852</v>
      </c>
      <c r="J13">
        <v>3.0174829999999999</v>
      </c>
      <c r="K13">
        <v>1.22</v>
      </c>
    </row>
    <row r="14" spans="1:22" x14ac:dyDescent="0.3">
      <c r="A14">
        <v>12</v>
      </c>
      <c r="B14" t="s">
        <v>30</v>
      </c>
      <c r="C14">
        <v>42</v>
      </c>
      <c r="D14" t="s">
        <v>12</v>
      </c>
      <c r="E14" t="s">
        <v>11</v>
      </c>
      <c r="F14">
        <v>16</v>
      </c>
      <c r="G14">
        <v>14.48</v>
      </c>
      <c r="H14">
        <v>-26.56</v>
      </c>
      <c r="I14">
        <v>0.89577870000000004</v>
      </c>
      <c r="J14">
        <v>2.5621070000000001</v>
      </c>
      <c r="K14">
        <v>-0.04</v>
      </c>
    </row>
    <row r="15" spans="1:22" x14ac:dyDescent="0.3">
      <c r="A15">
        <v>13</v>
      </c>
      <c r="B15" t="s">
        <v>30</v>
      </c>
      <c r="C15">
        <v>42</v>
      </c>
      <c r="D15" t="s">
        <v>12</v>
      </c>
      <c r="E15" t="s">
        <v>11</v>
      </c>
      <c r="F15">
        <v>16</v>
      </c>
      <c r="G15">
        <v>14.39</v>
      </c>
      <c r="H15">
        <v>-26.94</v>
      </c>
      <c r="I15">
        <v>-0.20577239999999999</v>
      </c>
      <c r="J15">
        <v>1.6381840000000001</v>
      </c>
      <c r="K15">
        <v>-0.17</v>
      </c>
    </row>
    <row r="16" spans="1:22" x14ac:dyDescent="0.3">
      <c r="A16">
        <v>14</v>
      </c>
      <c r="B16" t="s">
        <v>30</v>
      </c>
      <c r="C16">
        <v>42</v>
      </c>
      <c r="D16" t="s">
        <v>12</v>
      </c>
      <c r="E16" t="s">
        <v>11</v>
      </c>
      <c r="F16">
        <v>16</v>
      </c>
      <c r="G16">
        <v>14.03</v>
      </c>
      <c r="H16">
        <v>-26.03</v>
      </c>
      <c r="I16">
        <v>1.805447</v>
      </c>
      <c r="J16">
        <v>4.0456159999999999</v>
      </c>
      <c r="K16">
        <v>-0.1</v>
      </c>
    </row>
    <row r="17" spans="1:11" x14ac:dyDescent="0.3">
      <c r="A17">
        <v>15</v>
      </c>
      <c r="B17" t="s">
        <v>30</v>
      </c>
      <c r="C17">
        <v>42</v>
      </c>
      <c r="D17" t="s">
        <v>12</v>
      </c>
      <c r="E17" t="s">
        <v>11</v>
      </c>
      <c r="F17">
        <v>16</v>
      </c>
      <c r="G17">
        <v>14</v>
      </c>
      <c r="H17">
        <v>-26.84</v>
      </c>
      <c r="I17">
        <v>0.9776802</v>
      </c>
      <c r="J17">
        <v>3.0771790000000001</v>
      </c>
      <c r="K17">
        <v>0.64</v>
      </c>
    </row>
    <row r="18" spans="1:11" x14ac:dyDescent="0.3">
      <c r="A18">
        <v>16</v>
      </c>
      <c r="B18" t="s">
        <v>30</v>
      </c>
      <c r="C18">
        <v>42</v>
      </c>
      <c r="D18" t="s">
        <v>12</v>
      </c>
      <c r="E18" t="s">
        <v>11</v>
      </c>
      <c r="F18">
        <v>16</v>
      </c>
      <c r="G18">
        <v>14.16</v>
      </c>
      <c r="H18">
        <v>-26.03</v>
      </c>
      <c r="I18">
        <v>0.83051299999999995</v>
      </c>
      <c r="J18">
        <v>2.7953450000000002</v>
      </c>
      <c r="K18">
        <v>1.43</v>
      </c>
    </row>
    <row r="19" spans="1:11" x14ac:dyDescent="0.3">
      <c r="A19">
        <v>17</v>
      </c>
      <c r="B19" t="s">
        <v>30</v>
      </c>
      <c r="C19">
        <v>42</v>
      </c>
      <c r="D19" t="s">
        <v>12</v>
      </c>
      <c r="E19" t="s">
        <v>11</v>
      </c>
      <c r="F19">
        <v>16</v>
      </c>
      <c r="G19">
        <v>14.73</v>
      </c>
      <c r="H19">
        <v>-25.63</v>
      </c>
      <c r="I19">
        <v>1.3723639999999999</v>
      </c>
      <c r="J19">
        <v>3.2057039999999999</v>
      </c>
      <c r="K19">
        <v>2.58</v>
      </c>
    </row>
    <row r="20" spans="1:11" x14ac:dyDescent="0.3">
      <c r="A20">
        <v>18</v>
      </c>
      <c r="B20" t="s">
        <v>30</v>
      </c>
      <c r="C20">
        <v>42</v>
      </c>
      <c r="D20" t="s">
        <v>12</v>
      </c>
      <c r="E20" t="s">
        <v>11</v>
      </c>
      <c r="F20">
        <v>16</v>
      </c>
      <c r="G20">
        <v>14.39</v>
      </c>
      <c r="H20">
        <v>-25.81</v>
      </c>
      <c r="I20">
        <v>0.85040280000000001</v>
      </c>
      <c r="J20">
        <v>2.9243389999999998</v>
      </c>
      <c r="K20">
        <v>1.41</v>
      </c>
    </row>
    <row r="21" spans="1:11" x14ac:dyDescent="0.3">
      <c r="A21">
        <v>19</v>
      </c>
      <c r="B21" t="s">
        <v>30</v>
      </c>
      <c r="C21">
        <v>42</v>
      </c>
      <c r="D21" t="s">
        <v>12</v>
      </c>
      <c r="E21" t="s">
        <v>11</v>
      </c>
      <c r="F21">
        <v>16</v>
      </c>
      <c r="G21">
        <v>14.67</v>
      </c>
      <c r="H21">
        <v>-26.92</v>
      </c>
      <c r="I21">
        <v>7.0369719999999997E-2</v>
      </c>
      <c r="J21">
        <v>2.2185670000000002</v>
      </c>
      <c r="K21">
        <v>0.74</v>
      </c>
    </row>
    <row r="22" spans="1:11" x14ac:dyDescent="0.3">
      <c r="A22">
        <v>20</v>
      </c>
      <c r="B22" t="s">
        <v>30</v>
      </c>
      <c r="C22">
        <v>42</v>
      </c>
      <c r="D22" t="s">
        <v>12</v>
      </c>
      <c r="E22" t="s">
        <v>11</v>
      </c>
      <c r="F22">
        <v>16</v>
      </c>
      <c r="G22">
        <v>14.4</v>
      </c>
      <c r="H22">
        <v>-26.04</v>
      </c>
      <c r="I22">
        <v>2.215004</v>
      </c>
      <c r="J22">
        <v>4.0569649999999999</v>
      </c>
      <c r="K22">
        <v>-0.88</v>
      </c>
    </row>
    <row r="23" spans="1:11" x14ac:dyDescent="0.3">
      <c r="A23">
        <v>21</v>
      </c>
      <c r="B23" t="s">
        <v>30</v>
      </c>
      <c r="C23">
        <v>42</v>
      </c>
      <c r="D23" t="s">
        <v>12</v>
      </c>
      <c r="E23" t="s">
        <v>11</v>
      </c>
      <c r="F23">
        <v>16</v>
      </c>
      <c r="G23">
        <v>14.54</v>
      </c>
      <c r="H23">
        <v>-26.61</v>
      </c>
      <c r="I23">
        <v>1.1929320000000001</v>
      </c>
      <c r="J23">
        <v>3.06839</v>
      </c>
      <c r="K23">
        <v>0.56999999999999995</v>
      </c>
    </row>
    <row r="24" spans="1:11" x14ac:dyDescent="0.3">
      <c r="A24">
        <v>22</v>
      </c>
      <c r="B24" t="s">
        <v>30</v>
      </c>
      <c r="C24">
        <v>42</v>
      </c>
      <c r="D24" t="s">
        <v>12</v>
      </c>
      <c r="E24" t="s">
        <v>11</v>
      </c>
      <c r="F24">
        <v>16</v>
      </c>
      <c r="G24">
        <v>14.26</v>
      </c>
      <c r="H24">
        <v>-25.88</v>
      </c>
      <c r="I24">
        <v>0.83770750000000005</v>
      </c>
      <c r="J24">
        <v>2.8454130000000002</v>
      </c>
      <c r="K24">
        <v>-0.87</v>
      </c>
    </row>
    <row r="25" spans="1:11" x14ac:dyDescent="0.3">
      <c r="A25">
        <v>23</v>
      </c>
      <c r="B25" t="s">
        <v>30</v>
      </c>
      <c r="C25">
        <v>42</v>
      </c>
      <c r="D25" t="s">
        <v>12</v>
      </c>
      <c r="E25" t="s">
        <v>11</v>
      </c>
      <c r="F25">
        <v>16</v>
      </c>
      <c r="G25">
        <v>14.48</v>
      </c>
      <c r="H25">
        <v>-26.22</v>
      </c>
      <c r="I25">
        <v>0.48927690000000001</v>
      </c>
      <c r="J25">
        <v>2.264278</v>
      </c>
      <c r="K25">
        <v>0.33</v>
      </c>
    </row>
    <row r="26" spans="1:11" x14ac:dyDescent="0.3">
      <c r="A26">
        <v>24</v>
      </c>
      <c r="B26" t="s">
        <v>30</v>
      </c>
      <c r="C26">
        <v>42</v>
      </c>
      <c r="D26" t="s">
        <v>12</v>
      </c>
      <c r="E26" t="s">
        <v>11</v>
      </c>
      <c r="F26">
        <v>16</v>
      </c>
      <c r="G26">
        <v>14.18</v>
      </c>
      <c r="H26">
        <v>-24.88</v>
      </c>
      <c r="I26">
        <v>0.3539658</v>
      </c>
      <c r="J26">
        <v>2.8121529999999999</v>
      </c>
      <c r="K26">
        <v>3.98</v>
      </c>
    </row>
    <row r="27" spans="1:11" x14ac:dyDescent="0.3">
      <c r="A27">
        <v>25</v>
      </c>
      <c r="B27" t="s">
        <v>30</v>
      </c>
      <c r="C27">
        <v>42</v>
      </c>
      <c r="D27" t="s">
        <v>12</v>
      </c>
      <c r="E27" t="s">
        <v>11</v>
      </c>
      <c r="F27">
        <v>16</v>
      </c>
      <c r="G27">
        <v>14.04</v>
      </c>
      <c r="H27">
        <v>-27.2</v>
      </c>
      <c r="I27">
        <v>-1.6203650000000001</v>
      </c>
      <c r="J27">
        <v>3.642273E-2</v>
      </c>
      <c r="K27">
        <v>-0.21</v>
      </c>
    </row>
    <row r="28" spans="1:11" x14ac:dyDescent="0.3">
      <c r="A28">
        <v>26</v>
      </c>
      <c r="B28" t="s">
        <v>30</v>
      </c>
      <c r="C28">
        <v>42</v>
      </c>
      <c r="D28" t="s">
        <v>12</v>
      </c>
      <c r="E28" t="s">
        <v>11</v>
      </c>
      <c r="F28">
        <v>16</v>
      </c>
      <c r="G28">
        <v>14.16</v>
      </c>
      <c r="H28">
        <v>-24.59</v>
      </c>
      <c r="I28">
        <v>0.81111909999999998</v>
      </c>
      <c r="J28">
        <v>3.0324819999999999</v>
      </c>
      <c r="K28">
        <v>4.03</v>
      </c>
    </row>
    <row r="29" spans="1:11" x14ac:dyDescent="0.3">
      <c r="A29">
        <v>27</v>
      </c>
      <c r="B29" t="s">
        <v>30</v>
      </c>
      <c r="C29">
        <v>42</v>
      </c>
      <c r="D29" t="s">
        <v>12</v>
      </c>
      <c r="E29" t="s">
        <v>11</v>
      </c>
      <c r="F29">
        <v>16</v>
      </c>
      <c r="G29">
        <v>14.19</v>
      </c>
      <c r="H29">
        <v>-26.3</v>
      </c>
      <c r="I29">
        <v>4.0721889999999997E-2</v>
      </c>
      <c r="J29">
        <v>2.1635970000000002</v>
      </c>
      <c r="K29">
        <v>3.29</v>
      </c>
    </row>
    <row r="30" spans="1:11" x14ac:dyDescent="0.3">
      <c r="A30">
        <v>28</v>
      </c>
      <c r="B30" t="s">
        <v>30</v>
      </c>
      <c r="C30">
        <v>42</v>
      </c>
      <c r="D30" t="s">
        <v>12</v>
      </c>
      <c r="E30" t="s">
        <v>11</v>
      </c>
      <c r="F30">
        <v>16</v>
      </c>
      <c r="G30">
        <v>14.02</v>
      </c>
      <c r="H30">
        <v>-26.88</v>
      </c>
      <c r="I30">
        <v>2.9640199999999998E-2</v>
      </c>
      <c r="J30">
        <v>2.2913019999999999</v>
      </c>
      <c r="K30">
        <v>-0.39</v>
      </c>
    </row>
    <row r="31" spans="1:11" x14ac:dyDescent="0.3">
      <c r="A31">
        <v>29</v>
      </c>
      <c r="B31" t="s">
        <v>30</v>
      </c>
      <c r="C31">
        <v>42</v>
      </c>
      <c r="D31" t="s">
        <v>12</v>
      </c>
      <c r="E31" t="s">
        <v>11</v>
      </c>
      <c r="F31">
        <v>16</v>
      </c>
      <c r="G31">
        <v>14.38</v>
      </c>
      <c r="H31">
        <v>-26.03</v>
      </c>
      <c r="I31">
        <v>0.82774349999999997</v>
      </c>
      <c r="J31">
        <v>3.4245830000000002</v>
      </c>
      <c r="K31">
        <v>4.3499999999999996</v>
      </c>
    </row>
    <row r="32" spans="1:11" x14ac:dyDescent="0.3">
      <c r="A32">
        <v>30</v>
      </c>
      <c r="B32" t="s">
        <v>30</v>
      </c>
      <c r="C32">
        <v>42</v>
      </c>
      <c r="D32" t="s">
        <v>12</v>
      </c>
      <c r="E32" t="s">
        <v>11</v>
      </c>
      <c r="F32">
        <v>16</v>
      </c>
      <c r="G32">
        <v>14.36</v>
      </c>
      <c r="H32">
        <v>-27.41</v>
      </c>
      <c r="I32">
        <v>-3.4033319999999998</v>
      </c>
      <c r="J32">
        <v>-1.6166339999999999</v>
      </c>
      <c r="K32">
        <v>-0.01</v>
      </c>
    </row>
    <row r="33" spans="1:11" x14ac:dyDescent="0.3">
      <c r="A33">
        <v>31</v>
      </c>
      <c r="B33" t="s">
        <v>30</v>
      </c>
      <c r="C33">
        <v>42</v>
      </c>
      <c r="D33" t="s">
        <v>12</v>
      </c>
      <c r="E33" t="s">
        <v>11</v>
      </c>
      <c r="F33">
        <v>16</v>
      </c>
      <c r="G33">
        <v>14.25</v>
      </c>
      <c r="H33">
        <v>-28.03</v>
      </c>
      <c r="I33">
        <v>-0.82406230000000003</v>
      </c>
      <c r="J33">
        <v>1.4499820000000001</v>
      </c>
      <c r="K33">
        <v>-0.5</v>
      </c>
    </row>
    <row r="34" spans="1:11" x14ac:dyDescent="0.3">
      <c r="A34">
        <v>32</v>
      </c>
      <c r="B34" t="s">
        <v>30</v>
      </c>
      <c r="C34">
        <v>42</v>
      </c>
      <c r="D34" t="s">
        <v>12</v>
      </c>
      <c r="E34" t="s">
        <v>11</v>
      </c>
      <c r="F34">
        <v>16</v>
      </c>
      <c r="G34">
        <v>14.34</v>
      </c>
      <c r="H34">
        <v>-27.71</v>
      </c>
      <c r="I34">
        <v>0.45473479999999999</v>
      </c>
      <c r="J34">
        <v>2.226032</v>
      </c>
      <c r="K34">
        <v>0.15</v>
      </c>
    </row>
    <row r="35" spans="1:11" x14ac:dyDescent="0.3">
      <c r="A35">
        <v>33</v>
      </c>
      <c r="B35" t="s">
        <v>30</v>
      </c>
      <c r="C35">
        <v>42</v>
      </c>
      <c r="D35" t="s">
        <v>12</v>
      </c>
      <c r="E35" t="s">
        <v>11</v>
      </c>
      <c r="F35">
        <v>16</v>
      </c>
      <c r="G35">
        <v>14.13</v>
      </c>
      <c r="H35">
        <v>-26.29</v>
      </c>
      <c r="I35">
        <v>-1.0136909999999999</v>
      </c>
      <c r="J35">
        <v>1.2002409999999999</v>
      </c>
      <c r="K35">
        <v>3.15</v>
      </c>
    </row>
    <row r="36" spans="1:11" x14ac:dyDescent="0.3">
      <c r="A36">
        <v>34</v>
      </c>
      <c r="B36" t="s">
        <v>30</v>
      </c>
      <c r="C36">
        <v>42</v>
      </c>
      <c r="D36" t="s">
        <v>12</v>
      </c>
      <c r="E36" t="s">
        <v>11</v>
      </c>
      <c r="F36">
        <v>16</v>
      </c>
      <c r="G36">
        <v>14.52</v>
      </c>
      <c r="H36">
        <v>-27.83</v>
      </c>
      <c r="I36">
        <v>-0.37481690000000001</v>
      </c>
      <c r="J36">
        <v>1.2809520000000001</v>
      </c>
      <c r="K36">
        <v>0.84</v>
      </c>
    </row>
    <row r="37" spans="1:11" x14ac:dyDescent="0.3">
      <c r="A37">
        <v>35</v>
      </c>
      <c r="B37" t="s">
        <v>30</v>
      </c>
      <c r="C37">
        <v>42</v>
      </c>
      <c r="D37" t="s">
        <v>12</v>
      </c>
      <c r="E37" t="s">
        <v>11</v>
      </c>
      <c r="F37">
        <v>16</v>
      </c>
      <c r="G37">
        <v>14.37</v>
      </c>
      <c r="H37">
        <v>-27.74</v>
      </c>
      <c r="I37">
        <v>-0.29571150000000002</v>
      </c>
      <c r="J37">
        <v>1.8025819999999999</v>
      </c>
      <c r="K37">
        <v>0.36</v>
      </c>
    </row>
    <row r="38" spans="1:11" x14ac:dyDescent="0.3">
      <c r="A38">
        <v>36</v>
      </c>
      <c r="B38" t="s">
        <v>30</v>
      </c>
      <c r="C38">
        <v>42</v>
      </c>
      <c r="D38" t="s">
        <v>12</v>
      </c>
      <c r="E38" t="s">
        <v>11</v>
      </c>
      <c r="F38">
        <v>16</v>
      </c>
      <c r="G38">
        <v>14.31</v>
      </c>
      <c r="H38">
        <v>-27.69</v>
      </c>
      <c r="I38">
        <v>-0.68021770000000004</v>
      </c>
      <c r="J38">
        <v>1.2539709999999999</v>
      </c>
      <c r="K38">
        <v>-0.23</v>
      </c>
    </row>
    <row r="39" spans="1:11" x14ac:dyDescent="0.3">
      <c r="A39">
        <v>37</v>
      </c>
      <c r="B39" t="s">
        <v>30</v>
      </c>
      <c r="C39">
        <v>42</v>
      </c>
      <c r="D39" t="s">
        <v>12</v>
      </c>
      <c r="E39" t="s">
        <v>11</v>
      </c>
      <c r="F39">
        <v>16</v>
      </c>
      <c r="G39">
        <v>14.36</v>
      </c>
      <c r="H39">
        <v>-27.17</v>
      </c>
      <c r="I39">
        <v>0.12941739999999999</v>
      </c>
      <c r="J39">
        <v>2.020756</v>
      </c>
      <c r="K39">
        <v>-0.99</v>
      </c>
    </row>
    <row r="40" spans="1:11" x14ac:dyDescent="0.3">
      <c r="A40">
        <v>38</v>
      </c>
      <c r="B40" t="s">
        <v>30</v>
      </c>
      <c r="C40">
        <v>42</v>
      </c>
      <c r="D40" t="s">
        <v>12</v>
      </c>
      <c r="E40" t="s">
        <v>11</v>
      </c>
      <c r="F40">
        <v>16</v>
      </c>
      <c r="G40">
        <v>14.32</v>
      </c>
      <c r="H40">
        <v>-27.14</v>
      </c>
      <c r="I40">
        <v>0.43153380000000002</v>
      </c>
      <c r="J40">
        <v>2.3048250000000001</v>
      </c>
      <c r="K40">
        <v>0.97</v>
      </c>
    </row>
    <row r="41" spans="1:11" x14ac:dyDescent="0.3">
      <c r="A41">
        <v>39</v>
      </c>
      <c r="B41" t="s">
        <v>30</v>
      </c>
      <c r="C41">
        <v>42</v>
      </c>
      <c r="D41" t="s">
        <v>12</v>
      </c>
      <c r="E41" t="s">
        <v>11</v>
      </c>
      <c r="F41">
        <v>16</v>
      </c>
      <c r="G41">
        <v>13.63</v>
      </c>
      <c r="H41">
        <v>-27.29</v>
      </c>
      <c r="I41">
        <v>1.5903469999999999E-2</v>
      </c>
      <c r="J41">
        <v>1.9778899999999999</v>
      </c>
      <c r="K41">
        <v>-0.1</v>
      </c>
    </row>
    <row r="42" spans="1:11" x14ac:dyDescent="0.3">
      <c r="A42">
        <v>40</v>
      </c>
      <c r="B42" t="s">
        <v>30</v>
      </c>
      <c r="C42">
        <v>42</v>
      </c>
      <c r="D42" t="s">
        <v>12</v>
      </c>
      <c r="E42" t="s">
        <v>11</v>
      </c>
      <c r="F42">
        <v>16</v>
      </c>
      <c r="G42">
        <v>13.98</v>
      </c>
      <c r="H42">
        <v>-27.79</v>
      </c>
      <c r="I42">
        <v>-0.63080979999999998</v>
      </c>
      <c r="J42">
        <v>1.4123270000000001</v>
      </c>
      <c r="K42">
        <v>-1.36</v>
      </c>
    </row>
    <row r="43" spans="1:11" x14ac:dyDescent="0.3">
      <c r="A43">
        <v>41</v>
      </c>
      <c r="B43" t="s">
        <v>30</v>
      </c>
      <c r="C43">
        <v>42</v>
      </c>
      <c r="D43" t="s">
        <v>12</v>
      </c>
      <c r="E43" t="s">
        <v>11</v>
      </c>
      <c r="F43">
        <v>16</v>
      </c>
      <c r="G43">
        <v>13.96</v>
      </c>
      <c r="H43">
        <v>-26.42</v>
      </c>
      <c r="I43">
        <v>-0.55345540000000004</v>
      </c>
      <c r="J43">
        <v>1.7430079999999999</v>
      </c>
      <c r="K43">
        <v>-1.96</v>
      </c>
    </row>
    <row r="44" spans="1:11" x14ac:dyDescent="0.3">
      <c r="A44">
        <v>42</v>
      </c>
      <c r="B44" t="s">
        <v>30</v>
      </c>
      <c r="C44">
        <v>42</v>
      </c>
      <c r="D44" t="s">
        <v>12</v>
      </c>
      <c r="E44" t="s">
        <v>11</v>
      </c>
      <c r="F44">
        <v>16</v>
      </c>
      <c r="G44">
        <v>13.87</v>
      </c>
      <c r="H44">
        <v>-26.52</v>
      </c>
      <c r="I44">
        <v>0.9813385</v>
      </c>
      <c r="J44">
        <v>3.0585629999999999</v>
      </c>
      <c r="K44">
        <v>2.02</v>
      </c>
    </row>
    <row r="45" spans="1:11" x14ac:dyDescent="0.3">
      <c r="A45">
        <v>43</v>
      </c>
      <c r="B45" t="s">
        <v>30</v>
      </c>
      <c r="C45">
        <v>42</v>
      </c>
      <c r="D45" t="s">
        <v>12</v>
      </c>
      <c r="E45" t="s">
        <v>11</v>
      </c>
      <c r="F45">
        <v>16</v>
      </c>
      <c r="G45">
        <v>14.32</v>
      </c>
      <c r="H45">
        <v>-28.07</v>
      </c>
      <c r="I45">
        <v>-1.0303610000000001</v>
      </c>
      <c r="J45">
        <v>0.85730360000000005</v>
      </c>
      <c r="K45">
        <v>0.74</v>
      </c>
    </row>
    <row r="46" spans="1:11" x14ac:dyDescent="0.3">
      <c r="A46">
        <v>44</v>
      </c>
      <c r="B46" t="s">
        <v>30</v>
      </c>
      <c r="C46">
        <v>42</v>
      </c>
      <c r="D46" t="s">
        <v>12</v>
      </c>
      <c r="E46" t="s">
        <v>11</v>
      </c>
      <c r="F46">
        <v>16</v>
      </c>
      <c r="G46">
        <v>14.03</v>
      </c>
      <c r="H46">
        <v>-27.59</v>
      </c>
      <c r="I46">
        <v>-0.3869591</v>
      </c>
      <c r="J46">
        <v>1.479927</v>
      </c>
      <c r="K46">
        <v>0.23</v>
      </c>
    </row>
    <row r="47" spans="1:11" x14ac:dyDescent="0.3">
      <c r="A47">
        <v>45</v>
      </c>
      <c r="B47" t="s">
        <v>30</v>
      </c>
      <c r="C47">
        <v>42</v>
      </c>
      <c r="D47" t="s">
        <v>12</v>
      </c>
      <c r="E47" t="s">
        <v>11</v>
      </c>
      <c r="F47">
        <v>16</v>
      </c>
      <c r="G47">
        <v>14.09</v>
      </c>
      <c r="H47">
        <v>-27.99</v>
      </c>
      <c r="I47">
        <v>-7.4279789999999998E-2</v>
      </c>
      <c r="J47">
        <v>2.1306500000000002</v>
      </c>
      <c r="K47">
        <v>2.37</v>
      </c>
    </row>
    <row r="48" spans="1:11" x14ac:dyDescent="0.3">
      <c r="A48">
        <v>46</v>
      </c>
      <c r="B48" t="s">
        <v>30</v>
      </c>
      <c r="C48">
        <v>42</v>
      </c>
      <c r="D48" t="s">
        <v>12</v>
      </c>
      <c r="E48" t="s">
        <v>11</v>
      </c>
      <c r="F48">
        <v>16</v>
      </c>
      <c r="G48">
        <v>14.13</v>
      </c>
      <c r="H48">
        <v>-27</v>
      </c>
      <c r="I48">
        <v>1.5722309999999999</v>
      </c>
      <c r="J48">
        <v>3.6640779999999999</v>
      </c>
      <c r="K48">
        <v>-0.28000000000000003</v>
      </c>
    </row>
    <row r="49" spans="1:11" x14ac:dyDescent="0.3">
      <c r="A49">
        <v>47</v>
      </c>
      <c r="B49" t="s">
        <v>30</v>
      </c>
      <c r="C49">
        <v>42</v>
      </c>
      <c r="D49" t="s">
        <v>12</v>
      </c>
      <c r="E49" t="s">
        <v>11</v>
      </c>
      <c r="F49">
        <v>16</v>
      </c>
      <c r="G49">
        <v>14.06</v>
      </c>
      <c r="H49">
        <v>-26.83</v>
      </c>
      <c r="I49">
        <v>-0.7547722</v>
      </c>
      <c r="J49">
        <v>0.98694230000000005</v>
      </c>
      <c r="K49">
        <v>0.66</v>
      </c>
    </row>
    <row r="50" spans="1:11" x14ac:dyDescent="0.3">
      <c r="A50">
        <v>48</v>
      </c>
      <c r="B50" t="s">
        <v>30</v>
      </c>
      <c r="C50">
        <v>42</v>
      </c>
      <c r="D50" t="s">
        <v>12</v>
      </c>
      <c r="E50" t="s">
        <v>11</v>
      </c>
      <c r="F50">
        <v>16</v>
      </c>
      <c r="G50">
        <v>14.31</v>
      </c>
      <c r="H50">
        <v>-26.48</v>
      </c>
      <c r="I50">
        <v>0.85117719999999997</v>
      </c>
      <c r="J50">
        <v>2.7523420000000001</v>
      </c>
      <c r="K50">
        <v>9.35</v>
      </c>
    </row>
    <row r="51" spans="1:11" x14ac:dyDescent="0.3">
      <c r="A51">
        <v>49</v>
      </c>
      <c r="B51" t="s">
        <v>30</v>
      </c>
      <c r="C51">
        <v>42</v>
      </c>
      <c r="D51" t="s">
        <v>12</v>
      </c>
      <c r="E51" t="s">
        <v>11</v>
      </c>
      <c r="F51">
        <v>16</v>
      </c>
      <c r="G51">
        <v>13.85</v>
      </c>
      <c r="H51">
        <v>-25.42</v>
      </c>
      <c r="I51">
        <v>0.6487541</v>
      </c>
      <c r="J51">
        <v>2.579853</v>
      </c>
      <c r="K51">
        <v>3.86</v>
      </c>
    </row>
    <row r="52" spans="1:11" x14ac:dyDescent="0.3">
      <c r="A52">
        <v>50</v>
      </c>
      <c r="B52" t="s">
        <v>30</v>
      </c>
      <c r="C52">
        <v>42</v>
      </c>
      <c r="D52" t="s">
        <v>12</v>
      </c>
      <c r="E52" t="s">
        <v>11</v>
      </c>
      <c r="F52">
        <v>16</v>
      </c>
      <c r="G52">
        <v>13.93</v>
      </c>
      <c r="H52">
        <v>-27.72</v>
      </c>
      <c r="I52">
        <v>-1.3106120000000001</v>
      </c>
      <c r="J52">
        <v>0.78796390000000005</v>
      </c>
      <c r="K52">
        <v>0.18</v>
      </c>
    </row>
    <row r="53" spans="1:11" x14ac:dyDescent="0.3">
      <c r="A53">
        <v>51</v>
      </c>
      <c r="B53" t="s">
        <v>30</v>
      </c>
      <c r="C53">
        <v>42</v>
      </c>
      <c r="D53" t="s">
        <v>12</v>
      </c>
      <c r="E53" t="s">
        <v>11</v>
      </c>
      <c r="F53">
        <v>16</v>
      </c>
      <c r="G53">
        <v>14.05</v>
      </c>
      <c r="H53">
        <v>-28.56</v>
      </c>
      <c r="I53">
        <v>-1.8450549999999999</v>
      </c>
      <c r="J53">
        <v>-3.2123569999999997E-2</v>
      </c>
      <c r="K53">
        <v>-1.19</v>
      </c>
    </row>
    <row r="54" spans="1:11" x14ac:dyDescent="0.3">
      <c r="A54">
        <v>52</v>
      </c>
      <c r="B54" t="s">
        <v>30</v>
      </c>
      <c r="C54">
        <v>42</v>
      </c>
      <c r="D54" t="s">
        <v>12</v>
      </c>
      <c r="E54" t="s">
        <v>11</v>
      </c>
      <c r="F54">
        <v>16</v>
      </c>
      <c r="G54">
        <v>14.28</v>
      </c>
      <c r="H54">
        <v>-27.72</v>
      </c>
      <c r="I54">
        <v>-0.28905110000000001</v>
      </c>
      <c r="J54">
        <v>1.7027319999999999</v>
      </c>
      <c r="K54">
        <v>-1.69</v>
      </c>
    </row>
    <row r="55" spans="1:11" x14ac:dyDescent="0.3">
      <c r="A55">
        <v>53</v>
      </c>
      <c r="B55" t="s">
        <v>30</v>
      </c>
      <c r="C55">
        <v>42</v>
      </c>
      <c r="D55" t="s">
        <v>12</v>
      </c>
      <c r="E55" t="s">
        <v>11</v>
      </c>
      <c r="F55">
        <v>16</v>
      </c>
      <c r="G55">
        <v>13.78</v>
      </c>
      <c r="H55">
        <v>-26.84</v>
      </c>
      <c r="I55">
        <v>6.3705439999999997E-3</v>
      </c>
      <c r="J55">
        <v>1.7396320000000001</v>
      </c>
      <c r="K55">
        <v>6.8</v>
      </c>
    </row>
    <row r="56" spans="1:11" x14ac:dyDescent="0.3">
      <c r="A56">
        <v>54</v>
      </c>
      <c r="B56" t="s">
        <v>30</v>
      </c>
      <c r="C56">
        <v>42</v>
      </c>
      <c r="D56" t="s">
        <v>12</v>
      </c>
      <c r="E56" t="s">
        <v>11</v>
      </c>
      <c r="F56">
        <v>16</v>
      </c>
      <c r="G56">
        <v>13.99</v>
      </c>
      <c r="H56">
        <v>-27.24</v>
      </c>
      <c r="I56">
        <v>-0.39083859999999998</v>
      </c>
      <c r="J56">
        <v>1.375904</v>
      </c>
      <c r="K56">
        <v>-2</v>
      </c>
    </row>
    <row r="57" spans="1:11" x14ac:dyDescent="0.3">
      <c r="A57">
        <v>55</v>
      </c>
      <c r="B57" t="s">
        <v>30</v>
      </c>
      <c r="C57">
        <v>42</v>
      </c>
      <c r="D57" t="s">
        <v>12</v>
      </c>
      <c r="E57" t="s">
        <v>11</v>
      </c>
      <c r="F57">
        <v>16</v>
      </c>
      <c r="G57">
        <v>13.98</v>
      </c>
      <c r="H57">
        <v>-27.61</v>
      </c>
      <c r="I57">
        <v>-0.25205230000000001</v>
      </c>
      <c r="J57">
        <v>1.841877</v>
      </c>
      <c r="K57">
        <v>-1.72</v>
      </c>
    </row>
    <row r="58" spans="1:11" x14ac:dyDescent="0.3">
      <c r="A58">
        <v>56</v>
      </c>
      <c r="B58" t="s">
        <v>30</v>
      </c>
      <c r="C58">
        <v>42</v>
      </c>
      <c r="D58" t="s">
        <v>12</v>
      </c>
      <c r="E58" t="s">
        <v>11</v>
      </c>
      <c r="F58">
        <v>16</v>
      </c>
      <c r="G58">
        <v>13.55</v>
      </c>
      <c r="H58">
        <v>-27.7</v>
      </c>
      <c r="I58">
        <v>-0.82506179999999996</v>
      </c>
      <c r="J58">
        <v>1.043777</v>
      </c>
      <c r="K58">
        <v>-2.5</v>
      </c>
    </row>
    <row r="59" spans="1:11" x14ac:dyDescent="0.3">
      <c r="A59">
        <v>57</v>
      </c>
      <c r="B59" t="s">
        <v>30</v>
      </c>
      <c r="C59">
        <v>42</v>
      </c>
      <c r="D59" t="s">
        <v>12</v>
      </c>
      <c r="E59" t="s">
        <v>11</v>
      </c>
      <c r="F59">
        <v>16</v>
      </c>
      <c r="G59">
        <v>13.94</v>
      </c>
      <c r="H59">
        <v>-26.23</v>
      </c>
      <c r="I59">
        <v>0.72109990000000002</v>
      </c>
      <c r="J59">
        <v>2.6195490000000001</v>
      </c>
      <c r="K59">
        <v>-0.26</v>
      </c>
    </row>
    <row r="60" spans="1:11" x14ac:dyDescent="0.3">
      <c r="A60">
        <v>58</v>
      </c>
      <c r="B60" t="s">
        <v>30</v>
      </c>
      <c r="C60">
        <v>42</v>
      </c>
      <c r="D60" t="s">
        <v>12</v>
      </c>
      <c r="E60" t="s">
        <v>11</v>
      </c>
      <c r="F60">
        <v>16</v>
      </c>
      <c r="G60">
        <v>14.03</v>
      </c>
      <c r="H60">
        <v>-26.54</v>
      </c>
      <c r="I60">
        <v>0.93262100000000003</v>
      </c>
      <c r="J60">
        <v>2.6765669999999999</v>
      </c>
      <c r="K60">
        <v>3.18</v>
      </c>
    </row>
    <row r="61" spans="1:11" x14ac:dyDescent="0.3">
      <c r="A61">
        <v>59</v>
      </c>
      <c r="B61" t="s">
        <v>30</v>
      </c>
      <c r="C61">
        <v>42</v>
      </c>
      <c r="D61" t="s">
        <v>12</v>
      </c>
      <c r="E61" t="s">
        <v>11</v>
      </c>
      <c r="F61">
        <v>16</v>
      </c>
      <c r="G61">
        <v>13.62</v>
      </c>
      <c r="H61">
        <v>-26.03</v>
      </c>
      <c r="I61">
        <v>1.11385</v>
      </c>
      <c r="J61">
        <v>2.9400059999999999</v>
      </c>
      <c r="K61">
        <v>1.22</v>
      </c>
    </row>
    <row r="62" spans="1:11" x14ac:dyDescent="0.3">
      <c r="A62">
        <v>60</v>
      </c>
      <c r="B62" t="s">
        <v>30</v>
      </c>
      <c r="C62">
        <v>42</v>
      </c>
      <c r="D62" t="s">
        <v>12</v>
      </c>
      <c r="E62" t="s">
        <v>11</v>
      </c>
      <c r="F62">
        <v>16</v>
      </c>
      <c r="G62">
        <v>13.76</v>
      </c>
      <c r="H62">
        <v>-26.24</v>
      </c>
      <c r="I62">
        <v>0.46549220000000002</v>
      </c>
      <c r="J62">
        <v>2.3002699999999998</v>
      </c>
      <c r="K62">
        <v>2.17</v>
      </c>
    </row>
    <row r="63" spans="1:11" x14ac:dyDescent="0.3">
      <c r="A63">
        <v>61</v>
      </c>
      <c r="B63" t="s">
        <v>30</v>
      </c>
      <c r="C63">
        <v>42</v>
      </c>
      <c r="D63" t="s">
        <v>12</v>
      </c>
      <c r="E63" t="s">
        <v>11</v>
      </c>
      <c r="F63">
        <v>16</v>
      </c>
      <c r="G63">
        <v>13.55</v>
      </c>
      <c r="H63">
        <v>-25.41</v>
      </c>
      <c r="I63">
        <v>2.0828859999999998</v>
      </c>
      <c r="J63">
        <v>11.31063</v>
      </c>
      <c r="K63">
        <v>-0.05</v>
      </c>
    </row>
    <row r="64" spans="1:11" x14ac:dyDescent="0.3">
      <c r="A64">
        <v>62</v>
      </c>
      <c r="B64" t="s">
        <v>30</v>
      </c>
      <c r="C64">
        <v>42</v>
      </c>
      <c r="D64" t="s">
        <v>12</v>
      </c>
      <c r="E64" t="s">
        <v>11</v>
      </c>
      <c r="F64">
        <v>16</v>
      </c>
      <c r="G64">
        <v>13.42</v>
      </c>
      <c r="H64">
        <v>-27.2</v>
      </c>
      <c r="I64">
        <v>5.3268429999999999E-2</v>
      </c>
      <c r="J64">
        <v>2.0079120000000001</v>
      </c>
      <c r="K64">
        <v>-2.06</v>
      </c>
    </row>
    <row r="65" spans="1:11" x14ac:dyDescent="0.3">
      <c r="A65">
        <v>63</v>
      </c>
      <c r="B65" t="s">
        <v>30</v>
      </c>
      <c r="C65">
        <v>42</v>
      </c>
      <c r="D65" t="s">
        <v>12</v>
      </c>
      <c r="E65" t="s">
        <v>11</v>
      </c>
      <c r="F65">
        <v>16</v>
      </c>
      <c r="G65">
        <v>14</v>
      </c>
      <c r="H65">
        <v>-27.25</v>
      </c>
      <c r="I65">
        <v>-0.2059097</v>
      </c>
      <c r="J65">
        <v>1.7494810000000001</v>
      </c>
      <c r="K65">
        <v>-0.46</v>
      </c>
    </row>
    <row r="66" spans="1:11" x14ac:dyDescent="0.3">
      <c r="A66">
        <v>64</v>
      </c>
      <c r="B66" t="s">
        <v>30</v>
      </c>
      <c r="C66">
        <v>42</v>
      </c>
      <c r="D66" t="s">
        <v>12</v>
      </c>
      <c r="E66" t="s">
        <v>11</v>
      </c>
      <c r="F66">
        <v>16</v>
      </c>
      <c r="G66">
        <v>13.96</v>
      </c>
      <c r="H66">
        <v>-26.32</v>
      </c>
      <c r="I66">
        <v>-7.6236719999999994E-2</v>
      </c>
      <c r="J66">
        <v>1.931454</v>
      </c>
      <c r="K66">
        <v>0.28000000000000003</v>
      </c>
    </row>
    <row r="67" spans="1:11" x14ac:dyDescent="0.3">
      <c r="A67">
        <v>65</v>
      </c>
      <c r="B67" t="s">
        <v>30</v>
      </c>
      <c r="C67">
        <v>42</v>
      </c>
      <c r="D67" t="s">
        <v>12</v>
      </c>
      <c r="E67" t="s">
        <v>11</v>
      </c>
      <c r="F67">
        <v>16</v>
      </c>
      <c r="G67">
        <v>13.86</v>
      </c>
      <c r="H67">
        <v>-26.67</v>
      </c>
      <c r="I67">
        <v>0.89038090000000003</v>
      </c>
      <c r="J67">
        <v>2.7876850000000002</v>
      </c>
      <c r="K67">
        <v>-0.74</v>
      </c>
    </row>
    <row r="68" spans="1:11" x14ac:dyDescent="0.3">
      <c r="A68">
        <v>66</v>
      </c>
      <c r="B68" t="s">
        <v>30</v>
      </c>
      <c r="C68">
        <v>42</v>
      </c>
      <c r="D68" t="s">
        <v>12</v>
      </c>
      <c r="E68" t="s">
        <v>11</v>
      </c>
      <c r="F68">
        <v>16</v>
      </c>
      <c r="G68">
        <v>13.71</v>
      </c>
      <c r="H68">
        <v>-27.01</v>
      </c>
      <c r="I68">
        <v>-0.25273509999999999</v>
      </c>
      <c r="J68">
        <v>1.798508</v>
      </c>
      <c r="K68">
        <v>4.1399999999999997</v>
      </c>
    </row>
    <row r="69" spans="1:11" x14ac:dyDescent="0.3">
      <c r="A69">
        <v>67</v>
      </c>
      <c r="B69" t="s">
        <v>30</v>
      </c>
      <c r="C69">
        <v>42</v>
      </c>
      <c r="D69" t="s">
        <v>12</v>
      </c>
      <c r="E69" t="s">
        <v>11</v>
      </c>
      <c r="F69">
        <v>16</v>
      </c>
      <c r="G69">
        <v>13.97</v>
      </c>
      <c r="H69">
        <v>-24.15</v>
      </c>
      <c r="I69">
        <v>1.6847840000000001</v>
      </c>
      <c r="J69">
        <v>3.6078190000000001</v>
      </c>
      <c r="K69">
        <v>42.14</v>
      </c>
    </row>
    <row r="70" spans="1:11" x14ac:dyDescent="0.3">
      <c r="A70">
        <v>68</v>
      </c>
      <c r="B70" t="s">
        <v>30</v>
      </c>
      <c r="C70">
        <v>42</v>
      </c>
      <c r="D70" t="s">
        <v>12</v>
      </c>
      <c r="E70" t="s">
        <v>11</v>
      </c>
      <c r="F70">
        <v>16</v>
      </c>
      <c r="G70">
        <v>13.76</v>
      </c>
      <c r="H70">
        <v>-27.44</v>
      </c>
      <c r="I70">
        <v>-0.45682139999999999</v>
      </c>
      <c r="J70">
        <v>1.972664</v>
      </c>
      <c r="K70">
        <v>1.57</v>
      </c>
    </row>
    <row r="71" spans="1:11" x14ac:dyDescent="0.3">
      <c r="A71">
        <v>69</v>
      </c>
      <c r="B71" t="s">
        <v>30</v>
      </c>
      <c r="C71">
        <v>42</v>
      </c>
      <c r="D71" t="s">
        <v>12</v>
      </c>
      <c r="E71" t="s">
        <v>11</v>
      </c>
      <c r="F71">
        <v>16</v>
      </c>
      <c r="G71">
        <v>13.89</v>
      </c>
      <c r="H71">
        <v>-27.8</v>
      </c>
      <c r="I71">
        <v>-1.0905720000000001</v>
      </c>
      <c r="J71">
        <v>0.64130399999999999</v>
      </c>
      <c r="K71">
        <v>-0.06</v>
      </c>
    </row>
    <row r="72" spans="1:11" x14ac:dyDescent="0.3">
      <c r="A72">
        <v>70</v>
      </c>
      <c r="B72" t="s">
        <v>30</v>
      </c>
      <c r="C72">
        <v>42</v>
      </c>
      <c r="D72" t="s">
        <v>12</v>
      </c>
      <c r="E72" t="s">
        <v>11</v>
      </c>
      <c r="F72">
        <v>16</v>
      </c>
      <c r="G72">
        <v>14.05</v>
      </c>
      <c r="H72">
        <v>-24.12</v>
      </c>
      <c r="I72">
        <v>0.25121690000000002</v>
      </c>
      <c r="J72">
        <v>2.4441570000000001</v>
      </c>
      <c r="K72">
        <v>10.44</v>
      </c>
    </row>
    <row r="73" spans="1:11" x14ac:dyDescent="0.3">
      <c r="A73">
        <v>71</v>
      </c>
      <c r="B73" t="s">
        <v>30</v>
      </c>
      <c r="C73">
        <v>42</v>
      </c>
      <c r="D73" t="s">
        <v>12</v>
      </c>
      <c r="E73" t="s">
        <v>11</v>
      </c>
      <c r="F73">
        <v>16</v>
      </c>
      <c r="G73">
        <v>13.79</v>
      </c>
      <c r="H73">
        <v>-26.3</v>
      </c>
      <c r="I73">
        <v>1.812351</v>
      </c>
      <c r="J73">
        <v>3.8898320000000002</v>
      </c>
      <c r="K73">
        <v>-1.56</v>
      </c>
    </row>
    <row r="74" spans="1:11" x14ac:dyDescent="0.3">
      <c r="A74">
        <v>72</v>
      </c>
      <c r="B74" t="s">
        <v>30</v>
      </c>
      <c r="C74">
        <v>42</v>
      </c>
      <c r="D74" t="s">
        <v>12</v>
      </c>
      <c r="E74" t="s">
        <v>11</v>
      </c>
      <c r="F74">
        <v>16</v>
      </c>
      <c r="G74">
        <v>13.8</v>
      </c>
      <c r="H74">
        <v>-25.43</v>
      </c>
      <c r="I74">
        <v>1.735584</v>
      </c>
      <c r="J74">
        <v>3.3303790000000002</v>
      </c>
      <c r="K74">
        <v>14.86</v>
      </c>
    </row>
    <row r="75" spans="1:11" x14ac:dyDescent="0.3">
      <c r="A75">
        <v>73</v>
      </c>
      <c r="B75" t="s">
        <v>30</v>
      </c>
      <c r="C75">
        <v>42</v>
      </c>
      <c r="D75" t="s">
        <v>12</v>
      </c>
      <c r="E75" t="s">
        <v>11</v>
      </c>
      <c r="F75">
        <v>16</v>
      </c>
      <c r="G75">
        <v>14.23</v>
      </c>
      <c r="H75">
        <v>-26.18</v>
      </c>
      <c r="I75">
        <v>0.84505079999999999</v>
      </c>
      <c r="J75">
        <v>2.8036690000000002</v>
      </c>
      <c r="K75">
        <v>0.66</v>
      </c>
    </row>
    <row r="76" spans="1:11" x14ac:dyDescent="0.3">
      <c r="A76">
        <v>74</v>
      </c>
      <c r="B76" t="s">
        <v>30</v>
      </c>
      <c r="C76">
        <v>42</v>
      </c>
      <c r="D76" t="s">
        <v>12</v>
      </c>
      <c r="E76" t="s">
        <v>11</v>
      </c>
      <c r="F76">
        <v>16</v>
      </c>
      <c r="G76">
        <v>14.1</v>
      </c>
      <c r="H76">
        <v>-26.47</v>
      </c>
      <c r="I76">
        <v>1.715603</v>
      </c>
      <c r="J76">
        <v>3.8660510000000001</v>
      </c>
      <c r="K76">
        <v>5.32</v>
      </c>
    </row>
    <row r="77" spans="1:11" x14ac:dyDescent="0.3">
      <c r="A77">
        <v>75</v>
      </c>
      <c r="B77" t="s">
        <v>30</v>
      </c>
      <c r="C77">
        <v>42</v>
      </c>
      <c r="D77" t="s">
        <v>12</v>
      </c>
      <c r="E77" t="s">
        <v>11</v>
      </c>
      <c r="F77">
        <v>16</v>
      </c>
      <c r="G77">
        <v>14.05</v>
      </c>
      <c r="H77">
        <v>-25.92</v>
      </c>
      <c r="I77">
        <v>2.003838</v>
      </c>
      <c r="J77">
        <v>3.8326229999999999</v>
      </c>
      <c r="K77">
        <v>-0.81</v>
      </c>
    </row>
    <row r="78" spans="1:11" x14ac:dyDescent="0.3">
      <c r="A78">
        <v>76</v>
      </c>
      <c r="B78" t="s">
        <v>30</v>
      </c>
      <c r="C78">
        <v>42</v>
      </c>
      <c r="D78" t="s">
        <v>12</v>
      </c>
      <c r="E78" t="s">
        <v>11</v>
      </c>
      <c r="F78">
        <v>16</v>
      </c>
      <c r="G78">
        <v>14.05</v>
      </c>
      <c r="H78">
        <v>-25.88</v>
      </c>
      <c r="I78">
        <v>1.4563140000000001</v>
      </c>
      <c r="J78">
        <v>3.0966529999999999</v>
      </c>
      <c r="K78">
        <v>0.3</v>
      </c>
    </row>
    <row r="79" spans="1:11" x14ac:dyDescent="0.3">
      <c r="A79">
        <v>77</v>
      </c>
      <c r="B79" t="s">
        <v>30</v>
      </c>
      <c r="C79">
        <v>42</v>
      </c>
      <c r="D79" t="s">
        <v>12</v>
      </c>
      <c r="E79" t="s">
        <v>11</v>
      </c>
      <c r="F79">
        <v>16</v>
      </c>
      <c r="G79">
        <v>14.21</v>
      </c>
      <c r="H79">
        <v>-25.54</v>
      </c>
      <c r="I79">
        <v>2.9896240000000001</v>
      </c>
      <c r="J79">
        <v>4.9675180000000001</v>
      </c>
      <c r="K79">
        <v>1.08</v>
      </c>
    </row>
    <row r="80" spans="1:11" x14ac:dyDescent="0.3">
      <c r="A80">
        <v>78</v>
      </c>
      <c r="B80" t="s">
        <v>30</v>
      </c>
      <c r="C80">
        <v>42</v>
      </c>
      <c r="D80" t="s">
        <v>12</v>
      </c>
      <c r="E80" t="s">
        <v>11</v>
      </c>
      <c r="F80">
        <v>16</v>
      </c>
      <c r="G80">
        <v>13.85</v>
      </c>
      <c r="H80">
        <v>-24.73</v>
      </c>
      <c r="I80">
        <v>2.610989</v>
      </c>
      <c r="J80">
        <v>4.7456550000000002</v>
      </c>
      <c r="K80">
        <v>0.92</v>
      </c>
    </row>
    <row r="81" spans="1:11" x14ac:dyDescent="0.3">
      <c r="A81">
        <v>79</v>
      </c>
      <c r="B81" t="s">
        <v>30</v>
      </c>
      <c r="C81">
        <v>42</v>
      </c>
      <c r="D81" t="s">
        <v>12</v>
      </c>
      <c r="E81" t="s">
        <v>11</v>
      </c>
      <c r="F81">
        <v>16</v>
      </c>
      <c r="G81">
        <v>14.14</v>
      </c>
      <c r="H81">
        <v>-25.97</v>
      </c>
      <c r="I81">
        <v>1.8296699999999999</v>
      </c>
      <c r="J81">
        <v>3.684059</v>
      </c>
      <c r="K81">
        <v>1.34</v>
      </c>
    </row>
    <row r="82" spans="1:11" x14ac:dyDescent="0.3">
      <c r="A82">
        <v>80</v>
      </c>
      <c r="B82" t="s">
        <v>30</v>
      </c>
      <c r="C82">
        <v>42</v>
      </c>
      <c r="D82" t="s">
        <v>12</v>
      </c>
      <c r="E82" t="s">
        <v>11</v>
      </c>
      <c r="F82">
        <v>16</v>
      </c>
      <c r="G82">
        <v>14.16</v>
      </c>
      <c r="H82">
        <v>-25.74</v>
      </c>
      <c r="I82">
        <v>2.2589839999999999</v>
      </c>
      <c r="J82">
        <v>4.3022989999999997</v>
      </c>
      <c r="K82">
        <v>-0.69</v>
      </c>
    </row>
    <row r="83" spans="1:11" x14ac:dyDescent="0.3">
      <c r="A83">
        <v>81</v>
      </c>
      <c r="B83" t="s">
        <v>30</v>
      </c>
      <c r="C83">
        <v>42</v>
      </c>
      <c r="D83" t="s">
        <v>12</v>
      </c>
      <c r="E83" t="s">
        <v>11</v>
      </c>
      <c r="F83">
        <v>16</v>
      </c>
      <c r="G83">
        <v>14.06</v>
      </c>
      <c r="H83">
        <v>-26.36</v>
      </c>
      <c r="I83">
        <v>0.43825910000000001</v>
      </c>
      <c r="J83">
        <v>2.2294010000000002</v>
      </c>
      <c r="K83">
        <v>0.4</v>
      </c>
    </row>
    <row r="84" spans="1:11" x14ac:dyDescent="0.3">
      <c r="A84">
        <v>82</v>
      </c>
      <c r="B84" t="s">
        <v>30</v>
      </c>
      <c r="C84">
        <v>42</v>
      </c>
      <c r="D84" t="s">
        <v>12</v>
      </c>
      <c r="E84" t="s">
        <v>11</v>
      </c>
      <c r="F84">
        <v>16</v>
      </c>
      <c r="G84">
        <v>14.11</v>
      </c>
      <c r="H84">
        <v>-25.2</v>
      </c>
      <c r="I84">
        <v>2.076317</v>
      </c>
      <c r="J84">
        <v>4.3425710000000004</v>
      </c>
      <c r="K84">
        <v>0.06</v>
      </c>
    </row>
    <row r="85" spans="1:11" x14ac:dyDescent="0.3">
      <c r="A85" s="5">
        <v>83</v>
      </c>
      <c r="B85" t="s">
        <v>30</v>
      </c>
      <c r="C85">
        <v>42</v>
      </c>
      <c r="D85" t="s">
        <v>12</v>
      </c>
      <c r="E85" t="s">
        <v>11</v>
      </c>
      <c r="F85">
        <v>16</v>
      </c>
      <c r="G85">
        <v>13.4</v>
      </c>
      <c r="H85">
        <v>-23.26</v>
      </c>
      <c r="I85">
        <v>2.9731329999999998</v>
      </c>
      <c r="J85">
        <v>4.8745919999999998</v>
      </c>
      <c r="K85">
        <v>2.37</v>
      </c>
    </row>
    <row r="86" spans="1:11" x14ac:dyDescent="0.3">
      <c r="A86" s="5">
        <v>84</v>
      </c>
      <c r="B86" t="s">
        <v>30</v>
      </c>
      <c r="C86">
        <v>42</v>
      </c>
      <c r="D86" t="s">
        <v>12</v>
      </c>
      <c r="E86" t="s">
        <v>11</v>
      </c>
      <c r="F86">
        <v>16</v>
      </c>
      <c r="G86">
        <v>13.76</v>
      </c>
      <c r="H86">
        <v>-23.62</v>
      </c>
      <c r="I86">
        <v>0.84720609999999996</v>
      </c>
      <c r="J86">
        <v>2.7593990000000002</v>
      </c>
      <c r="K86">
        <v>3.07</v>
      </c>
    </row>
    <row r="87" spans="1:11" x14ac:dyDescent="0.3">
      <c r="A87">
        <v>85</v>
      </c>
      <c r="B87" t="s">
        <v>30</v>
      </c>
      <c r="C87">
        <v>42</v>
      </c>
      <c r="D87" t="s">
        <v>12</v>
      </c>
      <c r="E87" t="s">
        <v>11</v>
      </c>
      <c r="F87">
        <v>16</v>
      </c>
      <c r="G87">
        <v>14.15</v>
      </c>
      <c r="H87">
        <v>-25.91</v>
      </c>
      <c r="I87">
        <v>1.936253</v>
      </c>
      <c r="J87">
        <v>3.9814829999999999</v>
      </c>
      <c r="K87">
        <v>-0.32</v>
      </c>
    </row>
    <row r="88" spans="1:11" x14ac:dyDescent="0.3">
      <c r="A88">
        <v>86</v>
      </c>
      <c r="B88" t="s">
        <v>30</v>
      </c>
      <c r="C88">
        <v>42</v>
      </c>
      <c r="D88" t="s">
        <v>12</v>
      </c>
      <c r="E88" t="s">
        <v>11</v>
      </c>
      <c r="F88">
        <v>16</v>
      </c>
      <c r="G88">
        <v>13.87</v>
      </c>
      <c r="H88">
        <v>-25.93</v>
      </c>
      <c r="I88">
        <v>1.8678509999999999</v>
      </c>
      <c r="J88">
        <v>4.0136260000000004</v>
      </c>
      <c r="K88">
        <v>-1.19</v>
      </c>
    </row>
    <row r="89" spans="1:11" x14ac:dyDescent="0.3">
      <c r="A89">
        <v>87</v>
      </c>
      <c r="B89" t="s">
        <v>30</v>
      </c>
      <c r="C89">
        <v>42</v>
      </c>
      <c r="D89" t="s">
        <v>12</v>
      </c>
      <c r="E89" t="s">
        <v>11</v>
      </c>
      <c r="F89">
        <v>16</v>
      </c>
      <c r="G89">
        <v>14.01</v>
      </c>
      <c r="H89">
        <v>-26.15</v>
      </c>
      <c r="I89">
        <v>1.0250969999999999</v>
      </c>
      <c r="J89">
        <v>3.0895199999999998</v>
      </c>
      <c r="K89">
        <v>-1.18</v>
      </c>
    </row>
    <row r="90" spans="1:11" x14ac:dyDescent="0.3">
      <c r="A90">
        <v>88</v>
      </c>
      <c r="B90" t="s">
        <v>30</v>
      </c>
      <c r="C90">
        <v>42</v>
      </c>
      <c r="D90" t="s">
        <v>12</v>
      </c>
      <c r="E90" t="s">
        <v>11</v>
      </c>
      <c r="F90">
        <v>16</v>
      </c>
      <c r="G90">
        <v>14.28</v>
      </c>
      <c r="H90">
        <v>-25.38</v>
      </c>
      <c r="I90">
        <v>1.334881</v>
      </c>
      <c r="J90">
        <v>3.5487899999999999</v>
      </c>
      <c r="K90">
        <v>1.3</v>
      </c>
    </row>
    <row r="91" spans="1:11" x14ac:dyDescent="0.3">
      <c r="A91">
        <v>89</v>
      </c>
      <c r="B91" t="s">
        <v>30</v>
      </c>
      <c r="C91">
        <v>42</v>
      </c>
      <c r="D91" t="s">
        <v>12</v>
      </c>
      <c r="E91" t="s">
        <v>11</v>
      </c>
      <c r="F91">
        <v>16</v>
      </c>
      <c r="G91">
        <v>14.07</v>
      </c>
      <c r="H91">
        <v>-26.46</v>
      </c>
      <c r="I91">
        <v>1.314972</v>
      </c>
      <c r="J91">
        <v>3.122986</v>
      </c>
      <c r="K91">
        <v>1.81</v>
      </c>
    </row>
    <row r="92" spans="1:11" x14ac:dyDescent="0.3">
      <c r="A92">
        <v>90</v>
      </c>
      <c r="B92" t="s">
        <v>30</v>
      </c>
      <c r="C92">
        <v>42</v>
      </c>
      <c r="D92" t="s">
        <v>12</v>
      </c>
      <c r="E92" t="s">
        <v>11</v>
      </c>
      <c r="F92">
        <v>16</v>
      </c>
      <c r="G92">
        <v>14.18</v>
      </c>
      <c r="H92">
        <v>-26.46</v>
      </c>
      <c r="I92">
        <v>0.1430283</v>
      </c>
      <c r="J92">
        <v>2.0882450000000001</v>
      </c>
      <c r="K92">
        <v>0.54</v>
      </c>
    </row>
    <row r="93" spans="1:11" x14ac:dyDescent="0.3">
      <c r="A93">
        <v>91</v>
      </c>
      <c r="B93" t="s">
        <v>30</v>
      </c>
      <c r="C93">
        <v>42</v>
      </c>
      <c r="D93" t="s">
        <v>12</v>
      </c>
      <c r="E93" t="s">
        <v>11</v>
      </c>
      <c r="F93">
        <v>16</v>
      </c>
      <c r="G93">
        <v>13.74</v>
      </c>
      <c r="H93">
        <v>-25.23</v>
      </c>
      <c r="I93">
        <v>1.956577</v>
      </c>
      <c r="J93">
        <v>4.0662539999999998</v>
      </c>
      <c r="K93">
        <v>4.26</v>
      </c>
    </row>
    <row r="94" spans="1:11" x14ac:dyDescent="0.3">
      <c r="A94">
        <v>92</v>
      </c>
      <c r="B94" t="s">
        <v>30</v>
      </c>
      <c r="C94">
        <v>42</v>
      </c>
      <c r="D94" t="s">
        <v>12</v>
      </c>
      <c r="E94" t="s">
        <v>11</v>
      </c>
      <c r="F94">
        <v>16</v>
      </c>
      <c r="G94">
        <v>13.97</v>
      </c>
      <c r="H94">
        <v>-25.55</v>
      </c>
      <c r="I94">
        <v>0.497776</v>
      </c>
      <c r="J94">
        <v>2.7283019999999998</v>
      </c>
      <c r="K94">
        <v>5.29</v>
      </c>
    </row>
    <row r="95" spans="1:11" x14ac:dyDescent="0.3">
      <c r="A95">
        <v>93</v>
      </c>
      <c r="B95" t="s">
        <v>30</v>
      </c>
      <c r="C95">
        <v>42</v>
      </c>
      <c r="D95" t="s">
        <v>12</v>
      </c>
      <c r="E95" t="s">
        <v>11</v>
      </c>
      <c r="F95">
        <v>16</v>
      </c>
      <c r="G95">
        <v>13.8</v>
      </c>
      <c r="H95">
        <v>-26.6</v>
      </c>
      <c r="I95">
        <v>0.1844711</v>
      </c>
      <c r="J95">
        <v>2.147659</v>
      </c>
      <c r="K95">
        <v>-0.95</v>
      </c>
    </row>
    <row r="96" spans="1:11" x14ac:dyDescent="0.3">
      <c r="A96">
        <v>94</v>
      </c>
      <c r="B96" t="s">
        <v>30</v>
      </c>
      <c r="C96">
        <v>42</v>
      </c>
      <c r="D96" t="s">
        <v>12</v>
      </c>
      <c r="E96" t="s">
        <v>11</v>
      </c>
      <c r="F96">
        <v>16</v>
      </c>
      <c r="G96">
        <v>14.02</v>
      </c>
      <c r="H96">
        <v>-26.27</v>
      </c>
      <c r="I96">
        <v>0.723526</v>
      </c>
      <c r="J96">
        <v>3.4900739999999999</v>
      </c>
      <c r="K96">
        <v>0.16</v>
      </c>
    </row>
    <row r="97" spans="1:11" x14ac:dyDescent="0.3">
      <c r="A97">
        <v>95</v>
      </c>
      <c r="B97" t="s">
        <v>30</v>
      </c>
      <c r="C97">
        <v>42</v>
      </c>
      <c r="D97" t="s">
        <v>12</v>
      </c>
      <c r="E97" t="s">
        <v>11</v>
      </c>
      <c r="F97">
        <v>16</v>
      </c>
      <c r="G97">
        <v>14.11</v>
      </c>
      <c r="H97">
        <v>-26.68</v>
      </c>
      <c r="I97">
        <v>1.438137</v>
      </c>
      <c r="J97">
        <v>3.264561</v>
      </c>
      <c r="K97">
        <v>0.28999999999999998</v>
      </c>
    </row>
    <row r="98" spans="1:11" x14ac:dyDescent="0.3">
      <c r="A98">
        <v>96</v>
      </c>
      <c r="B98" t="s">
        <v>30</v>
      </c>
      <c r="C98">
        <v>42</v>
      </c>
      <c r="D98" t="s">
        <v>12</v>
      </c>
      <c r="E98" t="s">
        <v>11</v>
      </c>
      <c r="F98">
        <v>16</v>
      </c>
      <c r="G98">
        <v>14.27</v>
      </c>
      <c r="H98">
        <v>-26.68</v>
      </c>
      <c r="I98">
        <v>0.43260189999999998</v>
      </c>
      <c r="J98">
        <v>2.2380520000000002</v>
      </c>
      <c r="K98">
        <v>0.62</v>
      </c>
    </row>
    <row r="99" spans="1:11" x14ac:dyDescent="0.3">
      <c r="A99">
        <v>97</v>
      </c>
      <c r="B99" t="s">
        <v>30</v>
      </c>
      <c r="C99">
        <v>42</v>
      </c>
      <c r="D99" t="s">
        <v>12</v>
      </c>
      <c r="E99" t="s">
        <v>11</v>
      </c>
      <c r="F99">
        <v>16</v>
      </c>
      <c r="G99">
        <v>13.6</v>
      </c>
      <c r="H99">
        <v>-27.01</v>
      </c>
      <c r="I99">
        <v>-1.292419E-2</v>
      </c>
      <c r="J99">
        <v>2.243023</v>
      </c>
      <c r="K99">
        <v>0.65</v>
      </c>
    </row>
    <row r="100" spans="1:11" x14ac:dyDescent="0.3">
      <c r="A100">
        <v>98</v>
      </c>
      <c r="B100" t="s">
        <v>30</v>
      </c>
      <c r="C100">
        <v>42</v>
      </c>
      <c r="D100" t="s">
        <v>12</v>
      </c>
      <c r="E100" t="s">
        <v>11</v>
      </c>
      <c r="F100">
        <v>16</v>
      </c>
      <c r="G100">
        <v>14.04</v>
      </c>
      <c r="H100">
        <v>-27.02</v>
      </c>
      <c r="I100">
        <v>5.9436799999999998E-2</v>
      </c>
      <c r="J100">
        <v>1.9552350000000001</v>
      </c>
      <c r="K100">
        <v>1.1100000000000001</v>
      </c>
    </row>
    <row r="101" spans="1:11" x14ac:dyDescent="0.3">
      <c r="A101">
        <v>99</v>
      </c>
      <c r="B101" t="s">
        <v>30</v>
      </c>
      <c r="C101">
        <v>42</v>
      </c>
      <c r="D101" t="s">
        <v>12</v>
      </c>
      <c r="E101" t="s">
        <v>11</v>
      </c>
      <c r="F101">
        <v>16</v>
      </c>
      <c r="G101">
        <v>14.22</v>
      </c>
      <c r="H101">
        <v>-25.72</v>
      </c>
      <c r="I101">
        <v>1.1707989999999999</v>
      </c>
      <c r="J101">
        <v>3.2580830000000001</v>
      </c>
      <c r="K101">
        <v>0.21</v>
      </c>
    </row>
    <row r="102" spans="1:11" x14ac:dyDescent="0.3">
      <c r="A102">
        <v>100</v>
      </c>
      <c r="B102" t="s">
        <v>30</v>
      </c>
      <c r="C102">
        <v>42</v>
      </c>
      <c r="D102" t="s">
        <v>12</v>
      </c>
      <c r="E102" t="s">
        <v>11</v>
      </c>
      <c r="F102">
        <v>16</v>
      </c>
      <c r="G102">
        <v>14.22</v>
      </c>
      <c r="H102">
        <v>-25.09</v>
      </c>
      <c r="I102">
        <v>1.452785</v>
      </c>
      <c r="J102">
        <v>3.2788930000000001</v>
      </c>
      <c r="K102">
        <v>3.36</v>
      </c>
    </row>
    <row r="103" spans="1:11" x14ac:dyDescent="0.3">
      <c r="A103">
        <v>101</v>
      </c>
      <c r="B103" t="s">
        <v>30</v>
      </c>
      <c r="C103">
        <v>42</v>
      </c>
      <c r="D103" t="s">
        <v>12</v>
      </c>
      <c r="E103" t="s">
        <v>11</v>
      </c>
      <c r="F103">
        <v>16</v>
      </c>
      <c r="G103">
        <v>14.24</v>
      </c>
      <c r="H103">
        <v>-26.96</v>
      </c>
      <c r="I103">
        <v>-0.27553559999999999</v>
      </c>
      <c r="J103">
        <v>1.6865079999999999</v>
      </c>
      <c r="K103">
        <v>-0.51</v>
      </c>
    </row>
    <row r="104" spans="1:11" x14ac:dyDescent="0.3">
      <c r="A104">
        <v>102</v>
      </c>
      <c r="B104" t="s">
        <v>30</v>
      </c>
      <c r="C104">
        <v>42</v>
      </c>
      <c r="D104" t="s">
        <v>12</v>
      </c>
      <c r="E104" t="s">
        <v>11</v>
      </c>
      <c r="F104">
        <v>16</v>
      </c>
      <c r="G104">
        <v>14.21</v>
      </c>
      <c r="H104">
        <v>-26.96</v>
      </c>
      <c r="I104">
        <v>-0.890934</v>
      </c>
      <c r="J104">
        <v>1.083153</v>
      </c>
      <c r="K104">
        <v>0.64</v>
      </c>
    </row>
    <row r="105" spans="1:11" x14ac:dyDescent="0.3">
      <c r="A105">
        <v>103</v>
      </c>
      <c r="B105" t="s">
        <v>30</v>
      </c>
      <c r="C105">
        <v>42</v>
      </c>
      <c r="D105" t="s">
        <v>12</v>
      </c>
      <c r="E105" t="s">
        <v>11</v>
      </c>
      <c r="F105">
        <v>16</v>
      </c>
      <c r="G105">
        <v>14.33</v>
      </c>
      <c r="H105">
        <v>-26.07</v>
      </c>
      <c r="I105">
        <v>-0.237812</v>
      </c>
      <c r="J105">
        <v>1.8663289999999999</v>
      </c>
      <c r="K105">
        <v>0.08</v>
      </c>
    </row>
    <row r="106" spans="1:11" x14ac:dyDescent="0.3">
      <c r="A106">
        <v>104</v>
      </c>
      <c r="B106" t="s">
        <v>30</v>
      </c>
      <c r="C106">
        <v>42</v>
      </c>
      <c r="D106" t="s">
        <v>12</v>
      </c>
      <c r="E106" t="s">
        <v>11</v>
      </c>
      <c r="F106">
        <v>16</v>
      </c>
      <c r="G106">
        <v>14.47</v>
      </c>
      <c r="H106">
        <v>-26.56</v>
      </c>
      <c r="I106">
        <v>0.77056500000000006</v>
      </c>
      <c r="J106">
        <v>2.8356089999999998</v>
      </c>
      <c r="K106">
        <v>33.56</v>
      </c>
    </row>
    <row r="107" spans="1:11" x14ac:dyDescent="0.3">
      <c r="A107">
        <v>105</v>
      </c>
      <c r="B107" t="s">
        <v>30</v>
      </c>
      <c r="C107">
        <v>42</v>
      </c>
      <c r="D107" t="s">
        <v>12</v>
      </c>
      <c r="E107" t="s">
        <v>11</v>
      </c>
      <c r="F107">
        <v>16</v>
      </c>
      <c r="G107">
        <v>14.21</v>
      </c>
      <c r="H107">
        <v>-26.1</v>
      </c>
      <c r="I107">
        <v>1.201897</v>
      </c>
      <c r="J107">
        <v>3.177238</v>
      </c>
      <c r="K107">
        <v>0.23</v>
      </c>
    </row>
    <row r="108" spans="1:11" x14ac:dyDescent="0.3">
      <c r="A108">
        <v>106</v>
      </c>
      <c r="B108" t="s">
        <v>30</v>
      </c>
      <c r="C108">
        <v>42</v>
      </c>
      <c r="D108" t="s">
        <v>12</v>
      </c>
      <c r="E108" t="s">
        <v>11</v>
      </c>
      <c r="F108">
        <v>16</v>
      </c>
      <c r="G108">
        <v>13.92</v>
      </c>
      <c r="H108">
        <v>-24.92</v>
      </c>
      <c r="I108">
        <v>1.680164</v>
      </c>
      <c r="J108">
        <v>3.6758190000000002</v>
      </c>
      <c r="K108">
        <v>8.85</v>
      </c>
    </row>
    <row r="109" spans="1:11" x14ac:dyDescent="0.3">
      <c r="A109">
        <v>107</v>
      </c>
      <c r="B109" t="s">
        <v>30</v>
      </c>
      <c r="C109">
        <v>42</v>
      </c>
      <c r="D109" t="s">
        <v>12</v>
      </c>
      <c r="E109" t="s">
        <v>11</v>
      </c>
      <c r="F109">
        <v>16</v>
      </c>
      <c r="G109">
        <v>14.32</v>
      </c>
      <c r="H109">
        <v>-25.97</v>
      </c>
      <c r="I109">
        <v>0.26079940000000001</v>
      </c>
      <c r="J109">
        <v>2.1680299999999999</v>
      </c>
      <c r="K109">
        <v>0.49</v>
      </c>
    </row>
    <row r="110" spans="1:11" x14ac:dyDescent="0.3">
      <c r="A110">
        <v>108</v>
      </c>
      <c r="B110" t="s">
        <v>30</v>
      </c>
      <c r="C110">
        <v>42</v>
      </c>
      <c r="D110" t="s">
        <v>12</v>
      </c>
      <c r="E110" t="s">
        <v>11</v>
      </c>
      <c r="F110">
        <v>16</v>
      </c>
      <c r="G110">
        <v>14.3</v>
      </c>
      <c r="H110">
        <v>-24.83</v>
      </c>
      <c r="I110">
        <v>2.4051740000000001</v>
      </c>
      <c r="J110">
        <v>5.1203839999999996</v>
      </c>
      <c r="K110">
        <v>2.39</v>
      </c>
    </row>
    <row r="111" spans="1:11" x14ac:dyDescent="0.3">
      <c r="A111">
        <v>109</v>
      </c>
      <c r="B111" t="s">
        <v>30</v>
      </c>
      <c r="C111">
        <v>42</v>
      </c>
      <c r="D111" t="s">
        <v>12</v>
      </c>
      <c r="E111" t="s">
        <v>11</v>
      </c>
      <c r="F111">
        <v>16</v>
      </c>
      <c r="G111">
        <v>14.09</v>
      </c>
      <c r="H111">
        <v>-26.01</v>
      </c>
      <c r="I111">
        <v>1.626366</v>
      </c>
      <c r="J111">
        <v>3.6913909999999999</v>
      </c>
      <c r="K111">
        <v>1.31</v>
      </c>
    </row>
    <row r="112" spans="1:11" x14ac:dyDescent="0.3">
      <c r="A112">
        <v>110</v>
      </c>
      <c r="B112" t="s">
        <v>30</v>
      </c>
      <c r="C112">
        <v>42</v>
      </c>
      <c r="D112" t="s">
        <v>12</v>
      </c>
      <c r="E112" t="s">
        <v>11</v>
      </c>
      <c r="F112">
        <v>16</v>
      </c>
      <c r="G112">
        <v>14.11</v>
      </c>
      <c r="H112">
        <v>-24.08</v>
      </c>
      <c r="I112">
        <v>2.477913</v>
      </c>
      <c r="J112">
        <v>4.4263690000000002</v>
      </c>
      <c r="K112">
        <v>4.63</v>
      </c>
    </row>
    <row r="113" spans="1:11" x14ac:dyDescent="0.3">
      <c r="A113">
        <v>111</v>
      </c>
      <c r="B113" t="s">
        <v>30</v>
      </c>
      <c r="C113">
        <v>42</v>
      </c>
      <c r="D113" t="s">
        <v>12</v>
      </c>
      <c r="E113" t="s">
        <v>11</v>
      </c>
      <c r="F113">
        <v>16</v>
      </c>
      <c r="G113">
        <v>14.46</v>
      </c>
      <c r="H113">
        <v>-26.68</v>
      </c>
      <c r="I113">
        <v>-0.31354140000000003</v>
      </c>
      <c r="J113">
        <v>1.848236</v>
      </c>
      <c r="K113">
        <v>3.24</v>
      </c>
    </row>
    <row r="114" spans="1:11" x14ac:dyDescent="0.3">
      <c r="A114">
        <v>112</v>
      </c>
      <c r="B114" t="s">
        <v>30</v>
      </c>
      <c r="C114">
        <v>42</v>
      </c>
      <c r="D114" t="s">
        <v>12</v>
      </c>
      <c r="E114" t="s">
        <v>11</v>
      </c>
      <c r="F114">
        <v>16</v>
      </c>
      <c r="G114">
        <v>14.14</v>
      </c>
      <c r="H114">
        <v>-25.61</v>
      </c>
      <c r="I114">
        <v>0.6036224</v>
      </c>
      <c r="J114">
        <v>2.7484470000000001</v>
      </c>
      <c r="K114">
        <v>7.08</v>
      </c>
    </row>
    <row r="115" spans="1:11" x14ac:dyDescent="0.3">
      <c r="A115">
        <v>113</v>
      </c>
      <c r="B115" t="s">
        <v>30</v>
      </c>
      <c r="C115">
        <v>42</v>
      </c>
      <c r="D115" t="s">
        <v>12</v>
      </c>
      <c r="E115" t="s">
        <v>11</v>
      </c>
      <c r="F115">
        <v>16</v>
      </c>
      <c r="G115">
        <v>14.17</v>
      </c>
      <c r="H115">
        <v>-26.5</v>
      </c>
      <c r="I115">
        <v>0.81770319999999996</v>
      </c>
      <c r="J115">
        <v>2.7003940000000002</v>
      </c>
      <c r="K115">
        <v>0.4</v>
      </c>
    </row>
    <row r="116" spans="1:11" x14ac:dyDescent="0.3">
      <c r="A116" s="5">
        <v>114</v>
      </c>
      <c r="B116" t="s">
        <v>30</v>
      </c>
      <c r="C116">
        <v>42</v>
      </c>
      <c r="D116" t="s">
        <v>12</v>
      </c>
      <c r="E116" t="s">
        <v>11</v>
      </c>
      <c r="F116">
        <v>16</v>
      </c>
      <c r="G116">
        <v>13.94</v>
      </c>
      <c r="H116">
        <v>-23.13</v>
      </c>
      <c r="I116">
        <v>1.071415</v>
      </c>
      <c r="J116">
        <v>3.0695000000000001</v>
      </c>
      <c r="K116">
        <v>2.98</v>
      </c>
    </row>
    <row r="117" spans="1:11" x14ac:dyDescent="0.3">
      <c r="A117">
        <v>115</v>
      </c>
      <c r="B117" t="s">
        <v>30</v>
      </c>
      <c r="C117">
        <v>42</v>
      </c>
      <c r="D117" t="s">
        <v>12</v>
      </c>
      <c r="E117" t="s">
        <v>11</v>
      </c>
      <c r="F117">
        <v>16</v>
      </c>
      <c r="G117">
        <v>14.18</v>
      </c>
      <c r="H117">
        <v>-26.16</v>
      </c>
      <c r="I117">
        <v>1.39727</v>
      </c>
      <c r="J117">
        <v>3.567825</v>
      </c>
      <c r="K117">
        <v>3.18</v>
      </c>
    </row>
    <row r="118" spans="1:11" x14ac:dyDescent="0.3">
      <c r="A118">
        <v>116</v>
      </c>
      <c r="B118" t="s">
        <v>30</v>
      </c>
      <c r="C118">
        <v>42</v>
      </c>
      <c r="D118" t="s">
        <v>12</v>
      </c>
      <c r="E118" t="s">
        <v>11</v>
      </c>
      <c r="F118">
        <v>16</v>
      </c>
      <c r="G118">
        <v>14.03</v>
      </c>
      <c r="H118">
        <v>-25.05</v>
      </c>
      <c r="I118">
        <v>0.2672234</v>
      </c>
      <c r="J118">
        <v>2.17841</v>
      </c>
      <c r="K118">
        <v>7.63</v>
      </c>
    </row>
    <row r="119" spans="1:11" x14ac:dyDescent="0.3">
      <c r="A119">
        <v>117</v>
      </c>
      <c r="B119" t="s">
        <v>30</v>
      </c>
      <c r="C119">
        <v>42</v>
      </c>
      <c r="D119" t="s">
        <v>12</v>
      </c>
      <c r="E119" t="s">
        <v>11</v>
      </c>
      <c r="F119">
        <v>16</v>
      </c>
      <c r="G119">
        <v>14.06</v>
      </c>
      <c r="H119">
        <v>-25.7</v>
      </c>
      <c r="I119">
        <v>2.6286580000000002</v>
      </c>
      <c r="J119">
        <v>4.4902309999999996</v>
      </c>
      <c r="K119">
        <v>3.04</v>
      </c>
    </row>
    <row r="120" spans="1:11" x14ac:dyDescent="0.3">
      <c r="A120">
        <v>118</v>
      </c>
      <c r="B120" t="s">
        <v>30</v>
      </c>
      <c r="C120">
        <v>42</v>
      </c>
      <c r="D120" t="s">
        <v>12</v>
      </c>
      <c r="E120" t="s">
        <v>11</v>
      </c>
      <c r="F120">
        <v>16</v>
      </c>
      <c r="G120">
        <v>14.18</v>
      </c>
      <c r="H120">
        <v>-26.13</v>
      </c>
      <c r="I120">
        <v>0.26075359999999997</v>
      </c>
      <c r="J120">
        <v>2.3542100000000001</v>
      </c>
      <c r="K120">
        <v>1.28</v>
      </c>
    </row>
    <row r="121" spans="1:11" x14ac:dyDescent="0.3">
      <c r="A121">
        <v>119</v>
      </c>
      <c r="B121" t="s">
        <v>30</v>
      </c>
      <c r="C121">
        <v>42</v>
      </c>
      <c r="D121" t="s">
        <v>12</v>
      </c>
      <c r="E121" t="s">
        <v>11</v>
      </c>
      <c r="F121">
        <v>16</v>
      </c>
      <c r="G121">
        <v>13.97</v>
      </c>
      <c r="H121">
        <v>-24.41</v>
      </c>
      <c r="I121">
        <v>1.693211</v>
      </c>
      <c r="J121">
        <v>3.7966120000000001</v>
      </c>
      <c r="K121">
        <v>23.54</v>
      </c>
    </row>
    <row r="122" spans="1:11" x14ac:dyDescent="0.3">
      <c r="A122">
        <v>120</v>
      </c>
      <c r="B122" t="s">
        <v>30</v>
      </c>
      <c r="C122">
        <v>42</v>
      </c>
      <c r="D122" t="s">
        <v>12</v>
      </c>
      <c r="E122" t="s">
        <v>11</v>
      </c>
      <c r="F122">
        <v>16</v>
      </c>
      <c r="G122">
        <v>14.03</v>
      </c>
      <c r="H122">
        <v>-24.49</v>
      </c>
      <c r="I122">
        <v>0.60628890000000002</v>
      </c>
      <c r="J122">
        <v>2.4530979999999998</v>
      </c>
      <c r="K122">
        <v>-0.28000000000000003</v>
      </c>
    </row>
    <row r="123" spans="1:11" x14ac:dyDescent="0.3">
      <c r="A123">
        <v>121</v>
      </c>
      <c r="B123" t="s">
        <v>30</v>
      </c>
      <c r="C123">
        <v>42</v>
      </c>
      <c r="D123" t="s">
        <v>12</v>
      </c>
      <c r="E123" t="s">
        <v>11</v>
      </c>
      <c r="F123">
        <v>16</v>
      </c>
      <c r="G123">
        <v>14.01</v>
      </c>
      <c r="H123">
        <v>-24.31</v>
      </c>
      <c r="I123">
        <v>1.9277839999999999</v>
      </c>
      <c r="J123">
        <v>4.279236</v>
      </c>
      <c r="K123">
        <v>4.29</v>
      </c>
    </row>
    <row r="154" spans="1:1" x14ac:dyDescent="0.3">
      <c r="A154" s="5"/>
    </row>
  </sheetData>
  <autoFilter ref="A1:R211" xr:uid="{881A0436-8AAF-4C1D-A2F5-1A8158D87C67}">
    <sortState xmlns:xlrd2="http://schemas.microsoft.com/office/spreadsheetml/2017/richdata2" ref="A2:R154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7F1-88E6-4B58-AFD6-4C44B238AA9C}">
  <dimension ref="A1:V203"/>
  <sheetViews>
    <sheetView zoomScale="115" zoomScaleNormal="115" workbookViewId="0">
      <selection activeCell="A5" sqref="A5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 s="10">
        <v>39</v>
      </c>
      <c r="B2" t="s">
        <v>30</v>
      </c>
      <c r="C2">
        <v>58</v>
      </c>
      <c r="D2" t="s">
        <v>12</v>
      </c>
      <c r="E2" t="s">
        <v>11</v>
      </c>
      <c r="F2">
        <v>16</v>
      </c>
      <c r="G2">
        <v>13.07</v>
      </c>
      <c r="H2">
        <v>-19.690000000000001</v>
      </c>
      <c r="I2">
        <v>0.91363530000000004</v>
      </c>
      <c r="J2">
        <v>2.9513850000000001</v>
      </c>
      <c r="K2">
        <v>-0.16</v>
      </c>
    </row>
    <row r="3" spans="1:22" x14ac:dyDescent="0.3">
      <c r="A3" s="10">
        <v>74</v>
      </c>
      <c r="B3" t="s">
        <v>30</v>
      </c>
      <c r="C3">
        <v>58</v>
      </c>
      <c r="D3" t="s">
        <v>12</v>
      </c>
      <c r="E3" t="s">
        <v>11</v>
      </c>
      <c r="F3">
        <v>16</v>
      </c>
      <c r="G3">
        <v>13.66</v>
      </c>
      <c r="H3">
        <v>-20.329999999999998</v>
      </c>
      <c r="I3">
        <v>2.1550449999999999</v>
      </c>
      <c r="J3">
        <v>3.960556</v>
      </c>
      <c r="K3">
        <v>5.55</v>
      </c>
    </row>
    <row r="4" spans="1:22" x14ac:dyDescent="0.3">
      <c r="A4" s="10">
        <v>116</v>
      </c>
      <c r="B4" t="s">
        <v>30</v>
      </c>
      <c r="C4">
        <v>58</v>
      </c>
      <c r="D4" t="s">
        <v>12</v>
      </c>
      <c r="E4" t="s">
        <v>11</v>
      </c>
      <c r="F4">
        <v>16</v>
      </c>
      <c r="G4">
        <v>13.67</v>
      </c>
      <c r="H4">
        <v>-20.81</v>
      </c>
      <c r="I4">
        <v>1.026535</v>
      </c>
      <c r="J4">
        <v>3.5228959999999998</v>
      </c>
      <c r="K4">
        <v>7.79</v>
      </c>
    </row>
    <row r="5" spans="1:22" x14ac:dyDescent="0.3">
      <c r="A5" s="10">
        <v>58</v>
      </c>
      <c r="B5" t="s">
        <v>30</v>
      </c>
      <c r="C5">
        <v>58</v>
      </c>
      <c r="D5" t="s">
        <v>12</v>
      </c>
      <c r="E5" t="s">
        <v>11</v>
      </c>
      <c r="F5">
        <v>16</v>
      </c>
      <c r="G5">
        <v>13.67</v>
      </c>
      <c r="H5">
        <v>-20.9</v>
      </c>
      <c r="I5">
        <v>1.5470619999999999</v>
      </c>
      <c r="J5">
        <v>3.2403719999999998</v>
      </c>
      <c r="K5">
        <v>3.08</v>
      </c>
    </row>
    <row r="6" spans="1:22" x14ac:dyDescent="0.3">
      <c r="A6" s="11">
        <v>103</v>
      </c>
      <c r="B6" t="s">
        <v>30</v>
      </c>
      <c r="C6">
        <v>58</v>
      </c>
      <c r="D6" t="s">
        <v>12</v>
      </c>
      <c r="E6" t="s">
        <v>11</v>
      </c>
      <c r="F6">
        <v>16</v>
      </c>
      <c r="G6">
        <v>13.93</v>
      </c>
      <c r="H6">
        <v>-21.31</v>
      </c>
      <c r="I6">
        <v>0.46830749999999999</v>
      </c>
      <c r="J6">
        <v>2.2582089999999999</v>
      </c>
      <c r="K6">
        <v>0.12</v>
      </c>
    </row>
    <row r="7" spans="1:22" x14ac:dyDescent="0.3">
      <c r="A7" s="11">
        <v>84</v>
      </c>
      <c r="B7" t="s">
        <v>30</v>
      </c>
      <c r="C7">
        <v>58</v>
      </c>
      <c r="D7" t="s">
        <v>12</v>
      </c>
      <c r="E7" t="s">
        <v>11</v>
      </c>
      <c r="F7">
        <v>16</v>
      </c>
      <c r="G7">
        <v>13.91</v>
      </c>
      <c r="H7">
        <v>-22.73</v>
      </c>
      <c r="I7">
        <v>1.27285</v>
      </c>
      <c r="J7">
        <v>3.1958160000000002</v>
      </c>
      <c r="K7">
        <v>3.13</v>
      </c>
    </row>
    <row r="8" spans="1:22" x14ac:dyDescent="0.3">
      <c r="A8">
        <v>83</v>
      </c>
      <c r="B8" t="s">
        <v>30</v>
      </c>
      <c r="C8">
        <v>58</v>
      </c>
      <c r="D8" t="s">
        <v>12</v>
      </c>
      <c r="E8" t="s">
        <v>11</v>
      </c>
      <c r="F8">
        <v>16</v>
      </c>
      <c r="G8">
        <v>13.48</v>
      </c>
      <c r="H8">
        <v>-22.84</v>
      </c>
      <c r="I8">
        <v>2.9840390000000001</v>
      </c>
      <c r="J8">
        <v>5.4309269999999996</v>
      </c>
      <c r="K8">
        <v>1.4</v>
      </c>
    </row>
    <row r="9" spans="1:22" x14ac:dyDescent="0.3">
      <c r="A9">
        <v>70</v>
      </c>
      <c r="B9" t="s">
        <v>30</v>
      </c>
      <c r="C9">
        <v>58</v>
      </c>
      <c r="D9" t="s">
        <v>12</v>
      </c>
      <c r="E9" t="s">
        <v>11</v>
      </c>
      <c r="F9">
        <v>16</v>
      </c>
      <c r="G9">
        <v>14.2</v>
      </c>
      <c r="H9">
        <v>-23.18</v>
      </c>
      <c r="I9">
        <v>0.64698029999999995</v>
      </c>
      <c r="J9">
        <v>2.6009449999999998</v>
      </c>
      <c r="K9">
        <v>9.66</v>
      </c>
    </row>
    <row r="10" spans="1:22" x14ac:dyDescent="0.3">
      <c r="A10">
        <v>120</v>
      </c>
      <c r="B10" t="s">
        <v>30</v>
      </c>
      <c r="C10">
        <v>58</v>
      </c>
      <c r="D10" t="s">
        <v>12</v>
      </c>
      <c r="E10" t="s">
        <v>11</v>
      </c>
      <c r="F10">
        <v>16</v>
      </c>
      <c r="G10">
        <v>13.9</v>
      </c>
      <c r="H10">
        <v>-23.55</v>
      </c>
      <c r="I10">
        <v>1.0801050000000001</v>
      </c>
      <c r="J10">
        <v>2.9333650000000002</v>
      </c>
      <c r="K10">
        <v>-0.39</v>
      </c>
    </row>
    <row r="11" spans="1:22" x14ac:dyDescent="0.3">
      <c r="A11">
        <v>119</v>
      </c>
      <c r="B11" t="s">
        <v>30</v>
      </c>
      <c r="C11">
        <v>58</v>
      </c>
      <c r="D11" t="s">
        <v>12</v>
      </c>
      <c r="E11" t="s">
        <v>11</v>
      </c>
      <c r="F11">
        <v>16</v>
      </c>
      <c r="G11">
        <v>13.96</v>
      </c>
      <c r="H11">
        <v>-23.57</v>
      </c>
      <c r="I11">
        <v>2.01152</v>
      </c>
      <c r="J11">
        <v>3.93465</v>
      </c>
      <c r="K11">
        <v>23.74</v>
      </c>
    </row>
    <row r="12" spans="1:22" x14ac:dyDescent="0.3">
      <c r="A12">
        <v>67</v>
      </c>
      <c r="B12" t="s">
        <v>30</v>
      </c>
      <c r="C12">
        <v>58</v>
      </c>
      <c r="D12" t="s">
        <v>12</v>
      </c>
      <c r="E12" t="s">
        <v>11</v>
      </c>
      <c r="F12">
        <v>16</v>
      </c>
      <c r="G12">
        <v>13.96</v>
      </c>
      <c r="H12">
        <v>-23.6</v>
      </c>
      <c r="I12">
        <v>2.0331920000000001</v>
      </c>
      <c r="J12">
        <v>3.8775559999999998</v>
      </c>
      <c r="K12">
        <v>44.58</v>
      </c>
    </row>
    <row r="13" spans="1:22" x14ac:dyDescent="0.3">
      <c r="A13">
        <v>121</v>
      </c>
      <c r="B13" t="s">
        <v>30</v>
      </c>
      <c r="C13">
        <v>58</v>
      </c>
      <c r="D13" t="s">
        <v>12</v>
      </c>
      <c r="E13" t="s">
        <v>11</v>
      </c>
      <c r="F13">
        <v>16</v>
      </c>
      <c r="G13">
        <v>14.03</v>
      </c>
      <c r="H13">
        <v>-23.66</v>
      </c>
      <c r="I13">
        <v>2.1327970000000001</v>
      </c>
      <c r="J13">
        <v>4.1530189999999996</v>
      </c>
      <c r="K13">
        <v>4.1100000000000003</v>
      </c>
    </row>
    <row r="14" spans="1:22" x14ac:dyDescent="0.3">
      <c r="A14">
        <v>110</v>
      </c>
      <c r="B14" t="s">
        <v>30</v>
      </c>
      <c r="C14">
        <v>58</v>
      </c>
      <c r="D14" t="s">
        <v>12</v>
      </c>
      <c r="E14" t="s">
        <v>11</v>
      </c>
      <c r="F14">
        <v>16</v>
      </c>
      <c r="G14">
        <v>14.21</v>
      </c>
      <c r="H14">
        <v>-23.69</v>
      </c>
      <c r="I14">
        <v>2.6596299999999999</v>
      </c>
      <c r="J14">
        <v>4.4627949999999998</v>
      </c>
      <c r="K14">
        <v>4.43</v>
      </c>
    </row>
    <row r="15" spans="1:22" x14ac:dyDescent="0.3">
      <c r="A15">
        <v>8</v>
      </c>
      <c r="B15" t="s">
        <v>30</v>
      </c>
      <c r="C15">
        <v>58</v>
      </c>
      <c r="D15" t="s">
        <v>12</v>
      </c>
      <c r="E15" t="s">
        <v>11</v>
      </c>
      <c r="F15">
        <v>16</v>
      </c>
      <c r="G15">
        <v>14.6</v>
      </c>
      <c r="H15">
        <v>-23.8</v>
      </c>
      <c r="I15">
        <v>1.146935</v>
      </c>
      <c r="J15">
        <v>3.060184</v>
      </c>
      <c r="K15">
        <v>3.91</v>
      </c>
    </row>
    <row r="16" spans="1:22" x14ac:dyDescent="0.3">
      <c r="A16">
        <v>100</v>
      </c>
      <c r="B16" t="s">
        <v>30</v>
      </c>
      <c r="C16">
        <v>58</v>
      </c>
      <c r="D16" t="s">
        <v>12</v>
      </c>
      <c r="E16" t="s">
        <v>11</v>
      </c>
      <c r="F16">
        <v>16</v>
      </c>
      <c r="G16">
        <v>14.26</v>
      </c>
      <c r="H16">
        <v>-24.03</v>
      </c>
      <c r="I16">
        <v>1.4826619999999999</v>
      </c>
      <c r="J16">
        <v>3.2276379999999998</v>
      </c>
      <c r="K16">
        <v>3.11</v>
      </c>
    </row>
    <row r="17" spans="1:11" x14ac:dyDescent="0.3">
      <c r="A17">
        <v>106</v>
      </c>
      <c r="B17" t="s">
        <v>30</v>
      </c>
      <c r="C17">
        <v>58</v>
      </c>
      <c r="D17" t="s">
        <v>12</v>
      </c>
      <c r="E17" t="s">
        <v>11</v>
      </c>
      <c r="F17">
        <v>16</v>
      </c>
      <c r="G17">
        <v>13.94</v>
      </c>
      <c r="H17">
        <v>-24.03</v>
      </c>
      <c r="I17">
        <v>2.0710829999999998</v>
      </c>
      <c r="J17">
        <v>4.1644589999999999</v>
      </c>
      <c r="K17">
        <v>7.36</v>
      </c>
    </row>
    <row r="18" spans="1:11" x14ac:dyDescent="0.3">
      <c r="A18">
        <v>108</v>
      </c>
      <c r="B18" t="s">
        <v>30</v>
      </c>
      <c r="C18">
        <v>58</v>
      </c>
      <c r="D18" t="s">
        <v>12</v>
      </c>
      <c r="E18" t="s">
        <v>11</v>
      </c>
      <c r="F18">
        <v>16</v>
      </c>
      <c r="G18">
        <v>14.24</v>
      </c>
      <c r="H18">
        <v>-24.08</v>
      </c>
      <c r="I18">
        <v>2.4728319999999999</v>
      </c>
      <c r="J18">
        <v>4.4162559999999997</v>
      </c>
      <c r="K18">
        <v>2.2200000000000002</v>
      </c>
    </row>
    <row r="19" spans="1:11" x14ac:dyDescent="0.3">
      <c r="A19">
        <v>26</v>
      </c>
      <c r="B19" t="s">
        <v>30</v>
      </c>
      <c r="C19">
        <v>58</v>
      </c>
      <c r="D19" t="s">
        <v>12</v>
      </c>
      <c r="E19" t="s">
        <v>11</v>
      </c>
      <c r="F19">
        <v>16</v>
      </c>
      <c r="G19">
        <v>14.15</v>
      </c>
      <c r="H19">
        <v>-24.1</v>
      </c>
      <c r="I19">
        <v>1.1810149999999999</v>
      </c>
      <c r="J19">
        <v>3.1997719999999998</v>
      </c>
      <c r="K19">
        <v>3.74</v>
      </c>
    </row>
    <row r="20" spans="1:11" x14ac:dyDescent="0.3">
      <c r="A20">
        <v>10</v>
      </c>
      <c r="B20" t="s">
        <v>30</v>
      </c>
      <c r="C20">
        <v>58</v>
      </c>
      <c r="D20" t="s">
        <v>12</v>
      </c>
      <c r="E20" t="s">
        <v>11</v>
      </c>
      <c r="F20">
        <v>16</v>
      </c>
      <c r="G20">
        <v>14.71</v>
      </c>
      <c r="H20">
        <v>-24.15</v>
      </c>
      <c r="I20">
        <v>1.202164</v>
      </c>
      <c r="J20">
        <v>2.9671129999999999</v>
      </c>
      <c r="K20">
        <v>2.89</v>
      </c>
    </row>
    <row r="21" spans="1:11" x14ac:dyDescent="0.3">
      <c r="A21">
        <v>82</v>
      </c>
      <c r="B21" t="s">
        <v>30</v>
      </c>
      <c r="C21">
        <v>58</v>
      </c>
      <c r="D21" t="s">
        <v>12</v>
      </c>
      <c r="E21" t="s">
        <v>11</v>
      </c>
      <c r="F21">
        <v>16</v>
      </c>
      <c r="G21">
        <v>14.26</v>
      </c>
      <c r="H21">
        <v>-24.17</v>
      </c>
      <c r="I21">
        <v>2.1820680000000001</v>
      </c>
      <c r="J21">
        <v>4.7416080000000003</v>
      </c>
      <c r="K21">
        <v>0.03</v>
      </c>
    </row>
    <row r="22" spans="1:11" x14ac:dyDescent="0.3">
      <c r="A22">
        <v>78</v>
      </c>
      <c r="B22" t="s">
        <v>30</v>
      </c>
      <c r="C22">
        <v>58</v>
      </c>
      <c r="D22" t="s">
        <v>12</v>
      </c>
      <c r="E22" t="s">
        <v>11</v>
      </c>
      <c r="F22">
        <v>16</v>
      </c>
      <c r="G22">
        <v>13.83</v>
      </c>
      <c r="H22">
        <v>-24.19</v>
      </c>
      <c r="I22">
        <v>2.8436360000000001</v>
      </c>
      <c r="J22">
        <v>4.7870790000000003</v>
      </c>
      <c r="K22">
        <v>0.95</v>
      </c>
    </row>
    <row r="23" spans="1:11" x14ac:dyDescent="0.3">
      <c r="A23">
        <v>24</v>
      </c>
      <c r="B23" t="s">
        <v>30</v>
      </c>
      <c r="C23">
        <v>58</v>
      </c>
      <c r="D23" t="s">
        <v>12</v>
      </c>
      <c r="E23" t="s">
        <v>11</v>
      </c>
      <c r="F23">
        <v>16</v>
      </c>
      <c r="G23">
        <v>14.25</v>
      </c>
      <c r="H23">
        <v>-24.24</v>
      </c>
      <c r="I23">
        <v>0.68429949999999995</v>
      </c>
      <c r="J23">
        <v>2.422752</v>
      </c>
      <c r="K23">
        <v>3.81</v>
      </c>
    </row>
    <row r="24" spans="1:11" x14ac:dyDescent="0.3">
      <c r="A24">
        <v>91</v>
      </c>
      <c r="B24" t="s">
        <v>30</v>
      </c>
      <c r="C24">
        <v>58</v>
      </c>
      <c r="D24" t="s">
        <v>12</v>
      </c>
      <c r="E24" t="s">
        <v>11</v>
      </c>
      <c r="F24">
        <v>16</v>
      </c>
      <c r="G24">
        <v>13.83</v>
      </c>
      <c r="H24">
        <v>-24.28</v>
      </c>
      <c r="I24">
        <v>2.167252</v>
      </c>
      <c r="J24">
        <v>4.0061260000000001</v>
      </c>
      <c r="K24">
        <v>4.1399999999999997</v>
      </c>
    </row>
    <row r="25" spans="1:11" x14ac:dyDescent="0.3">
      <c r="A25">
        <v>7</v>
      </c>
      <c r="B25" t="s">
        <v>30</v>
      </c>
      <c r="C25">
        <v>58</v>
      </c>
      <c r="D25" t="s">
        <v>12</v>
      </c>
      <c r="E25" t="s">
        <v>11</v>
      </c>
      <c r="F25">
        <v>16</v>
      </c>
      <c r="G25">
        <v>14.4</v>
      </c>
      <c r="H25">
        <v>-24.32</v>
      </c>
      <c r="I25">
        <v>1.4662440000000001</v>
      </c>
      <c r="J25">
        <v>3.5060959999999999</v>
      </c>
      <c r="K25">
        <v>-1.83</v>
      </c>
    </row>
    <row r="26" spans="1:11" x14ac:dyDescent="0.3">
      <c r="A26">
        <v>77</v>
      </c>
      <c r="B26" t="s">
        <v>30</v>
      </c>
      <c r="C26">
        <v>58</v>
      </c>
      <c r="D26" t="s">
        <v>12</v>
      </c>
      <c r="E26" t="s">
        <v>11</v>
      </c>
      <c r="F26">
        <v>16</v>
      </c>
      <c r="G26">
        <v>14.32</v>
      </c>
      <c r="H26">
        <v>-24.38</v>
      </c>
      <c r="I26">
        <v>3.1437759999999999</v>
      </c>
      <c r="J26">
        <v>5.05619</v>
      </c>
      <c r="K26">
        <v>1.07</v>
      </c>
    </row>
    <row r="27" spans="1:11" x14ac:dyDescent="0.3">
      <c r="A27">
        <v>5</v>
      </c>
      <c r="B27" t="s">
        <v>30</v>
      </c>
      <c r="C27">
        <v>58</v>
      </c>
      <c r="D27" t="s">
        <v>12</v>
      </c>
      <c r="E27" t="s">
        <v>11</v>
      </c>
      <c r="F27">
        <v>16</v>
      </c>
      <c r="G27">
        <v>14.66</v>
      </c>
      <c r="H27">
        <v>-24.42</v>
      </c>
      <c r="I27">
        <v>2.208755</v>
      </c>
      <c r="J27">
        <v>4.0015450000000001</v>
      </c>
      <c r="K27">
        <v>-1.3</v>
      </c>
    </row>
    <row r="28" spans="1:11" x14ac:dyDescent="0.3">
      <c r="A28">
        <v>92</v>
      </c>
      <c r="B28" t="s">
        <v>30</v>
      </c>
      <c r="C28">
        <v>58</v>
      </c>
      <c r="D28" t="s">
        <v>12</v>
      </c>
      <c r="E28" t="s">
        <v>11</v>
      </c>
      <c r="F28">
        <v>16</v>
      </c>
      <c r="G28">
        <v>13.96</v>
      </c>
      <c r="H28">
        <v>-24.43</v>
      </c>
      <c r="I28">
        <v>0.81779860000000004</v>
      </c>
      <c r="J28">
        <v>2.7463760000000002</v>
      </c>
      <c r="K28">
        <v>5.28</v>
      </c>
    </row>
    <row r="29" spans="1:11" x14ac:dyDescent="0.3">
      <c r="A29">
        <v>9</v>
      </c>
      <c r="B29" t="s">
        <v>30</v>
      </c>
      <c r="C29">
        <v>58</v>
      </c>
      <c r="D29" t="s">
        <v>12</v>
      </c>
      <c r="E29" t="s">
        <v>11</v>
      </c>
      <c r="F29">
        <v>16</v>
      </c>
      <c r="G29">
        <v>14.53</v>
      </c>
      <c r="H29">
        <v>-24.44</v>
      </c>
      <c r="I29">
        <v>2.4135209999999998</v>
      </c>
      <c r="J29">
        <v>3.403877</v>
      </c>
      <c r="K29">
        <v>0.81</v>
      </c>
    </row>
    <row r="30" spans="1:11" x14ac:dyDescent="0.3">
      <c r="A30">
        <v>88</v>
      </c>
      <c r="B30" t="s">
        <v>30</v>
      </c>
      <c r="C30">
        <v>58</v>
      </c>
      <c r="D30" t="s">
        <v>12</v>
      </c>
      <c r="E30" t="s">
        <v>11</v>
      </c>
      <c r="F30">
        <v>16</v>
      </c>
      <c r="G30">
        <v>14.4</v>
      </c>
      <c r="H30">
        <v>-24.47</v>
      </c>
      <c r="I30">
        <v>1.771439</v>
      </c>
      <c r="J30">
        <v>3.6609690000000001</v>
      </c>
      <c r="K30">
        <v>1.22</v>
      </c>
    </row>
    <row r="31" spans="1:11" x14ac:dyDescent="0.3">
      <c r="A31">
        <v>112</v>
      </c>
      <c r="B31" t="s">
        <v>30</v>
      </c>
      <c r="C31">
        <v>58</v>
      </c>
      <c r="D31" t="s">
        <v>12</v>
      </c>
      <c r="E31" t="s">
        <v>11</v>
      </c>
      <c r="F31">
        <v>16</v>
      </c>
      <c r="G31">
        <v>14.07</v>
      </c>
      <c r="H31">
        <v>-24.47</v>
      </c>
      <c r="I31">
        <v>0.99547960000000002</v>
      </c>
      <c r="J31">
        <v>2.8941880000000002</v>
      </c>
      <c r="K31">
        <v>6.79</v>
      </c>
    </row>
    <row r="32" spans="1:11" x14ac:dyDescent="0.3">
      <c r="A32">
        <v>109</v>
      </c>
      <c r="B32" t="s">
        <v>30</v>
      </c>
      <c r="C32">
        <v>58</v>
      </c>
      <c r="D32" t="s">
        <v>12</v>
      </c>
      <c r="E32" t="s">
        <v>11</v>
      </c>
      <c r="F32">
        <v>16</v>
      </c>
      <c r="G32">
        <v>14.2</v>
      </c>
      <c r="H32">
        <v>-24.5</v>
      </c>
      <c r="I32">
        <v>1.9488719999999999</v>
      </c>
      <c r="J32">
        <v>3.7093090000000002</v>
      </c>
      <c r="K32">
        <v>1.38</v>
      </c>
    </row>
    <row r="33" spans="1:20" x14ac:dyDescent="0.3">
      <c r="A33">
        <v>49</v>
      </c>
      <c r="B33" t="s">
        <v>30</v>
      </c>
      <c r="C33">
        <v>58</v>
      </c>
      <c r="D33" t="s">
        <v>12</v>
      </c>
      <c r="E33" t="s">
        <v>11</v>
      </c>
      <c r="F33">
        <v>16</v>
      </c>
      <c r="G33">
        <v>13.91</v>
      </c>
      <c r="H33">
        <v>-24.54</v>
      </c>
      <c r="I33">
        <v>1.008087</v>
      </c>
      <c r="J33">
        <v>2.587437</v>
      </c>
      <c r="K33">
        <v>3.99</v>
      </c>
    </row>
    <row r="34" spans="1:20" x14ac:dyDescent="0.3">
      <c r="A34">
        <v>16</v>
      </c>
      <c r="B34" t="s">
        <v>30</v>
      </c>
      <c r="C34">
        <v>58</v>
      </c>
      <c r="D34" t="s">
        <v>12</v>
      </c>
      <c r="E34" t="s">
        <v>11</v>
      </c>
      <c r="F34">
        <v>16</v>
      </c>
      <c r="G34">
        <v>14.21</v>
      </c>
      <c r="H34">
        <v>-24.57</v>
      </c>
      <c r="I34">
        <v>1.019512</v>
      </c>
      <c r="J34">
        <v>2.987743</v>
      </c>
      <c r="K34">
        <v>1.41</v>
      </c>
    </row>
    <row r="35" spans="1:20" x14ac:dyDescent="0.3">
      <c r="A35">
        <v>2</v>
      </c>
      <c r="B35" t="s">
        <v>30</v>
      </c>
      <c r="C35">
        <v>58</v>
      </c>
      <c r="D35" t="s">
        <v>12</v>
      </c>
      <c r="E35" t="s">
        <v>11</v>
      </c>
      <c r="F35">
        <v>16</v>
      </c>
      <c r="G35">
        <v>14.76</v>
      </c>
      <c r="H35">
        <v>-24.62</v>
      </c>
      <c r="I35">
        <v>0.89815900000000004</v>
      </c>
      <c r="J35">
        <v>2.5216560000000001</v>
      </c>
      <c r="K35">
        <v>0.55000000000000004</v>
      </c>
      <c r="N35">
        <f>AVERAGE(H34:H545)</f>
        <v>-25.377444444444446</v>
      </c>
      <c r="O35">
        <f>STDEV(H34:H545)</f>
        <v>0.52842050226687853</v>
      </c>
      <c r="P35">
        <f>ROUND(N35 + 2, 1)</f>
        <v>-23.4</v>
      </c>
      <c r="Q35">
        <f>ROUND(N35 -2, 1)</f>
        <v>-27.4</v>
      </c>
      <c r="R35">
        <f>(P35-N35)/(3*O35)</f>
        <v>1.2473932130196694</v>
      </c>
      <c r="S35">
        <f>(N35-Q35)/(3*O35)</f>
        <v>1.2758497868515464</v>
      </c>
      <c r="T35">
        <f>MIN(R35,S35)</f>
        <v>1.2473932130196694</v>
      </c>
    </row>
    <row r="36" spans="1:20" x14ac:dyDescent="0.3">
      <c r="A36">
        <v>107</v>
      </c>
      <c r="B36" t="s">
        <v>30</v>
      </c>
      <c r="C36">
        <v>58</v>
      </c>
      <c r="D36" t="s">
        <v>12</v>
      </c>
      <c r="E36" t="s">
        <v>11</v>
      </c>
      <c r="F36">
        <v>16</v>
      </c>
      <c r="G36">
        <v>14.34</v>
      </c>
      <c r="H36">
        <v>-24.62</v>
      </c>
      <c r="I36">
        <v>0.47700880000000001</v>
      </c>
      <c r="J36">
        <v>2.321091</v>
      </c>
      <c r="K36">
        <v>0.46</v>
      </c>
    </row>
    <row r="37" spans="1:20" x14ac:dyDescent="0.3">
      <c r="A37">
        <v>72</v>
      </c>
      <c r="B37" t="s">
        <v>30</v>
      </c>
      <c r="C37">
        <v>58</v>
      </c>
      <c r="D37" t="s">
        <v>12</v>
      </c>
      <c r="E37" t="s">
        <v>11</v>
      </c>
      <c r="F37">
        <v>16</v>
      </c>
      <c r="G37">
        <v>13.75</v>
      </c>
      <c r="H37">
        <v>-24.64</v>
      </c>
      <c r="I37">
        <v>1.8782920000000001</v>
      </c>
      <c r="J37">
        <v>3.7964289999999998</v>
      </c>
      <c r="K37">
        <v>15.88</v>
      </c>
    </row>
    <row r="38" spans="1:20" x14ac:dyDescent="0.3">
      <c r="A38">
        <v>75</v>
      </c>
      <c r="B38" t="s">
        <v>30</v>
      </c>
      <c r="C38">
        <v>58</v>
      </c>
      <c r="D38" t="s">
        <v>12</v>
      </c>
      <c r="E38" t="s">
        <v>11</v>
      </c>
      <c r="F38">
        <v>16</v>
      </c>
      <c r="G38">
        <v>14.24</v>
      </c>
      <c r="H38">
        <v>-24.64</v>
      </c>
      <c r="I38">
        <v>2.3894199999999999</v>
      </c>
      <c r="J38">
        <v>4.7530140000000003</v>
      </c>
      <c r="K38">
        <v>-0.96</v>
      </c>
    </row>
    <row r="39" spans="1:20" x14ac:dyDescent="0.3">
      <c r="A39">
        <v>85</v>
      </c>
      <c r="B39" t="s">
        <v>30</v>
      </c>
      <c r="C39">
        <v>58</v>
      </c>
      <c r="D39" t="s">
        <v>12</v>
      </c>
      <c r="E39" t="s">
        <v>11</v>
      </c>
      <c r="F39">
        <v>16</v>
      </c>
      <c r="G39">
        <v>14.19</v>
      </c>
      <c r="H39">
        <v>-24.66</v>
      </c>
      <c r="I39">
        <v>2.363712</v>
      </c>
      <c r="J39">
        <v>3.9813839999999998</v>
      </c>
      <c r="K39">
        <v>-0.5</v>
      </c>
    </row>
    <row r="40" spans="1:20" x14ac:dyDescent="0.3">
      <c r="A40">
        <v>18</v>
      </c>
      <c r="B40" t="s">
        <v>30</v>
      </c>
      <c r="C40">
        <v>58</v>
      </c>
      <c r="D40" t="s">
        <v>12</v>
      </c>
      <c r="E40" t="s">
        <v>11</v>
      </c>
      <c r="F40">
        <v>16</v>
      </c>
      <c r="G40">
        <v>14.46</v>
      </c>
      <c r="H40">
        <v>-24.69</v>
      </c>
      <c r="I40">
        <v>1.1561619999999999</v>
      </c>
      <c r="J40">
        <v>2.9131390000000001</v>
      </c>
      <c r="K40">
        <v>1.37</v>
      </c>
    </row>
    <row r="41" spans="1:20" x14ac:dyDescent="0.3">
      <c r="A41">
        <v>17</v>
      </c>
      <c r="B41" t="s">
        <v>30</v>
      </c>
      <c r="C41">
        <v>58</v>
      </c>
      <c r="D41" t="s">
        <v>12</v>
      </c>
      <c r="E41" t="s">
        <v>11</v>
      </c>
      <c r="F41">
        <v>16</v>
      </c>
      <c r="G41">
        <v>14.79</v>
      </c>
      <c r="H41">
        <v>-24.7</v>
      </c>
      <c r="I41">
        <v>1.508759</v>
      </c>
      <c r="J41">
        <v>3.2985000000000002</v>
      </c>
      <c r="K41">
        <v>2.5499999999999998</v>
      </c>
    </row>
    <row r="42" spans="1:20" x14ac:dyDescent="0.3">
      <c r="A42">
        <v>105</v>
      </c>
      <c r="B42" t="s">
        <v>30</v>
      </c>
      <c r="C42">
        <v>58</v>
      </c>
      <c r="D42" t="s">
        <v>12</v>
      </c>
      <c r="E42" t="s">
        <v>11</v>
      </c>
      <c r="F42">
        <v>16</v>
      </c>
      <c r="G42">
        <v>14.26</v>
      </c>
      <c r="H42">
        <v>-24.71</v>
      </c>
      <c r="I42">
        <v>1.412544</v>
      </c>
      <c r="J42">
        <v>3.262543</v>
      </c>
      <c r="K42">
        <v>0.1</v>
      </c>
    </row>
    <row r="43" spans="1:20" x14ac:dyDescent="0.3">
      <c r="A43">
        <v>118</v>
      </c>
      <c r="B43" t="s">
        <v>30</v>
      </c>
      <c r="C43">
        <v>58</v>
      </c>
      <c r="D43" t="s">
        <v>12</v>
      </c>
      <c r="E43" t="s">
        <v>11</v>
      </c>
      <c r="F43">
        <v>16</v>
      </c>
      <c r="G43">
        <v>14.06</v>
      </c>
      <c r="H43">
        <v>-24.76</v>
      </c>
      <c r="I43">
        <v>0.81222530000000004</v>
      </c>
      <c r="J43">
        <v>2.6207579999999999</v>
      </c>
      <c r="K43">
        <v>1.1599999999999999</v>
      </c>
    </row>
    <row r="44" spans="1:20" x14ac:dyDescent="0.3">
      <c r="A44">
        <v>73</v>
      </c>
      <c r="B44" t="s">
        <v>30</v>
      </c>
      <c r="C44">
        <v>58</v>
      </c>
      <c r="D44" t="s">
        <v>12</v>
      </c>
      <c r="E44" t="s">
        <v>11</v>
      </c>
      <c r="F44">
        <v>16</v>
      </c>
      <c r="G44">
        <v>14.34</v>
      </c>
      <c r="H44">
        <v>-24.77</v>
      </c>
      <c r="I44">
        <v>1.087456</v>
      </c>
      <c r="J44">
        <v>2.8123659999999999</v>
      </c>
      <c r="K44">
        <v>0.61</v>
      </c>
    </row>
    <row r="45" spans="1:20" x14ac:dyDescent="0.3">
      <c r="A45">
        <v>61</v>
      </c>
      <c r="B45" t="s">
        <v>30</v>
      </c>
      <c r="C45">
        <v>58</v>
      </c>
      <c r="D45" t="s">
        <v>12</v>
      </c>
      <c r="E45" t="s">
        <v>11</v>
      </c>
      <c r="F45">
        <v>16</v>
      </c>
      <c r="G45">
        <v>13.57</v>
      </c>
      <c r="H45">
        <v>-24.78</v>
      </c>
      <c r="I45">
        <v>2.3048709999999999</v>
      </c>
      <c r="J45">
        <v>4.2005309999999998</v>
      </c>
      <c r="K45">
        <v>-0.03</v>
      </c>
    </row>
    <row r="46" spans="1:20" x14ac:dyDescent="0.3">
      <c r="A46">
        <v>76</v>
      </c>
      <c r="B46" t="s">
        <v>30</v>
      </c>
      <c r="C46">
        <v>58</v>
      </c>
      <c r="D46" t="s">
        <v>12</v>
      </c>
      <c r="E46" t="s">
        <v>11</v>
      </c>
      <c r="F46">
        <v>16</v>
      </c>
      <c r="G46">
        <v>14.15</v>
      </c>
      <c r="H46">
        <v>-24.79</v>
      </c>
      <c r="I46">
        <v>1.6611020000000001</v>
      </c>
      <c r="J46">
        <v>3.3587530000000001</v>
      </c>
      <c r="K46">
        <v>0.25</v>
      </c>
    </row>
    <row r="47" spans="1:20" x14ac:dyDescent="0.3">
      <c r="A47">
        <v>7</v>
      </c>
      <c r="B47" t="s">
        <v>30</v>
      </c>
      <c r="C47">
        <v>58</v>
      </c>
      <c r="D47" t="s">
        <v>12</v>
      </c>
      <c r="E47" t="s">
        <v>11</v>
      </c>
      <c r="F47">
        <v>16</v>
      </c>
      <c r="G47">
        <v>14.58</v>
      </c>
      <c r="H47">
        <v>-24.81</v>
      </c>
      <c r="I47">
        <v>1.013287</v>
      </c>
      <c r="J47">
        <v>2.7578049999999998</v>
      </c>
      <c r="K47">
        <v>-0.37</v>
      </c>
    </row>
    <row r="48" spans="1:20" x14ac:dyDescent="0.3">
      <c r="A48">
        <v>41</v>
      </c>
      <c r="B48" t="s">
        <v>30</v>
      </c>
      <c r="C48">
        <v>58</v>
      </c>
      <c r="D48" t="s">
        <v>12</v>
      </c>
      <c r="E48" t="s">
        <v>11</v>
      </c>
      <c r="F48">
        <v>16</v>
      </c>
      <c r="G48">
        <v>13.98</v>
      </c>
      <c r="H48">
        <v>-24.82</v>
      </c>
      <c r="I48">
        <v>-0.15048220000000001</v>
      </c>
      <c r="J48">
        <v>1.688793</v>
      </c>
      <c r="K48">
        <v>-2.02</v>
      </c>
    </row>
    <row r="49" spans="1:11" x14ac:dyDescent="0.3">
      <c r="A49">
        <v>79</v>
      </c>
      <c r="B49" t="s">
        <v>30</v>
      </c>
      <c r="C49">
        <v>58</v>
      </c>
      <c r="D49" t="s">
        <v>12</v>
      </c>
      <c r="E49" t="s">
        <v>11</v>
      </c>
      <c r="F49">
        <v>16</v>
      </c>
      <c r="G49">
        <v>14.11</v>
      </c>
      <c r="H49">
        <v>-24.84</v>
      </c>
      <c r="I49">
        <v>1.9891700000000001</v>
      </c>
      <c r="J49">
        <v>4.0398560000000003</v>
      </c>
      <c r="K49">
        <v>1.32</v>
      </c>
    </row>
    <row r="50" spans="1:11" x14ac:dyDescent="0.3">
      <c r="A50">
        <v>99</v>
      </c>
      <c r="B50" t="s">
        <v>30</v>
      </c>
      <c r="C50">
        <v>58</v>
      </c>
      <c r="D50" t="s">
        <v>12</v>
      </c>
      <c r="E50" t="s">
        <v>11</v>
      </c>
      <c r="F50">
        <v>16</v>
      </c>
      <c r="G50">
        <v>14.21</v>
      </c>
      <c r="H50">
        <v>-24.88</v>
      </c>
      <c r="I50">
        <v>1.5209159999999999</v>
      </c>
      <c r="J50">
        <v>3.4157980000000001</v>
      </c>
      <c r="K50">
        <v>0.27</v>
      </c>
    </row>
    <row r="51" spans="1:11" x14ac:dyDescent="0.3">
      <c r="A51">
        <v>113</v>
      </c>
      <c r="B51" t="s">
        <v>30</v>
      </c>
      <c r="C51">
        <v>58</v>
      </c>
      <c r="D51" t="s">
        <v>12</v>
      </c>
      <c r="E51" t="s">
        <v>11</v>
      </c>
      <c r="F51">
        <v>16</v>
      </c>
      <c r="G51">
        <v>14.25</v>
      </c>
      <c r="H51">
        <v>-24.88</v>
      </c>
      <c r="I51">
        <v>1.066109</v>
      </c>
      <c r="J51">
        <v>3.4017029999999999</v>
      </c>
      <c r="K51">
        <v>0.39</v>
      </c>
    </row>
    <row r="52" spans="1:11" x14ac:dyDescent="0.3">
      <c r="A52">
        <v>114</v>
      </c>
      <c r="B52" t="s">
        <v>30</v>
      </c>
      <c r="C52">
        <v>58</v>
      </c>
      <c r="D52" t="s">
        <v>12</v>
      </c>
      <c r="E52" t="s">
        <v>11</v>
      </c>
      <c r="F52">
        <v>16</v>
      </c>
      <c r="G52">
        <v>14.24</v>
      </c>
      <c r="H52">
        <v>-24.89</v>
      </c>
      <c r="I52">
        <v>0.59676739999999995</v>
      </c>
      <c r="J52">
        <v>2.7587549999999998</v>
      </c>
      <c r="K52">
        <v>2.69</v>
      </c>
    </row>
    <row r="53" spans="1:11" x14ac:dyDescent="0.3">
      <c r="A53">
        <v>29</v>
      </c>
      <c r="B53" t="s">
        <v>30</v>
      </c>
      <c r="C53">
        <v>58</v>
      </c>
      <c r="D53" t="s">
        <v>12</v>
      </c>
      <c r="E53" t="s">
        <v>11</v>
      </c>
      <c r="F53">
        <v>16</v>
      </c>
      <c r="G53">
        <v>14.49</v>
      </c>
      <c r="H53">
        <v>-24.9</v>
      </c>
      <c r="I53">
        <v>1.093769</v>
      </c>
      <c r="J53">
        <v>2.7556759999999998</v>
      </c>
      <c r="K53">
        <v>4.38</v>
      </c>
    </row>
    <row r="54" spans="1:11" x14ac:dyDescent="0.3">
      <c r="A54">
        <v>87</v>
      </c>
      <c r="B54" t="s">
        <v>30</v>
      </c>
      <c r="C54">
        <v>58</v>
      </c>
      <c r="D54" t="s">
        <v>12</v>
      </c>
      <c r="E54" t="s">
        <v>11</v>
      </c>
      <c r="F54">
        <v>16</v>
      </c>
      <c r="G54">
        <v>14.19</v>
      </c>
      <c r="H54">
        <v>-24.91</v>
      </c>
      <c r="I54">
        <v>1.522869</v>
      </c>
      <c r="J54">
        <v>3.533531</v>
      </c>
      <c r="K54">
        <v>-1.0900000000000001</v>
      </c>
    </row>
    <row r="55" spans="1:11" x14ac:dyDescent="0.3">
      <c r="A55">
        <v>57</v>
      </c>
      <c r="B55" t="s">
        <v>30</v>
      </c>
      <c r="C55">
        <v>58</v>
      </c>
      <c r="D55" t="s">
        <v>12</v>
      </c>
      <c r="E55" t="s">
        <v>11</v>
      </c>
      <c r="F55">
        <v>16</v>
      </c>
      <c r="G55">
        <v>14.01</v>
      </c>
      <c r="H55">
        <v>-24.93</v>
      </c>
      <c r="I55">
        <v>1.263924</v>
      </c>
      <c r="J55">
        <v>3.3520660000000002</v>
      </c>
      <c r="K55">
        <v>-0.17</v>
      </c>
    </row>
    <row r="56" spans="1:11" x14ac:dyDescent="0.3">
      <c r="A56">
        <v>14</v>
      </c>
      <c r="B56" t="s">
        <v>30</v>
      </c>
      <c r="C56">
        <v>58</v>
      </c>
      <c r="D56" t="s">
        <v>12</v>
      </c>
      <c r="E56" t="s">
        <v>11</v>
      </c>
      <c r="F56">
        <v>16</v>
      </c>
      <c r="G56">
        <v>14.15</v>
      </c>
      <c r="H56">
        <v>-24.95</v>
      </c>
      <c r="I56">
        <v>2.1804049999999999</v>
      </c>
      <c r="J56">
        <v>4.2226869999999996</v>
      </c>
      <c r="K56">
        <v>-0.27</v>
      </c>
    </row>
    <row r="57" spans="1:11" x14ac:dyDescent="0.3">
      <c r="A57">
        <v>80</v>
      </c>
      <c r="B57" t="s">
        <v>30</v>
      </c>
      <c r="C57">
        <v>58</v>
      </c>
      <c r="D57" t="s">
        <v>12</v>
      </c>
      <c r="E57" t="s">
        <v>11</v>
      </c>
      <c r="F57">
        <v>16</v>
      </c>
      <c r="G57">
        <v>14.31</v>
      </c>
      <c r="H57">
        <v>-24.95</v>
      </c>
      <c r="I57">
        <v>2.4879190000000002</v>
      </c>
      <c r="J57">
        <v>4.2898290000000001</v>
      </c>
      <c r="K57">
        <v>-0.75</v>
      </c>
    </row>
    <row r="58" spans="1:11" x14ac:dyDescent="0.3">
      <c r="A58">
        <v>94</v>
      </c>
      <c r="B58" t="s">
        <v>30</v>
      </c>
      <c r="C58">
        <v>58</v>
      </c>
      <c r="D58" t="s">
        <v>12</v>
      </c>
      <c r="E58" t="s">
        <v>11</v>
      </c>
      <c r="F58">
        <v>16</v>
      </c>
      <c r="G58">
        <v>13.92</v>
      </c>
      <c r="H58">
        <v>-24.95</v>
      </c>
      <c r="I58">
        <v>1.3443639999999999</v>
      </c>
      <c r="J58">
        <v>3.1243590000000001</v>
      </c>
      <c r="K58">
        <v>0.12</v>
      </c>
    </row>
    <row r="59" spans="1:11" x14ac:dyDescent="0.3">
      <c r="A59">
        <v>33</v>
      </c>
      <c r="B59" t="s">
        <v>30</v>
      </c>
      <c r="C59">
        <v>58</v>
      </c>
      <c r="D59" t="s">
        <v>12</v>
      </c>
      <c r="E59" t="s">
        <v>11</v>
      </c>
      <c r="F59">
        <v>16</v>
      </c>
      <c r="G59">
        <v>14.23</v>
      </c>
      <c r="H59">
        <v>-24.97</v>
      </c>
      <c r="I59">
        <v>-0.59386830000000002</v>
      </c>
      <c r="J59">
        <v>1.6248629999999999</v>
      </c>
      <c r="K59">
        <v>2.9</v>
      </c>
    </row>
    <row r="60" spans="1:11" x14ac:dyDescent="0.3">
      <c r="A60">
        <v>59</v>
      </c>
      <c r="B60" t="s">
        <v>30</v>
      </c>
      <c r="C60">
        <v>58</v>
      </c>
      <c r="D60" t="s">
        <v>12</v>
      </c>
      <c r="E60" t="s">
        <v>11</v>
      </c>
      <c r="F60">
        <v>16</v>
      </c>
      <c r="G60">
        <v>13.55</v>
      </c>
      <c r="H60">
        <v>-25.01</v>
      </c>
      <c r="I60">
        <v>1.4655419999999999</v>
      </c>
      <c r="J60">
        <v>3.7681879999999999</v>
      </c>
      <c r="K60">
        <v>1.22</v>
      </c>
    </row>
    <row r="61" spans="1:11" x14ac:dyDescent="0.3">
      <c r="A61">
        <v>89</v>
      </c>
      <c r="B61" t="s">
        <v>30</v>
      </c>
      <c r="C61">
        <v>58</v>
      </c>
      <c r="D61" t="s">
        <v>12</v>
      </c>
      <c r="E61" t="s">
        <v>11</v>
      </c>
      <c r="F61">
        <v>16</v>
      </c>
      <c r="G61">
        <v>14.15</v>
      </c>
      <c r="H61">
        <v>-25.02</v>
      </c>
      <c r="I61">
        <v>1.6338809999999999</v>
      </c>
      <c r="J61">
        <v>3.223595</v>
      </c>
      <c r="K61">
        <v>1.58</v>
      </c>
    </row>
    <row r="62" spans="1:11" x14ac:dyDescent="0.3">
      <c r="A62">
        <v>86</v>
      </c>
      <c r="B62" t="s">
        <v>30</v>
      </c>
      <c r="C62">
        <v>58</v>
      </c>
      <c r="D62" t="s">
        <v>12</v>
      </c>
      <c r="E62" t="s">
        <v>11</v>
      </c>
      <c r="F62">
        <v>16</v>
      </c>
      <c r="G62">
        <v>13.92</v>
      </c>
      <c r="H62">
        <v>-25.03</v>
      </c>
      <c r="I62">
        <v>2.165524</v>
      </c>
      <c r="J62">
        <v>3.866241</v>
      </c>
      <c r="K62">
        <v>-1.21</v>
      </c>
    </row>
    <row r="63" spans="1:11" x14ac:dyDescent="0.3">
      <c r="A63">
        <v>22</v>
      </c>
      <c r="B63" t="s">
        <v>30</v>
      </c>
      <c r="C63">
        <v>58</v>
      </c>
      <c r="D63" t="s">
        <v>12</v>
      </c>
      <c r="E63" t="s">
        <v>11</v>
      </c>
      <c r="F63">
        <v>16</v>
      </c>
      <c r="G63">
        <v>14.28</v>
      </c>
      <c r="H63">
        <v>-25.04</v>
      </c>
      <c r="I63">
        <v>1.405769</v>
      </c>
      <c r="J63">
        <v>3.6859929999999999</v>
      </c>
      <c r="K63">
        <v>-0.89</v>
      </c>
    </row>
    <row r="64" spans="1:11" x14ac:dyDescent="0.3">
      <c r="A64">
        <v>95</v>
      </c>
      <c r="B64" t="s">
        <v>30</v>
      </c>
      <c r="C64">
        <v>58</v>
      </c>
      <c r="D64" t="s">
        <v>12</v>
      </c>
      <c r="E64" t="s">
        <v>11</v>
      </c>
      <c r="F64">
        <v>16</v>
      </c>
      <c r="G64">
        <v>14.11</v>
      </c>
      <c r="H64">
        <v>-25.11</v>
      </c>
      <c r="I64">
        <v>1.8021240000000001</v>
      </c>
      <c r="J64">
        <v>3.6915819999999999</v>
      </c>
      <c r="K64">
        <v>0.3</v>
      </c>
    </row>
    <row r="65" spans="1:11" x14ac:dyDescent="0.3">
      <c r="A65">
        <v>111</v>
      </c>
      <c r="B65" t="s">
        <v>30</v>
      </c>
      <c r="C65">
        <v>58</v>
      </c>
      <c r="D65" t="s">
        <v>12</v>
      </c>
      <c r="E65" t="s">
        <v>11</v>
      </c>
      <c r="F65">
        <v>16</v>
      </c>
      <c r="G65">
        <v>14.47</v>
      </c>
      <c r="H65">
        <v>-25.11</v>
      </c>
      <c r="I65">
        <v>0.24357219999999999</v>
      </c>
      <c r="J65">
        <v>1.972092</v>
      </c>
      <c r="K65">
        <v>3.14</v>
      </c>
    </row>
    <row r="66" spans="1:11" x14ac:dyDescent="0.3">
      <c r="A66">
        <v>12</v>
      </c>
      <c r="B66" t="s">
        <v>30</v>
      </c>
      <c r="C66">
        <v>58</v>
      </c>
      <c r="D66" t="s">
        <v>12</v>
      </c>
      <c r="E66" t="s">
        <v>11</v>
      </c>
      <c r="F66">
        <v>16</v>
      </c>
      <c r="G66">
        <v>14.46</v>
      </c>
      <c r="H66">
        <v>-25.12</v>
      </c>
      <c r="I66">
        <v>1.2992250000000001</v>
      </c>
      <c r="J66">
        <v>3.1705549999999998</v>
      </c>
      <c r="K66">
        <v>-0.09</v>
      </c>
    </row>
    <row r="67" spans="1:11" x14ac:dyDescent="0.3">
      <c r="A67">
        <v>42</v>
      </c>
      <c r="B67" t="s">
        <v>30</v>
      </c>
      <c r="C67">
        <v>58</v>
      </c>
      <c r="D67" t="s">
        <v>12</v>
      </c>
      <c r="E67" t="s">
        <v>11</v>
      </c>
      <c r="F67">
        <v>16</v>
      </c>
      <c r="G67">
        <v>14.04</v>
      </c>
      <c r="H67">
        <v>-25.12</v>
      </c>
      <c r="I67">
        <v>1.2938689999999999</v>
      </c>
      <c r="J67">
        <v>3.1327780000000001</v>
      </c>
      <c r="K67">
        <v>1.98</v>
      </c>
    </row>
    <row r="68" spans="1:11" x14ac:dyDescent="0.3">
      <c r="A68">
        <v>102</v>
      </c>
      <c r="B68" t="s">
        <v>30</v>
      </c>
      <c r="C68">
        <v>58</v>
      </c>
      <c r="D68" t="s">
        <v>12</v>
      </c>
      <c r="E68" t="s">
        <v>11</v>
      </c>
      <c r="F68">
        <v>16</v>
      </c>
      <c r="G68">
        <v>14.25</v>
      </c>
      <c r="H68">
        <v>-25.12</v>
      </c>
      <c r="I68">
        <v>-0.51397320000000002</v>
      </c>
      <c r="J68">
        <v>1.3592299999999999</v>
      </c>
      <c r="K68">
        <v>0.71</v>
      </c>
    </row>
    <row r="69" spans="1:11" x14ac:dyDescent="0.3">
      <c r="A69">
        <v>13</v>
      </c>
      <c r="B69" t="s">
        <v>30</v>
      </c>
      <c r="C69">
        <v>58</v>
      </c>
      <c r="D69" t="s">
        <v>12</v>
      </c>
      <c r="E69" t="s">
        <v>11</v>
      </c>
      <c r="F69">
        <v>16</v>
      </c>
      <c r="G69">
        <v>14.46</v>
      </c>
      <c r="H69">
        <v>-25.13</v>
      </c>
      <c r="I69">
        <v>9.6015929999999999E-2</v>
      </c>
      <c r="J69">
        <v>2.0139960000000001</v>
      </c>
      <c r="K69">
        <v>-0.13</v>
      </c>
    </row>
    <row r="70" spans="1:11" x14ac:dyDescent="0.3">
      <c r="A70">
        <v>21</v>
      </c>
      <c r="B70" t="s">
        <v>30</v>
      </c>
      <c r="C70">
        <v>58</v>
      </c>
      <c r="D70" t="s">
        <v>12</v>
      </c>
      <c r="E70" t="s">
        <v>11</v>
      </c>
      <c r="F70">
        <v>16</v>
      </c>
      <c r="G70">
        <v>14.63</v>
      </c>
      <c r="H70">
        <v>-25.14</v>
      </c>
      <c r="I70">
        <v>1.440456</v>
      </c>
      <c r="J70">
        <v>3.3945310000000002</v>
      </c>
      <c r="K70">
        <v>0.7</v>
      </c>
    </row>
    <row r="71" spans="1:11" x14ac:dyDescent="0.3">
      <c r="A71">
        <v>23</v>
      </c>
      <c r="B71" t="s">
        <v>30</v>
      </c>
      <c r="C71">
        <v>58</v>
      </c>
      <c r="D71" t="s">
        <v>12</v>
      </c>
      <c r="E71" t="s">
        <v>11</v>
      </c>
      <c r="F71">
        <v>16</v>
      </c>
      <c r="G71">
        <v>14.41</v>
      </c>
      <c r="H71">
        <v>-25.21</v>
      </c>
      <c r="I71">
        <v>0.67757800000000001</v>
      </c>
      <c r="J71">
        <v>2.6176300000000001</v>
      </c>
      <c r="K71">
        <v>0.21</v>
      </c>
    </row>
    <row r="72" spans="1:11" x14ac:dyDescent="0.3">
      <c r="A72">
        <v>115</v>
      </c>
      <c r="B72" t="s">
        <v>30</v>
      </c>
      <c r="C72">
        <v>58</v>
      </c>
      <c r="D72" t="s">
        <v>12</v>
      </c>
      <c r="E72" t="s">
        <v>11</v>
      </c>
      <c r="F72">
        <v>16</v>
      </c>
      <c r="G72">
        <v>14.43</v>
      </c>
      <c r="H72">
        <v>-25.21</v>
      </c>
      <c r="I72">
        <v>1.6238170000000001</v>
      </c>
      <c r="J72">
        <v>3.7824170000000001</v>
      </c>
      <c r="K72">
        <v>2.95</v>
      </c>
    </row>
    <row r="73" spans="1:11" x14ac:dyDescent="0.3">
      <c r="A73">
        <v>96</v>
      </c>
      <c r="B73" t="s">
        <v>30</v>
      </c>
      <c r="C73">
        <v>58</v>
      </c>
      <c r="D73" t="s">
        <v>12</v>
      </c>
      <c r="E73" t="s">
        <v>11</v>
      </c>
      <c r="F73">
        <v>16</v>
      </c>
      <c r="G73">
        <v>14.28</v>
      </c>
      <c r="H73">
        <v>-25.23</v>
      </c>
      <c r="I73">
        <v>0.74865720000000002</v>
      </c>
      <c r="J73">
        <v>2.723808</v>
      </c>
      <c r="K73">
        <v>0.68</v>
      </c>
    </row>
    <row r="74" spans="1:11" x14ac:dyDescent="0.3">
      <c r="A74">
        <v>117</v>
      </c>
      <c r="B74" t="s">
        <v>30</v>
      </c>
      <c r="C74">
        <v>58</v>
      </c>
      <c r="D74" t="s">
        <v>12</v>
      </c>
      <c r="E74" t="s">
        <v>11</v>
      </c>
      <c r="F74">
        <v>16</v>
      </c>
      <c r="G74">
        <v>14.04</v>
      </c>
      <c r="H74">
        <v>-25.23</v>
      </c>
      <c r="I74">
        <v>2.8269839999999999</v>
      </c>
      <c r="J74">
        <v>4.9005850000000004</v>
      </c>
      <c r="K74">
        <v>2.93</v>
      </c>
    </row>
    <row r="75" spans="1:11" x14ac:dyDescent="0.3">
      <c r="A75">
        <v>93</v>
      </c>
      <c r="B75" t="s">
        <v>30</v>
      </c>
      <c r="C75">
        <v>58</v>
      </c>
      <c r="D75" t="s">
        <v>12</v>
      </c>
      <c r="E75" t="s">
        <v>11</v>
      </c>
      <c r="F75">
        <v>16</v>
      </c>
      <c r="G75">
        <v>13.91</v>
      </c>
      <c r="H75">
        <v>-25.25</v>
      </c>
      <c r="I75">
        <v>0.77036289999999996</v>
      </c>
      <c r="J75">
        <v>3.0730400000000002</v>
      </c>
      <c r="K75">
        <v>-0.94</v>
      </c>
    </row>
    <row r="76" spans="1:11" x14ac:dyDescent="0.3">
      <c r="A76">
        <v>60</v>
      </c>
      <c r="B76" t="s">
        <v>30</v>
      </c>
      <c r="C76">
        <v>58</v>
      </c>
      <c r="D76" t="s">
        <v>12</v>
      </c>
      <c r="E76" t="s">
        <v>11</v>
      </c>
      <c r="F76">
        <v>16</v>
      </c>
      <c r="G76">
        <v>13.78</v>
      </c>
      <c r="H76">
        <v>-25.28</v>
      </c>
      <c r="I76">
        <v>0.81012729999999999</v>
      </c>
      <c r="J76">
        <v>2.50407</v>
      </c>
      <c r="K76">
        <v>2.15</v>
      </c>
    </row>
    <row r="77" spans="1:11" x14ac:dyDescent="0.3">
      <c r="A77">
        <v>6</v>
      </c>
      <c r="B77" t="s">
        <v>30</v>
      </c>
      <c r="C77">
        <v>58</v>
      </c>
      <c r="D77" t="s">
        <v>12</v>
      </c>
      <c r="E77" t="s">
        <v>11</v>
      </c>
      <c r="F77">
        <v>16</v>
      </c>
      <c r="G77">
        <v>14.5</v>
      </c>
      <c r="H77">
        <v>-25.29</v>
      </c>
      <c r="I77">
        <v>1.03986</v>
      </c>
      <c r="J77">
        <v>3.1045379999999998</v>
      </c>
      <c r="K77">
        <v>-1.61</v>
      </c>
    </row>
    <row r="78" spans="1:11" x14ac:dyDescent="0.3">
      <c r="A78">
        <v>64</v>
      </c>
      <c r="B78" t="s">
        <v>30</v>
      </c>
      <c r="C78">
        <v>58</v>
      </c>
      <c r="D78" t="s">
        <v>12</v>
      </c>
      <c r="E78" t="s">
        <v>11</v>
      </c>
      <c r="F78">
        <v>16</v>
      </c>
      <c r="G78">
        <v>14.04</v>
      </c>
      <c r="H78">
        <v>-25.3</v>
      </c>
      <c r="I78">
        <v>0.33142850000000001</v>
      </c>
      <c r="J78">
        <v>2.2070919999999998</v>
      </c>
      <c r="K78">
        <v>0.23</v>
      </c>
    </row>
    <row r="79" spans="1:11" x14ac:dyDescent="0.3">
      <c r="A79">
        <v>71</v>
      </c>
      <c r="B79" t="s">
        <v>30</v>
      </c>
      <c r="C79">
        <v>58</v>
      </c>
      <c r="D79" t="s">
        <v>12</v>
      </c>
      <c r="E79" t="s">
        <v>11</v>
      </c>
      <c r="F79">
        <v>16</v>
      </c>
      <c r="G79">
        <v>13.93</v>
      </c>
      <c r="H79">
        <v>-25.31</v>
      </c>
      <c r="I79">
        <v>2.0589870000000001</v>
      </c>
      <c r="J79">
        <v>4.0441739999999999</v>
      </c>
      <c r="K79">
        <v>-1.62</v>
      </c>
    </row>
    <row r="80" spans="1:11" x14ac:dyDescent="0.3">
      <c r="A80">
        <v>38</v>
      </c>
      <c r="B80" t="s">
        <v>30</v>
      </c>
      <c r="C80">
        <v>58</v>
      </c>
      <c r="D80" t="s">
        <v>12</v>
      </c>
      <c r="E80" t="s">
        <v>11</v>
      </c>
      <c r="F80">
        <v>16</v>
      </c>
      <c r="G80">
        <v>14.35</v>
      </c>
      <c r="H80">
        <v>-25.33</v>
      </c>
      <c r="I80">
        <v>0.81821060000000001</v>
      </c>
      <c r="J80">
        <v>2.6730770000000001</v>
      </c>
      <c r="K80">
        <v>0.81</v>
      </c>
    </row>
    <row r="81" spans="1:11" x14ac:dyDescent="0.3">
      <c r="A81">
        <v>90</v>
      </c>
      <c r="B81" t="s">
        <v>30</v>
      </c>
      <c r="C81">
        <v>58</v>
      </c>
      <c r="D81" t="s">
        <v>12</v>
      </c>
      <c r="E81" t="s">
        <v>11</v>
      </c>
      <c r="F81">
        <v>16</v>
      </c>
      <c r="G81">
        <v>14.24</v>
      </c>
      <c r="H81">
        <v>-25.34</v>
      </c>
      <c r="I81">
        <v>0.5907173</v>
      </c>
      <c r="J81">
        <v>2.3007089999999999</v>
      </c>
      <c r="K81">
        <v>0.36</v>
      </c>
    </row>
    <row r="82" spans="1:11" x14ac:dyDescent="0.3">
      <c r="A82">
        <v>20</v>
      </c>
      <c r="B82" t="s">
        <v>30</v>
      </c>
      <c r="C82">
        <v>58</v>
      </c>
      <c r="D82" t="s">
        <v>12</v>
      </c>
      <c r="E82" t="s">
        <v>11</v>
      </c>
      <c r="F82">
        <v>16</v>
      </c>
      <c r="G82">
        <v>14.54</v>
      </c>
      <c r="H82">
        <v>-25.37</v>
      </c>
      <c r="I82">
        <v>2.4022869999999998</v>
      </c>
      <c r="J82">
        <v>3.9843099999999998</v>
      </c>
      <c r="K82">
        <v>-0.89</v>
      </c>
    </row>
    <row r="83" spans="1:11" x14ac:dyDescent="0.3">
      <c r="A83">
        <v>54</v>
      </c>
      <c r="B83" t="s">
        <v>30</v>
      </c>
      <c r="C83">
        <v>58</v>
      </c>
      <c r="D83" t="s">
        <v>12</v>
      </c>
      <c r="E83" t="s">
        <v>11</v>
      </c>
      <c r="F83">
        <v>16</v>
      </c>
      <c r="G83">
        <v>14.1</v>
      </c>
      <c r="H83">
        <v>-25.37</v>
      </c>
      <c r="I83">
        <v>-3.638077E-2</v>
      </c>
      <c r="J83">
        <v>2.0955889999999999</v>
      </c>
      <c r="K83">
        <v>-1.86</v>
      </c>
    </row>
    <row r="84" spans="1:11" x14ac:dyDescent="0.3">
      <c r="A84">
        <v>48</v>
      </c>
      <c r="B84" t="s">
        <v>30</v>
      </c>
      <c r="C84">
        <v>58</v>
      </c>
      <c r="D84" t="s">
        <v>12</v>
      </c>
      <c r="E84" t="s">
        <v>11</v>
      </c>
      <c r="F84">
        <v>16</v>
      </c>
      <c r="G84">
        <v>14.37</v>
      </c>
      <c r="H84">
        <v>-25.38</v>
      </c>
      <c r="I84">
        <v>1.108196</v>
      </c>
      <c r="J84">
        <v>3.492588</v>
      </c>
      <c r="K84">
        <v>9.48</v>
      </c>
    </row>
    <row r="85" spans="1:11" x14ac:dyDescent="0.3">
      <c r="A85">
        <v>81</v>
      </c>
      <c r="B85" t="s">
        <v>30</v>
      </c>
      <c r="C85">
        <v>58</v>
      </c>
      <c r="D85" t="s">
        <v>12</v>
      </c>
      <c r="E85" t="s">
        <v>11</v>
      </c>
      <c r="F85">
        <v>16</v>
      </c>
      <c r="G85">
        <v>14.26</v>
      </c>
      <c r="H85">
        <v>-25.39</v>
      </c>
      <c r="I85">
        <v>0.77818299999999996</v>
      </c>
      <c r="J85">
        <v>2.631821</v>
      </c>
      <c r="K85">
        <v>0.52</v>
      </c>
    </row>
    <row r="86" spans="1:11" x14ac:dyDescent="0.3">
      <c r="A86">
        <v>101</v>
      </c>
      <c r="B86" t="s">
        <v>30</v>
      </c>
      <c r="C86">
        <v>58</v>
      </c>
      <c r="D86" t="s">
        <v>12</v>
      </c>
      <c r="E86" t="s">
        <v>11</v>
      </c>
      <c r="F86">
        <v>16</v>
      </c>
      <c r="G86">
        <v>14.32</v>
      </c>
      <c r="H86">
        <v>-25.4</v>
      </c>
      <c r="I86">
        <v>0.21768570000000001</v>
      </c>
      <c r="J86">
        <v>2.0095519999999998</v>
      </c>
      <c r="K86">
        <v>-0.56999999999999995</v>
      </c>
    </row>
    <row r="87" spans="1:11" x14ac:dyDescent="0.3">
      <c r="A87">
        <v>104</v>
      </c>
      <c r="B87" t="s">
        <v>30</v>
      </c>
      <c r="C87">
        <v>58</v>
      </c>
      <c r="D87" t="s">
        <v>12</v>
      </c>
      <c r="E87" t="s">
        <v>11</v>
      </c>
      <c r="F87">
        <v>16</v>
      </c>
      <c r="G87">
        <v>14.6</v>
      </c>
      <c r="H87">
        <v>-25.42</v>
      </c>
      <c r="I87">
        <v>1.0219119999999999</v>
      </c>
      <c r="J87">
        <v>2.978672</v>
      </c>
      <c r="K87">
        <v>33.299999999999997</v>
      </c>
    </row>
    <row r="88" spans="1:11" x14ac:dyDescent="0.3">
      <c r="A88">
        <v>66</v>
      </c>
      <c r="B88" t="s">
        <v>30</v>
      </c>
      <c r="C88">
        <v>58</v>
      </c>
      <c r="D88" t="s">
        <v>12</v>
      </c>
      <c r="E88" t="s">
        <v>11</v>
      </c>
      <c r="F88">
        <v>16</v>
      </c>
      <c r="G88">
        <v>13.83</v>
      </c>
      <c r="H88">
        <v>-25.45</v>
      </c>
      <c r="I88">
        <v>0.14344789999999999</v>
      </c>
      <c r="J88">
        <v>2.0681799999999999</v>
      </c>
      <c r="K88">
        <v>4.16</v>
      </c>
    </row>
    <row r="89" spans="1:11" x14ac:dyDescent="0.3">
      <c r="A89">
        <v>15</v>
      </c>
      <c r="B89" t="s">
        <v>30</v>
      </c>
      <c r="C89">
        <v>58</v>
      </c>
      <c r="D89" t="s">
        <v>12</v>
      </c>
      <c r="E89" t="s">
        <v>11</v>
      </c>
      <c r="F89">
        <v>16</v>
      </c>
      <c r="G89">
        <v>14.05</v>
      </c>
      <c r="H89">
        <v>-25.46</v>
      </c>
      <c r="I89">
        <v>1.289547</v>
      </c>
      <c r="J89">
        <v>3.1458279999999998</v>
      </c>
      <c r="K89">
        <v>0.57999999999999996</v>
      </c>
    </row>
    <row r="90" spans="1:11" x14ac:dyDescent="0.3">
      <c r="A90">
        <v>46</v>
      </c>
      <c r="B90" t="s">
        <v>30</v>
      </c>
      <c r="C90">
        <v>58</v>
      </c>
      <c r="D90" t="s">
        <v>12</v>
      </c>
      <c r="E90" t="s">
        <v>11</v>
      </c>
      <c r="F90">
        <v>16</v>
      </c>
      <c r="G90">
        <v>14.12</v>
      </c>
      <c r="H90">
        <v>-25.46</v>
      </c>
      <c r="I90">
        <v>1.7893939999999999</v>
      </c>
      <c r="J90">
        <v>3.7243119999999998</v>
      </c>
      <c r="K90">
        <v>-0.2</v>
      </c>
    </row>
    <row r="91" spans="1:11" x14ac:dyDescent="0.3">
      <c r="A91">
        <v>27</v>
      </c>
      <c r="B91" t="s">
        <v>30</v>
      </c>
      <c r="C91">
        <v>58</v>
      </c>
      <c r="D91" t="s">
        <v>12</v>
      </c>
      <c r="E91" t="s">
        <v>11</v>
      </c>
      <c r="F91">
        <v>16</v>
      </c>
      <c r="G91">
        <v>14.29</v>
      </c>
      <c r="H91">
        <v>-25.51</v>
      </c>
      <c r="I91">
        <v>0.32178119999999999</v>
      </c>
      <c r="J91">
        <v>2.1987990000000002</v>
      </c>
      <c r="K91">
        <v>3.22</v>
      </c>
    </row>
    <row r="92" spans="1:11" x14ac:dyDescent="0.3">
      <c r="A92">
        <v>65</v>
      </c>
      <c r="B92" t="s">
        <v>30</v>
      </c>
      <c r="C92">
        <v>58</v>
      </c>
      <c r="D92" t="s">
        <v>12</v>
      </c>
      <c r="E92" t="s">
        <v>11</v>
      </c>
      <c r="F92">
        <v>16</v>
      </c>
      <c r="G92">
        <v>14.05</v>
      </c>
      <c r="H92">
        <v>-25.51</v>
      </c>
      <c r="I92">
        <v>1.335426</v>
      </c>
      <c r="J92">
        <v>3.1862720000000002</v>
      </c>
      <c r="K92">
        <v>-0.72</v>
      </c>
    </row>
    <row r="93" spans="1:11" x14ac:dyDescent="0.3">
      <c r="A93">
        <v>19</v>
      </c>
      <c r="B93" t="s">
        <v>30</v>
      </c>
      <c r="C93">
        <v>58</v>
      </c>
      <c r="D93" t="s">
        <v>12</v>
      </c>
      <c r="E93" t="s">
        <v>11</v>
      </c>
      <c r="F93">
        <v>16</v>
      </c>
      <c r="G93">
        <v>14.7</v>
      </c>
      <c r="H93">
        <v>-25.56</v>
      </c>
      <c r="I93">
        <v>0.4603043</v>
      </c>
      <c r="J93">
        <v>2.5282520000000002</v>
      </c>
      <c r="K93">
        <v>0.74</v>
      </c>
    </row>
    <row r="94" spans="1:11" x14ac:dyDescent="0.3">
      <c r="A94">
        <v>53</v>
      </c>
      <c r="B94" t="s">
        <v>30</v>
      </c>
      <c r="C94">
        <v>58</v>
      </c>
      <c r="D94" t="s">
        <v>12</v>
      </c>
      <c r="E94" t="s">
        <v>11</v>
      </c>
      <c r="F94">
        <v>16</v>
      </c>
      <c r="G94">
        <v>13.9</v>
      </c>
      <c r="H94">
        <v>-25.57</v>
      </c>
      <c r="I94">
        <v>0.44972990000000002</v>
      </c>
      <c r="J94">
        <v>2.7049750000000001</v>
      </c>
      <c r="K94">
        <v>6.6</v>
      </c>
    </row>
    <row r="95" spans="1:11" x14ac:dyDescent="0.3">
      <c r="A95">
        <v>47</v>
      </c>
      <c r="B95" t="s">
        <v>30</v>
      </c>
      <c r="C95">
        <v>58</v>
      </c>
      <c r="D95" t="s">
        <v>12</v>
      </c>
      <c r="E95" t="s">
        <v>11</v>
      </c>
      <c r="F95">
        <v>16</v>
      </c>
      <c r="G95">
        <v>14.11</v>
      </c>
      <c r="H95">
        <v>-25.62</v>
      </c>
      <c r="I95">
        <v>0.84881589999999996</v>
      </c>
      <c r="J95">
        <v>0.84881589999999996</v>
      </c>
      <c r="K95">
        <v>0.75</v>
      </c>
    </row>
    <row r="96" spans="1:11" x14ac:dyDescent="0.3">
      <c r="A96">
        <v>37</v>
      </c>
      <c r="B96" t="s">
        <v>30</v>
      </c>
      <c r="C96">
        <v>58</v>
      </c>
      <c r="D96" t="s">
        <v>12</v>
      </c>
      <c r="E96" t="s">
        <v>11</v>
      </c>
      <c r="F96">
        <v>16</v>
      </c>
      <c r="G96">
        <v>14.31</v>
      </c>
      <c r="H96">
        <v>-25.63</v>
      </c>
      <c r="I96">
        <v>0.37522509999999998</v>
      </c>
      <c r="J96">
        <v>2.74884</v>
      </c>
      <c r="K96">
        <v>-1.01</v>
      </c>
    </row>
    <row r="97" spans="1:20" x14ac:dyDescent="0.3">
      <c r="A97">
        <v>98</v>
      </c>
      <c r="B97" t="s">
        <v>30</v>
      </c>
      <c r="C97">
        <v>58</v>
      </c>
      <c r="D97" t="s">
        <v>12</v>
      </c>
      <c r="E97" t="s">
        <v>11</v>
      </c>
      <c r="F97">
        <v>16</v>
      </c>
      <c r="G97">
        <v>14.12</v>
      </c>
      <c r="H97">
        <v>-25.65</v>
      </c>
      <c r="I97">
        <v>0.53399280000000005</v>
      </c>
      <c r="J97">
        <v>2.6569060000000002</v>
      </c>
      <c r="K97">
        <v>1.05</v>
      </c>
    </row>
    <row r="98" spans="1:20" x14ac:dyDescent="0.3">
      <c r="A98">
        <v>68</v>
      </c>
      <c r="B98" t="s">
        <v>30</v>
      </c>
      <c r="C98">
        <v>58</v>
      </c>
      <c r="D98" t="s">
        <v>12</v>
      </c>
      <c r="E98" t="s">
        <v>11</v>
      </c>
      <c r="F98">
        <v>16</v>
      </c>
      <c r="G98">
        <v>13.76</v>
      </c>
      <c r="H98">
        <v>-25.7</v>
      </c>
      <c r="I98">
        <v>-2.085876E-2</v>
      </c>
      <c r="J98">
        <v>1.644806</v>
      </c>
      <c r="K98">
        <v>1.6</v>
      </c>
    </row>
    <row r="99" spans="1:20" x14ac:dyDescent="0.3">
      <c r="A99">
        <v>45</v>
      </c>
      <c r="B99" t="s">
        <v>30</v>
      </c>
      <c r="C99">
        <v>58</v>
      </c>
      <c r="D99" t="s">
        <v>12</v>
      </c>
      <c r="E99" t="s">
        <v>11</v>
      </c>
      <c r="F99">
        <v>16</v>
      </c>
      <c r="G99">
        <v>14.16</v>
      </c>
      <c r="H99">
        <v>-25.75</v>
      </c>
      <c r="I99">
        <v>0.27434540000000002</v>
      </c>
      <c r="J99">
        <v>2.121902</v>
      </c>
      <c r="K99">
        <v>2.36</v>
      </c>
    </row>
    <row r="100" spans="1:20" x14ac:dyDescent="0.3">
      <c r="A100">
        <v>1</v>
      </c>
      <c r="B100" t="s">
        <v>30</v>
      </c>
      <c r="C100">
        <v>58</v>
      </c>
      <c r="D100" t="s">
        <v>12</v>
      </c>
      <c r="E100" t="s">
        <v>11</v>
      </c>
      <c r="F100">
        <v>16</v>
      </c>
      <c r="G100">
        <v>14.81</v>
      </c>
      <c r="H100">
        <v>-25.78</v>
      </c>
      <c r="I100">
        <v>1.116913</v>
      </c>
      <c r="J100">
        <v>2.2932619999999999</v>
      </c>
      <c r="K100">
        <v>-1.47</v>
      </c>
      <c r="N100">
        <f>AVERAGE(G100:G611)</f>
        <v>14.223750000000003</v>
      </c>
      <c r="O100">
        <f>STDEV(G100:G611)</f>
        <v>0.30585322566906831</v>
      </c>
      <c r="P100">
        <f>ROUND(N100 + 2, 1)</f>
        <v>16.2</v>
      </c>
      <c r="Q100">
        <f>ROUND(N100 -2, 1)</f>
        <v>12.2</v>
      </c>
      <c r="R100">
        <f>(P100-N100)/(3*O100)</f>
        <v>2.153810863230075</v>
      </c>
      <c r="S100">
        <f>(N100-Q100)/(3*O100)</f>
        <v>2.2055786132634423</v>
      </c>
      <c r="T100">
        <f>MIN(R100,S100)</f>
        <v>2.153810863230075</v>
      </c>
    </row>
    <row r="101" spans="1:20" x14ac:dyDescent="0.3">
      <c r="A101">
        <v>35</v>
      </c>
      <c r="B101" t="s">
        <v>30</v>
      </c>
      <c r="C101">
        <v>58</v>
      </c>
      <c r="D101" t="s">
        <v>12</v>
      </c>
      <c r="E101" t="s">
        <v>11</v>
      </c>
      <c r="F101">
        <v>16</v>
      </c>
      <c r="G101">
        <v>14.3</v>
      </c>
      <c r="H101">
        <v>-25.78</v>
      </c>
      <c r="I101">
        <v>0.2189217</v>
      </c>
      <c r="J101">
        <v>2.2407339999999998</v>
      </c>
      <c r="K101">
        <v>0.37</v>
      </c>
    </row>
    <row r="102" spans="1:20" x14ac:dyDescent="0.3">
      <c r="A102">
        <v>32</v>
      </c>
      <c r="B102" t="s">
        <v>30</v>
      </c>
      <c r="C102">
        <v>58</v>
      </c>
      <c r="D102" t="s">
        <v>12</v>
      </c>
      <c r="E102" t="s">
        <v>11</v>
      </c>
      <c r="F102">
        <v>16</v>
      </c>
      <c r="G102">
        <v>14.43</v>
      </c>
      <c r="H102">
        <v>-25.8</v>
      </c>
      <c r="I102">
        <v>0.81676859999999996</v>
      </c>
      <c r="J102">
        <v>2.697327</v>
      </c>
      <c r="K102">
        <v>0.12</v>
      </c>
    </row>
    <row r="103" spans="1:20" x14ac:dyDescent="0.3">
      <c r="A103">
        <v>25</v>
      </c>
      <c r="B103" t="s">
        <v>30</v>
      </c>
      <c r="C103">
        <v>58</v>
      </c>
      <c r="D103" t="s">
        <v>12</v>
      </c>
      <c r="E103" t="s">
        <v>11</v>
      </c>
      <c r="F103">
        <v>16</v>
      </c>
      <c r="G103">
        <v>14.02</v>
      </c>
      <c r="H103">
        <v>-25.81</v>
      </c>
      <c r="I103">
        <v>-1.1087419999999999</v>
      </c>
      <c r="J103">
        <v>1.0256000000000001</v>
      </c>
      <c r="K103">
        <v>-0.22</v>
      </c>
    </row>
    <row r="104" spans="1:20" x14ac:dyDescent="0.3">
      <c r="A104">
        <v>30</v>
      </c>
      <c r="B104" t="s">
        <v>30</v>
      </c>
      <c r="C104">
        <v>58</v>
      </c>
      <c r="D104" t="s">
        <v>12</v>
      </c>
      <c r="E104" t="s">
        <v>11</v>
      </c>
      <c r="F104">
        <v>16</v>
      </c>
      <c r="G104">
        <v>14.29</v>
      </c>
      <c r="H104">
        <v>-25.85</v>
      </c>
      <c r="I104">
        <v>-3.1409069999999999</v>
      </c>
      <c r="J104">
        <v>-1.2216260000000001</v>
      </c>
      <c r="K104">
        <v>-0.06</v>
      </c>
    </row>
    <row r="105" spans="1:20" x14ac:dyDescent="0.3">
      <c r="A105">
        <v>28</v>
      </c>
      <c r="B105" t="s">
        <v>30</v>
      </c>
      <c r="C105">
        <v>58</v>
      </c>
      <c r="D105" t="s">
        <v>12</v>
      </c>
      <c r="E105" t="s">
        <v>11</v>
      </c>
      <c r="F105">
        <v>16</v>
      </c>
      <c r="G105">
        <v>14.21</v>
      </c>
      <c r="H105">
        <v>-25.88</v>
      </c>
      <c r="I105">
        <v>0.24414060000000001</v>
      </c>
      <c r="J105">
        <v>2.066589</v>
      </c>
      <c r="K105">
        <v>-0.33</v>
      </c>
    </row>
    <row r="106" spans="1:20" x14ac:dyDescent="0.3">
      <c r="A106">
        <v>56</v>
      </c>
      <c r="B106" t="s">
        <v>30</v>
      </c>
      <c r="C106">
        <v>58</v>
      </c>
      <c r="D106" t="s">
        <v>12</v>
      </c>
      <c r="E106" t="s">
        <v>11</v>
      </c>
      <c r="F106">
        <v>16</v>
      </c>
      <c r="G106">
        <v>13.76</v>
      </c>
      <c r="H106">
        <v>-25.89</v>
      </c>
      <c r="I106">
        <v>-0.37871169999999998</v>
      </c>
      <c r="J106">
        <v>1.4147639999999999</v>
      </c>
      <c r="K106">
        <v>-2.46</v>
      </c>
    </row>
    <row r="107" spans="1:20" x14ac:dyDescent="0.3">
      <c r="A107">
        <v>97</v>
      </c>
      <c r="B107" t="s">
        <v>30</v>
      </c>
      <c r="C107">
        <v>58</v>
      </c>
      <c r="D107" t="s">
        <v>12</v>
      </c>
      <c r="E107" t="s">
        <v>11</v>
      </c>
      <c r="F107">
        <v>16</v>
      </c>
      <c r="G107">
        <v>13.71</v>
      </c>
      <c r="H107">
        <v>-25.89</v>
      </c>
      <c r="I107">
        <v>0.52577969999999996</v>
      </c>
      <c r="J107">
        <v>2.1456029999999999</v>
      </c>
      <c r="K107">
        <v>0.62</v>
      </c>
    </row>
    <row r="108" spans="1:20" x14ac:dyDescent="0.3">
      <c r="A108">
        <v>69</v>
      </c>
      <c r="B108" t="s">
        <v>30</v>
      </c>
      <c r="C108">
        <v>58</v>
      </c>
      <c r="D108" t="s">
        <v>12</v>
      </c>
      <c r="E108" t="s">
        <v>11</v>
      </c>
      <c r="F108">
        <v>16</v>
      </c>
      <c r="G108">
        <v>13.98</v>
      </c>
      <c r="H108">
        <v>-25.9</v>
      </c>
      <c r="I108">
        <v>-0.64976120000000004</v>
      </c>
      <c r="J108">
        <v>1.4087750000000001</v>
      </c>
      <c r="K108">
        <v>-0.06</v>
      </c>
    </row>
    <row r="109" spans="1:20" x14ac:dyDescent="0.3">
      <c r="A109">
        <v>11</v>
      </c>
      <c r="B109" t="s">
        <v>30</v>
      </c>
      <c r="C109">
        <v>58</v>
      </c>
      <c r="D109" t="s">
        <v>12</v>
      </c>
      <c r="E109" t="s">
        <v>11</v>
      </c>
      <c r="F109">
        <v>16</v>
      </c>
      <c r="G109">
        <v>14.71</v>
      </c>
      <c r="H109">
        <v>-25.91</v>
      </c>
      <c r="I109">
        <v>0.86957169999999995</v>
      </c>
      <c r="J109">
        <v>2.5051540000000001</v>
      </c>
      <c r="K109">
        <v>1.24</v>
      </c>
    </row>
    <row r="110" spans="1:20" x14ac:dyDescent="0.3">
      <c r="A110">
        <v>4</v>
      </c>
      <c r="B110" t="s">
        <v>30</v>
      </c>
      <c r="C110">
        <v>58</v>
      </c>
      <c r="D110" t="s">
        <v>12</v>
      </c>
      <c r="E110" t="s">
        <v>11</v>
      </c>
      <c r="F110">
        <v>16</v>
      </c>
      <c r="G110">
        <v>14.48</v>
      </c>
      <c r="H110">
        <v>-25.95</v>
      </c>
      <c r="I110">
        <v>-1.6117099999999999E-2</v>
      </c>
      <c r="J110">
        <v>2.228424</v>
      </c>
      <c r="K110">
        <v>-0.31</v>
      </c>
      <c r="M110" s="4"/>
    </row>
    <row r="111" spans="1:20" x14ac:dyDescent="0.3">
      <c r="A111">
        <v>36</v>
      </c>
      <c r="B111" t="s">
        <v>30</v>
      </c>
      <c r="C111">
        <v>58</v>
      </c>
      <c r="D111" t="s">
        <v>12</v>
      </c>
      <c r="E111" t="s">
        <v>11</v>
      </c>
      <c r="F111">
        <v>16</v>
      </c>
      <c r="G111">
        <v>14.31</v>
      </c>
      <c r="H111">
        <v>-25.98</v>
      </c>
      <c r="I111">
        <v>-0.2306213</v>
      </c>
      <c r="J111">
        <v>1.6685939999999999</v>
      </c>
      <c r="K111">
        <v>-0.21</v>
      </c>
    </row>
    <row r="112" spans="1:20" x14ac:dyDescent="0.3">
      <c r="A112">
        <v>63</v>
      </c>
      <c r="B112" t="s">
        <v>30</v>
      </c>
      <c r="C112">
        <v>58</v>
      </c>
      <c r="D112" t="s">
        <v>12</v>
      </c>
      <c r="E112" t="s">
        <v>11</v>
      </c>
      <c r="F112">
        <v>16</v>
      </c>
      <c r="G112">
        <v>14.16</v>
      </c>
      <c r="H112">
        <v>-26.02</v>
      </c>
      <c r="I112">
        <v>-2.6340479999999999E-2</v>
      </c>
      <c r="J112">
        <v>1.9629589999999999</v>
      </c>
      <c r="K112">
        <v>-0.46</v>
      </c>
    </row>
    <row r="113" spans="1:11" x14ac:dyDescent="0.3">
      <c r="A113">
        <v>44</v>
      </c>
      <c r="B113" t="s">
        <v>30</v>
      </c>
      <c r="C113">
        <v>58</v>
      </c>
      <c r="D113" t="s">
        <v>12</v>
      </c>
      <c r="E113" t="s">
        <v>11</v>
      </c>
      <c r="F113">
        <v>16</v>
      </c>
      <c r="G113">
        <v>13.99</v>
      </c>
      <c r="H113">
        <v>-26.08</v>
      </c>
      <c r="I113">
        <v>6.811905E-2</v>
      </c>
      <c r="J113">
        <v>1.673359</v>
      </c>
      <c r="K113">
        <v>0.25</v>
      </c>
    </row>
    <row r="114" spans="1:11" x14ac:dyDescent="0.3">
      <c r="A114">
        <v>55</v>
      </c>
      <c r="B114" t="s">
        <v>30</v>
      </c>
      <c r="C114">
        <v>58</v>
      </c>
      <c r="D114" t="s">
        <v>12</v>
      </c>
      <c r="E114" t="s">
        <v>11</v>
      </c>
      <c r="F114">
        <v>16</v>
      </c>
      <c r="G114">
        <v>14.09</v>
      </c>
      <c r="H114">
        <v>-26.17</v>
      </c>
      <c r="I114">
        <v>0.16522220000000001</v>
      </c>
      <c r="J114">
        <v>2.129616</v>
      </c>
      <c r="K114">
        <v>-1.84</v>
      </c>
    </row>
    <row r="115" spans="1:11" x14ac:dyDescent="0.3">
      <c r="A115">
        <v>50</v>
      </c>
      <c r="B115" t="s">
        <v>30</v>
      </c>
      <c r="C115">
        <v>58</v>
      </c>
      <c r="D115" t="s">
        <v>12</v>
      </c>
      <c r="E115" t="s">
        <v>11</v>
      </c>
      <c r="F115">
        <v>16</v>
      </c>
      <c r="G115">
        <v>14.06</v>
      </c>
      <c r="H115">
        <v>-26.19</v>
      </c>
      <c r="I115">
        <v>-0.55384060000000002</v>
      </c>
      <c r="J115">
        <v>1.085861</v>
      </c>
      <c r="K115">
        <v>0.01</v>
      </c>
    </row>
    <row r="116" spans="1:11" x14ac:dyDescent="0.3">
      <c r="A116">
        <v>34</v>
      </c>
      <c r="B116" t="s">
        <v>30</v>
      </c>
      <c r="C116">
        <v>58</v>
      </c>
      <c r="D116" t="s">
        <v>12</v>
      </c>
      <c r="E116" t="s">
        <v>11</v>
      </c>
      <c r="F116">
        <v>16</v>
      </c>
      <c r="G116">
        <v>14.63</v>
      </c>
      <c r="H116">
        <v>-26.23</v>
      </c>
      <c r="I116">
        <v>-1.7719269999999999E-2</v>
      </c>
      <c r="J116">
        <v>2.3543970000000001</v>
      </c>
      <c r="K116">
        <v>0.79</v>
      </c>
    </row>
    <row r="117" spans="1:11" x14ac:dyDescent="0.3">
      <c r="A117">
        <v>62</v>
      </c>
      <c r="B117" t="s">
        <v>30</v>
      </c>
      <c r="C117">
        <v>58</v>
      </c>
      <c r="D117" t="s">
        <v>12</v>
      </c>
      <c r="E117" t="s">
        <v>11</v>
      </c>
      <c r="F117">
        <v>16</v>
      </c>
      <c r="G117">
        <v>13.53</v>
      </c>
      <c r="H117">
        <v>-26.26</v>
      </c>
      <c r="I117">
        <v>0.26222230000000002</v>
      </c>
      <c r="J117">
        <v>2.3441999999999998</v>
      </c>
      <c r="K117">
        <v>-2.12</v>
      </c>
    </row>
    <row r="118" spans="1:11" x14ac:dyDescent="0.3">
      <c r="A118">
        <v>52</v>
      </c>
      <c r="B118" t="s">
        <v>30</v>
      </c>
      <c r="C118">
        <v>58</v>
      </c>
      <c r="D118" t="s">
        <v>12</v>
      </c>
      <c r="E118" t="s">
        <v>11</v>
      </c>
      <c r="F118">
        <v>16</v>
      </c>
      <c r="G118">
        <v>14.41</v>
      </c>
      <c r="H118">
        <v>-26.35</v>
      </c>
      <c r="I118">
        <v>4.8343659999999997E-2</v>
      </c>
      <c r="J118">
        <v>2.150169</v>
      </c>
      <c r="K118">
        <v>-1.63</v>
      </c>
    </row>
    <row r="119" spans="1:11" x14ac:dyDescent="0.3">
      <c r="A119">
        <v>40</v>
      </c>
      <c r="B119" t="s">
        <v>30</v>
      </c>
      <c r="C119">
        <v>58</v>
      </c>
      <c r="D119" t="s">
        <v>12</v>
      </c>
      <c r="E119" t="s">
        <v>11</v>
      </c>
      <c r="F119">
        <v>16</v>
      </c>
      <c r="G119">
        <v>14.2</v>
      </c>
      <c r="H119">
        <v>-26.36</v>
      </c>
      <c r="I119">
        <v>-0.1530685</v>
      </c>
      <c r="J119">
        <v>2.0076139999999998</v>
      </c>
      <c r="K119">
        <v>-1.47</v>
      </c>
    </row>
    <row r="120" spans="1:11" x14ac:dyDescent="0.3">
      <c r="A120">
        <v>31</v>
      </c>
      <c r="B120" t="s">
        <v>30</v>
      </c>
      <c r="C120">
        <v>58</v>
      </c>
      <c r="D120" t="s">
        <v>12</v>
      </c>
      <c r="E120" t="s">
        <v>11</v>
      </c>
      <c r="F120">
        <v>16</v>
      </c>
      <c r="G120">
        <v>14.29</v>
      </c>
      <c r="H120">
        <v>-26.46</v>
      </c>
      <c r="I120">
        <v>-0.5208969</v>
      </c>
      <c r="J120">
        <v>1.3997759999999999</v>
      </c>
      <c r="K120">
        <v>-0.92</v>
      </c>
    </row>
    <row r="121" spans="1:11" x14ac:dyDescent="0.3">
      <c r="A121">
        <v>43</v>
      </c>
      <c r="B121" t="s">
        <v>30</v>
      </c>
      <c r="C121">
        <v>58</v>
      </c>
      <c r="D121" t="s">
        <v>12</v>
      </c>
      <c r="E121" t="s">
        <v>11</v>
      </c>
      <c r="F121">
        <v>16</v>
      </c>
      <c r="G121">
        <v>14.41</v>
      </c>
      <c r="H121">
        <v>-26.46</v>
      </c>
      <c r="I121">
        <v>-0.92812349999999999</v>
      </c>
      <c r="J121">
        <v>1.0674969999999999</v>
      </c>
      <c r="K121">
        <v>0.74</v>
      </c>
    </row>
    <row r="122" spans="1:11" x14ac:dyDescent="0.3">
      <c r="A122">
        <v>3</v>
      </c>
      <c r="B122" t="s">
        <v>30</v>
      </c>
      <c r="C122">
        <v>58</v>
      </c>
      <c r="D122" t="s">
        <v>12</v>
      </c>
      <c r="E122" t="s">
        <v>11</v>
      </c>
      <c r="F122">
        <v>16</v>
      </c>
      <c r="G122">
        <v>14.42</v>
      </c>
      <c r="H122">
        <v>-26.49</v>
      </c>
      <c r="I122">
        <v>-3.0402369999999999</v>
      </c>
      <c r="J122">
        <v>-1.1996150000000001</v>
      </c>
      <c r="K122">
        <v>-0.66</v>
      </c>
    </row>
    <row r="123" spans="1:11" x14ac:dyDescent="0.3">
      <c r="A123">
        <v>51</v>
      </c>
      <c r="B123" t="s">
        <v>30</v>
      </c>
      <c r="C123">
        <v>58</v>
      </c>
      <c r="D123" t="s">
        <v>12</v>
      </c>
      <c r="E123" t="s">
        <v>11</v>
      </c>
      <c r="F123">
        <v>16</v>
      </c>
      <c r="G123">
        <v>14.17</v>
      </c>
      <c r="H123">
        <v>-26.72</v>
      </c>
      <c r="I123">
        <v>-1.5144770000000001</v>
      </c>
      <c r="J123">
        <v>0.58300779999999996</v>
      </c>
      <c r="K123">
        <v>-1.28</v>
      </c>
    </row>
    <row r="187" spans="1:1" x14ac:dyDescent="0.3">
      <c r="A187" s="5"/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5A0B-B63F-4CC7-B2D9-7A74C1B54733}">
  <dimension ref="A1:V123"/>
  <sheetViews>
    <sheetView zoomScaleNormal="100" workbookViewId="0">
      <selection activeCell="E8" sqref="E8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 s="10">
        <v>84</v>
      </c>
      <c r="B2" t="s">
        <v>30</v>
      </c>
      <c r="C2">
        <v>106</v>
      </c>
      <c r="D2" t="s">
        <v>12</v>
      </c>
      <c r="E2" t="s">
        <v>11</v>
      </c>
      <c r="F2">
        <v>16</v>
      </c>
      <c r="G2">
        <v>14</v>
      </c>
      <c r="H2">
        <v>-22.32</v>
      </c>
      <c r="I2">
        <v>0.72096629999999995</v>
      </c>
      <c r="J2">
        <v>2.8554309999999998</v>
      </c>
      <c r="K2">
        <v>2.97</v>
      </c>
    </row>
    <row r="3" spans="1:22" x14ac:dyDescent="0.3">
      <c r="A3" s="10">
        <v>83</v>
      </c>
      <c r="B3" t="s">
        <v>30</v>
      </c>
      <c r="C3">
        <v>106</v>
      </c>
      <c r="D3" t="s">
        <v>12</v>
      </c>
      <c r="E3" t="s">
        <v>11</v>
      </c>
      <c r="F3">
        <v>16</v>
      </c>
      <c r="G3">
        <v>13.59</v>
      </c>
      <c r="H3">
        <v>-22.61</v>
      </c>
      <c r="I3">
        <v>3.110725</v>
      </c>
      <c r="J3">
        <v>5.5094180000000001</v>
      </c>
      <c r="K3">
        <v>1.46</v>
      </c>
    </row>
    <row r="4" spans="1:22" x14ac:dyDescent="0.3">
      <c r="A4" s="10">
        <v>70</v>
      </c>
      <c r="B4" t="s">
        <v>30</v>
      </c>
      <c r="C4">
        <v>106</v>
      </c>
      <c r="D4" t="s">
        <v>12</v>
      </c>
      <c r="E4" t="s">
        <v>11</v>
      </c>
      <c r="F4">
        <v>16</v>
      </c>
      <c r="G4">
        <v>14.23</v>
      </c>
      <c r="H4">
        <v>-22.65</v>
      </c>
      <c r="I4">
        <v>0.388073</v>
      </c>
      <c r="J4">
        <v>2.4417339999999998</v>
      </c>
      <c r="K4">
        <v>7.44</v>
      </c>
    </row>
    <row r="5" spans="1:22" x14ac:dyDescent="0.3">
      <c r="A5">
        <v>67</v>
      </c>
      <c r="B5" t="s">
        <v>30</v>
      </c>
      <c r="C5">
        <v>106</v>
      </c>
      <c r="D5" t="s">
        <v>12</v>
      </c>
      <c r="E5" t="s">
        <v>11</v>
      </c>
      <c r="F5">
        <v>16</v>
      </c>
      <c r="G5">
        <v>13.98</v>
      </c>
      <c r="H5">
        <v>-22.99</v>
      </c>
      <c r="I5">
        <v>1.7010879999999999</v>
      </c>
      <c r="J5">
        <v>3.4617810000000002</v>
      </c>
      <c r="K5">
        <v>46.85</v>
      </c>
    </row>
    <row r="6" spans="1:22" x14ac:dyDescent="0.3">
      <c r="A6">
        <v>110</v>
      </c>
      <c r="B6" t="s">
        <v>30</v>
      </c>
      <c r="C6">
        <v>106</v>
      </c>
      <c r="D6" t="s">
        <v>12</v>
      </c>
      <c r="E6" t="s">
        <v>11</v>
      </c>
      <c r="F6">
        <v>16</v>
      </c>
      <c r="G6">
        <v>14.17</v>
      </c>
      <c r="H6">
        <v>-23.29</v>
      </c>
      <c r="I6">
        <v>2.9808309999999998</v>
      </c>
      <c r="J6">
        <v>3.8943289999999999</v>
      </c>
      <c r="K6">
        <v>4.34</v>
      </c>
    </row>
    <row r="7" spans="1:22" x14ac:dyDescent="0.3">
      <c r="A7">
        <v>119</v>
      </c>
      <c r="B7" t="s">
        <v>30</v>
      </c>
      <c r="C7">
        <v>106</v>
      </c>
      <c r="D7" t="s">
        <v>12</v>
      </c>
      <c r="E7" t="s">
        <v>11</v>
      </c>
      <c r="F7">
        <v>16</v>
      </c>
      <c r="G7">
        <v>14.12</v>
      </c>
      <c r="H7">
        <v>-23.29</v>
      </c>
      <c r="I7">
        <v>2.0404969999999998</v>
      </c>
      <c r="J7">
        <v>3.820805</v>
      </c>
      <c r="K7">
        <v>24.22</v>
      </c>
    </row>
    <row r="8" spans="1:22" x14ac:dyDescent="0.3">
      <c r="A8">
        <v>120</v>
      </c>
      <c r="B8" t="s">
        <v>30</v>
      </c>
      <c r="C8">
        <v>106</v>
      </c>
      <c r="D8" t="s">
        <v>12</v>
      </c>
      <c r="E8" t="s">
        <v>11</v>
      </c>
      <c r="F8">
        <v>16</v>
      </c>
      <c r="G8">
        <v>14.11</v>
      </c>
      <c r="H8">
        <v>-23.33</v>
      </c>
      <c r="I8">
        <v>0.70539859999999999</v>
      </c>
      <c r="J8">
        <v>2.7600020000000001</v>
      </c>
      <c r="K8">
        <v>-0.39</v>
      </c>
    </row>
    <row r="9" spans="1:22" x14ac:dyDescent="0.3">
      <c r="A9">
        <v>8</v>
      </c>
      <c r="B9" t="s">
        <v>30</v>
      </c>
      <c r="C9">
        <v>106</v>
      </c>
      <c r="D9" t="s">
        <v>12</v>
      </c>
      <c r="E9" t="s">
        <v>11</v>
      </c>
      <c r="F9">
        <v>16</v>
      </c>
      <c r="G9">
        <v>14.62</v>
      </c>
      <c r="H9">
        <v>-23.45</v>
      </c>
      <c r="I9">
        <v>0.59528349999999997</v>
      </c>
      <c r="J9">
        <v>2.380611</v>
      </c>
      <c r="K9">
        <v>3.97</v>
      </c>
    </row>
    <row r="10" spans="1:22" x14ac:dyDescent="0.3">
      <c r="A10">
        <v>108</v>
      </c>
      <c r="B10" t="s">
        <v>30</v>
      </c>
      <c r="C10">
        <v>106</v>
      </c>
      <c r="D10" t="s">
        <v>12</v>
      </c>
      <c r="E10" t="s">
        <v>11</v>
      </c>
      <c r="F10">
        <v>16</v>
      </c>
      <c r="G10">
        <v>14.33</v>
      </c>
      <c r="H10">
        <v>-23.45</v>
      </c>
      <c r="I10">
        <v>2.2783359999999999</v>
      </c>
      <c r="J10">
        <v>4.0661579999999997</v>
      </c>
      <c r="K10">
        <v>2.27</v>
      </c>
    </row>
    <row r="11" spans="1:22" x14ac:dyDescent="0.3">
      <c r="A11">
        <v>106</v>
      </c>
      <c r="B11" t="s">
        <v>30</v>
      </c>
      <c r="C11">
        <v>106</v>
      </c>
      <c r="D11" t="s">
        <v>12</v>
      </c>
      <c r="E11" t="s">
        <v>11</v>
      </c>
      <c r="F11">
        <v>16</v>
      </c>
      <c r="G11">
        <v>14.05</v>
      </c>
      <c r="H11">
        <v>-23.49</v>
      </c>
      <c r="I11">
        <v>1.6663209999999999</v>
      </c>
      <c r="J11">
        <v>3.563072</v>
      </c>
      <c r="K11">
        <v>7.18</v>
      </c>
    </row>
    <row r="12" spans="1:22" x14ac:dyDescent="0.3">
      <c r="A12">
        <v>121</v>
      </c>
      <c r="B12" t="s">
        <v>30</v>
      </c>
      <c r="C12">
        <v>106</v>
      </c>
      <c r="D12" t="s">
        <v>12</v>
      </c>
      <c r="E12" t="s">
        <v>11</v>
      </c>
      <c r="F12">
        <v>16</v>
      </c>
      <c r="G12">
        <v>14.09</v>
      </c>
      <c r="H12">
        <v>-23.6</v>
      </c>
      <c r="I12">
        <v>1.6402779999999999</v>
      </c>
      <c r="J12">
        <v>3.6845509999999999</v>
      </c>
      <c r="K12">
        <v>4.45</v>
      </c>
    </row>
    <row r="13" spans="1:22" x14ac:dyDescent="0.3">
      <c r="A13">
        <v>26</v>
      </c>
      <c r="B13" t="s">
        <v>30</v>
      </c>
      <c r="C13">
        <v>106</v>
      </c>
      <c r="D13" t="s">
        <v>12</v>
      </c>
      <c r="E13" t="s">
        <v>11</v>
      </c>
      <c r="F13">
        <v>16</v>
      </c>
      <c r="G13">
        <v>14.16</v>
      </c>
      <c r="H13">
        <v>-23.62</v>
      </c>
      <c r="I13">
        <v>0.53849789999999997</v>
      </c>
      <c r="J13">
        <v>2.4337040000000001</v>
      </c>
      <c r="K13">
        <v>3.78</v>
      </c>
    </row>
    <row r="14" spans="1:22" x14ac:dyDescent="0.3">
      <c r="A14">
        <v>78</v>
      </c>
      <c r="B14" t="s">
        <v>30</v>
      </c>
      <c r="C14">
        <v>106</v>
      </c>
      <c r="D14" t="s">
        <v>12</v>
      </c>
      <c r="E14" t="s">
        <v>11</v>
      </c>
      <c r="F14">
        <v>16</v>
      </c>
      <c r="G14">
        <v>14.02</v>
      </c>
      <c r="H14">
        <v>-23.62</v>
      </c>
      <c r="I14">
        <v>2.7759510000000001</v>
      </c>
      <c r="J14">
        <v>4.5306550000000003</v>
      </c>
      <c r="K14">
        <v>0.87</v>
      </c>
    </row>
    <row r="15" spans="1:22" x14ac:dyDescent="0.3">
      <c r="A15">
        <v>24</v>
      </c>
      <c r="B15" t="s">
        <v>30</v>
      </c>
      <c r="C15">
        <v>106</v>
      </c>
      <c r="D15" t="s">
        <v>12</v>
      </c>
      <c r="E15" t="s">
        <v>11</v>
      </c>
      <c r="F15">
        <v>16</v>
      </c>
      <c r="G15">
        <v>14.29</v>
      </c>
      <c r="H15">
        <v>-23.63</v>
      </c>
      <c r="I15">
        <v>0.17696000000000001</v>
      </c>
      <c r="J15">
        <v>1.9759979999999999</v>
      </c>
      <c r="K15">
        <v>3.74</v>
      </c>
    </row>
    <row r="16" spans="1:22" x14ac:dyDescent="0.3">
      <c r="A16">
        <v>100</v>
      </c>
      <c r="B16" t="s">
        <v>30</v>
      </c>
      <c r="C16">
        <v>106</v>
      </c>
      <c r="D16" t="s">
        <v>12</v>
      </c>
      <c r="E16" t="s">
        <v>11</v>
      </c>
      <c r="F16">
        <v>16</v>
      </c>
      <c r="G16">
        <v>14.21</v>
      </c>
      <c r="H16">
        <v>-23.66</v>
      </c>
      <c r="I16">
        <v>1.462685</v>
      </c>
      <c r="J16">
        <v>3.3317909999999999</v>
      </c>
      <c r="K16">
        <v>2.95</v>
      </c>
    </row>
    <row r="17" spans="1:11" x14ac:dyDescent="0.3">
      <c r="A17">
        <v>72</v>
      </c>
      <c r="B17" t="s">
        <v>30</v>
      </c>
      <c r="C17">
        <v>106</v>
      </c>
      <c r="D17" t="s">
        <v>12</v>
      </c>
      <c r="E17" t="s">
        <v>11</v>
      </c>
      <c r="F17">
        <v>16</v>
      </c>
      <c r="G17">
        <v>13.66</v>
      </c>
      <c r="H17">
        <v>-23.77</v>
      </c>
      <c r="I17">
        <v>1.643753</v>
      </c>
      <c r="J17">
        <v>3.7459220000000002</v>
      </c>
      <c r="K17">
        <v>16.55</v>
      </c>
    </row>
    <row r="18" spans="1:11" x14ac:dyDescent="0.3">
      <c r="A18">
        <v>116</v>
      </c>
      <c r="B18" t="s">
        <v>30</v>
      </c>
      <c r="C18">
        <v>106</v>
      </c>
      <c r="D18" t="s">
        <v>12</v>
      </c>
      <c r="E18" t="s">
        <v>11</v>
      </c>
      <c r="F18">
        <v>16</v>
      </c>
      <c r="G18">
        <v>14.12</v>
      </c>
      <c r="H18">
        <v>-23.79</v>
      </c>
      <c r="I18">
        <v>0.23472979999999999</v>
      </c>
      <c r="J18">
        <v>2.088829</v>
      </c>
      <c r="K18">
        <v>7.65</v>
      </c>
    </row>
    <row r="19" spans="1:11" x14ac:dyDescent="0.3">
      <c r="A19">
        <v>7</v>
      </c>
      <c r="B19" t="s">
        <v>30</v>
      </c>
      <c r="C19">
        <v>106</v>
      </c>
      <c r="D19" t="s">
        <v>12</v>
      </c>
      <c r="E19" t="s">
        <v>11</v>
      </c>
      <c r="F19">
        <v>16</v>
      </c>
      <c r="G19">
        <v>14.52</v>
      </c>
      <c r="H19">
        <v>-23.82</v>
      </c>
      <c r="I19">
        <v>1.0884780000000001</v>
      </c>
      <c r="J19">
        <v>3.0335350000000001</v>
      </c>
      <c r="K19">
        <v>-1.91</v>
      </c>
    </row>
    <row r="20" spans="1:11" x14ac:dyDescent="0.3">
      <c r="A20">
        <v>10</v>
      </c>
      <c r="B20" t="s">
        <v>30</v>
      </c>
      <c r="C20">
        <v>106</v>
      </c>
      <c r="D20" t="s">
        <v>12</v>
      </c>
      <c r="E20" t="s">
        <v>11</v>
      </c>
      <c r="F20">
        <v>16</v>
      </c>
      <c r="G20">
        <v>14.73</v>
      </c>
      <c r="H20">
        <v>-23.86</v>
      </c>
      <c r="I20">
        <v>0.58090969999999997</v>
      </c>
      <c r="J20">
        <v>2.5415000000000001</v>
      </c>
      <c r="K20">
        <v>2.75</v>
      </c>
    </row>
    <row r="21" spans="1:11" x14ac:dyDescent="0.3">
      <c r="A21">
        <v>112</v>
      </c>
      <c r="B21" t="s">
        <v>30</v>
      </c>
      <c r="C21">
        <v>106</v>
      </c>
      <c r="D21" t="s">
        <v>12</v>
      </c>
      <c r="E21" t="s">
        <v>11</v>
      </c>
      <c r="F21">
        <v>16</v>
      </c>
      <c r="G21">
        <v>14.21</v>
      </c>
      <c r="H21">
        <v>-23.86</v>
      </c>
      <c r="I21">
        <v>0.4979095</v>
      </c>
      <c r="J21">
        <v>2.329224</v>
      </c>
      <c r="K21">
        <v>6.86</v>
      </c>
    </row>
    <row r="22" spans="1:11" x14ac:dyDescent="0.3">
      <c r="A22">
        <v>91</v>
      </c>
      <c r="B22" t="s">
        <v>30</v>
      </c>
      <c r="C22">
        <v>106</v>
      </c>
      <c r="D22" t="s">
        <v>12</v>
      </c>
      <c r="E22" t="s">
        <v>11</v>
      </c>
      <c r="F22">
        <v>16</v>
      </c>
      <c r="G22">
        <v>13.89</v>
      </c>
      <c r="H22">
        <v>-23.87</v>
      </c>
      <c r="I22">
        <v>1.8516239999999999</v>
      </c>
      <c r="J22">
        <v>4.06562</v>
      </c>
      <c r="K22">
        <v>4.0599999999999996</v>
      </c>
    </row>
    <row r="23" spans="1:11" x14ac:dyDescent="0.3">
      <c r="A23">
        <v>82</v>
      </c>
      <c r="B23" t="s">
        <v>30</v>
      </c>
      <c r="C23">
        <v>106</v>
      </c>
      <c r="D23" t="s">
        <v>12</v>
      </c>
      <c r="E23" t="s">
        <v>11</v>
      </c>
      <c r="F23">
        <v>16</v>
      </c>
      <c r="G23">
        <v>14.31</v>
      </c>
      <c r="H23">
        <v>-23.89</v>
      </c>
      <c r="I23">
        <v>2.1205980000000002</v>
      </c>
      <c r="J23">
        <v>4.3942569999999996</v>
      </c>
      <c r="K23">
        <v>-0.02</v>
      </c>
    </row>
    <row r="24" spans="1:11" x14ac:dyDescent="0.3">
      <c r="A24">
        <v>9</v>
      </c>
      <c r="B24" t="s">
        <v>30</v>
      </c>
      <c r="C24">
        <v>106</v>
      </c>
      <c r="D24" t="s">
        <v>12</v>
      </c>
      <c r="E24" t="s">
        <v>11</v>
      </c>
      <c r="F24">
        <v>16</v>
      </c>
      <c r="G24">
        <v>14.58</v>
      </c>
      <c r="H24">
        <v>-23.97</v>
      </c>
      <c r="I24">
        <v>1.384026</v>
      </c>
      <c r="J24">
        <v>3.370708</v>
      </c>
      <c r="K24">
        <v>0.82</v>
      </c>
    </row>
    <row r="25" spans="1:11" x14ac:dyDescent="0.3">
      <c r="A25">
        <v>18</v>
      </c>
      <c r="B25" t="s">
        <v>30</v>
      </c>
      <c r="C25">
        <v>106</v>
      </c>
      <c r="D25" t="s">
        <v>12</v>
      </c>
      <c r="E25" t="s">
        <v>11</v>
      </c>
      <c r="F25">
        <v>16</v>
      </c>
      <c r="G25">
        <v>14.44</v>
      </c>
      <c r="H25">
        <v>-23.97</v>
      </c>
      <c r="I25">
        <v>0.62907029999999997</v>
      </c>
      <c r="J25">
        <v>2.250286</v>
      </c>
      <c r="K25">
        <v>1.36</v>
      </c>
    </row>
    <row r="26" spans="1:11" x14ac:dyDescent="0.3">
      <c r="A26">
        <v>5</v>
      </c>
      <c r="B26" t="s">
        <v>30</v>
      </c>
      <c r="C26">
        <v>106</v>
      </c>
      <c r="D26" t="s">
        <v>12</v>
      </c>
      <c r="E26" t="s">
        <v>11</v>
      </c>
      <c r="F26">
        <v>16</v>
      </c>
      <c r="G26">
        <v>14.78</v>
      </c>
      <c r="H26">
        <v>-24.04</v>
      </c>
      <c r="I26">
        <v>1.9355960000000001</v>
      </c>
      <c r="J26">
        <v>4.3511009999999999</v>
      </c>
      <c r="K26">
        <v>0.1</v>
      </c>
    </row>
    <row r="27" spans="1:11" x14ac:dyDescent="0.3">
      <c r="A27">
        <v>49</v>
      </c>
      <c r="B27" t="s">
        <v>30</v>
      </c>
      <c r="C27">
        <v>106</v>
      </c>
      <c r="D27" t="s">
        <v>12</v>
      </c>
      <c r="E27" t="s">
        <v>11</v>
      </c>
      <c r="F27">
        <v>16</v>
      </c>
      <c r="G27">
        <v>14.04</v>
      </c>
      <c r="H27">
        <v>-24.05</v>
      </c>
      <c r="I27">
        <v>0.37618639999999998</v>
      </c>
      <c r="J27">
        <v>2.4314770000000001</v>
      </c>
      <c r="K27">
        <v>3.9</v>
      </c>
    </row>
    <row r="28" spans="1:11" x14ac:dyDescent="0.3">
      <c r="A28">
        <v>77</v>
      </c>
      <c r="B28" t="s">
        <v>30</v>
      </c>
      <c r="C28">
        <v>106</v>
      </c>
      <c r="D28" t="s">
        <v>12</v>
      </c>
      <c r="E28" t="s">
        <v>11</v>
      </c>
      <c r="F28">
        <v>16</v>
      </c>
      <c r="G28">
        <v>14.36</v>
      </c>
      <c r="H28">
        <v>-24.07</v>
      </c>
      <c r="I28">
        <v>2.6746639999999999</v>
      </c>
      <c r="J28">
        <v>4.586754</v>
      </c>
      <c r="K28">
        <v>1.03</v>
      </c>
    </row>
    <row r="29" spans="1:11" x14ac:dyDescent="0.3">
      <c r="A29">
        <v>61</v>
      </c>
      <c r="B29" t="s">
        <v>30</v>
      </c>
      <c r="C29">
        <v>106</v>
      </c>
      <c r="D29" t="s">
        <v>12</v>
      </c>
      <c r="E29" t="s">
        <v>11</v>
      </c>
      <c r="F29">
        <v>16</v>
      </c>
      <c r="G29">
        <v>13.81</v>
      </c>
      <c r="H29">
        <v>-24.09</v>
      </c>
      <c r="I29">
        <v>1.6871989999999999</v>
      </c>
      <c r="J29">
        <v>3.671783</v>
      </c>
      <c r="K29">
        <v>0.06</v>
      </c>
    </row>
    <row r="30" spans="1:11" x14ac:dyDescent="0.3">
      <c r="A30">
        <v>17</v>
      </c>
      <c r="B30" t="s">
        <v>30</v>
      </c>
      <c r="C30">
        <v>106</v>
      </c>
      <c r="D30" t="s">
        <v>12</v>
      </c>
      <c r="E30" t="s">
        <v>11</v>
      </c>
      <c r="F30">
        <v>16</v>
      </c>
      <c r="G30">
        <v>14.81</v>
      </c>
      <c r="H30">
        <v>-24.12</v>
      </c>
      <c r="I30">
        <v>0.79805760000000003</v>
      </c>
      <c r="J30">
        <v>2.883324</v>
      </c>
      <c r="K30">
        <v>2.4900000000000002</v>
      </c>
    </row>
    <row r="31" spans="1:11" x14ac:dyDescent="0.3">
      <c r="A31">
        <v>107</v>
      </c>
      <c r="B31" t="s">
        <v>30</v>
      </c>
      <c r="C31">
        <v>106</v>
      </c>
      <c r="D31" t="s">
        <v>12</v>
      </c>
      <c r="E31" t="s">
        <v>11</v>
      </c>
      <c r="F31">
        <v>16</v>
      </c>
      <c r="G31">
        <v>14.43</v>
      </c>
      <c r="H31">
        <v>-24.19</v>
      </c>
      <c r="I31">
        <v>-1.557922E-2</v>
      </c>
      <c r="J31">
        <v>2.1198079999999999</v>
      </c>
      <c r="K31">
        <v>0.56999999999999995</v>
      </c>
    </row>
    <row r="32" spans="1:11" x14ac:dyDescent="0.3">
      <c r="A32">
        <v>88</v>
      </c>
      <c r="B32" t="s">
        <v>30</v>
      </c>
      <c r="C32">
        <v>106</v>
      </c>
      <c r="D32" t="s">
        <v>12</v>
      </c>
      <c r="E32" t="s">
        <v>11</v>
      </c>
      <c r="F32">
        <v>16</v>
      </c>
      <c r="G32">
        <v>14.39</v>
      </c>
      <c r="H32">
        <v>-24.2</v>
      </c>
      <c r="I32">
        <v>1.302681</v>
      </c>
      <c r="J32">
        <v>3.0448189999999999</v>
      </c>
      <c r="K32">
        <v>1.2</v>
      </c>
    </row>
    <row r="33" spans="1:20" x14ac:dyDescent="0.3">
      <c r="A33">
        <v>76</v>
      </c>
      <c r="B33" t="s">
        <v>30</v>
      </c>
      <c r="C33">
        <v>106</v>
      </c>
      <c r="D33" t="s">
        <v>12</v>
      </c>
      <c r="E33" t="s">
        <v>11</v>
      </c>
      <c r="F33">
        <v>16</v>
      </c>
      <c r="G33">
        <v>14.18</v>
      </c>
      <c r="H33">
        <v>-24.21</v>
      </c>
      <c r="I33">
        <v>1.389267</v>
      </c>
      <c r="J33">
        <v>3.5056949999999998</v>
      </c>
      <c r="K33">
        <v>0.28999999999999998</v>
      </c>
    </row>
    <row r="34" spans="1:20" x14ac:dyDescent="0.3">
      <c r="A34">
        <v>85</v>
      </c>
      <c r="B34" t="s">
        <v>30</v>
      </c>
      <c r="C34">
        <v>106</v>
      </c>
      <c r="D34" t="s">
        <v>12</v>
      </c>
      <c r="E34" t="s">
        <v>11</v>
      </c>
      <c r="F34">
        <v>16</v>
      </c>
      <c r="G34">
        <v>14.29</v>
      </c>
      <c r="H34">
        <v>-24.25</v>
      </c>
      <c r="I34">
        <v>1.8829149999999999</v>
      </c>
      <c r="J34">
        <v>4.1500050000000002</v>
      </c>
      <c r="K34">
        <v>-0.41</v>
      </c>
    </row>
    <row r="35" spans="1:20" x14ac:dyDescent="0.3">
      <c r="A35">
        <v>29</v>
      </c>
      <c r="B35" t="s">
        <v>30</v>
      </c>
      <c r="C35">
        <v>106</v>
      </c>
      <c r="D35" t="s">
        <v>12</v>
      </c>
      <c r="E35" t="s">
        <v>11</v>
      </c>
      <c r="F35">
        <v>16</v>
      </c>
      <c r="G35">
        <v>14.54</v>
      </c>
      <c r="H35">
        <v>-24.28</v>
      </c>
      <c r="I35">
        <v>0.42930600000000002</v>
      </c>
      <c r="J35">
        <v>2.6320570000000001</v>
      </c>
      <c r="K35">
        <v>4.3099999999999996</v>
      </c>
    </row>
    <row r="36" spans="1:20" x14ac:dyDescent="0.3">
      <c r="A36">
        <v>86</v>
      </c>
      <c r="B36" t="s">
        <v>30</v>
      </c>
      <c r="C36">
        <v>106</v>
      </c>
      <c r="D36" t="s">
        <v>12</v>
      </c>
      <c r="E36" t="s">
        <v>11</v>
      </c>
      <c r="F36">
        <v>16</v>
      </c>
      <c r="G36">
        <v>13.87</v>
      </c>
      <c r="H36">
        <v>-24.3</v>
      </c>
      <c r="I36">
        <v>1.8313060000000001</v>
      </c>
      <c r="J36">
        <v>3.6116069999999998</v>
      </c>
      <c r="K36">
        <v>-1.26</v>
      </c>
    </row>
    <row r="37" spans="1:20" x14ac:dyDescent="0.3">
      <c r="A37">
        <v>14</v>
      </c>
      <c r="B37" t="s">
        <v>30</v>
      </c>
      <c r="C37">
        <v>106</v>
      </c>
      <c r="D37" t="s">
        <v>12</v>
      </c>
      <c r="E37" t="s">
        <v>11</v>
      </c>
      <c r="F37">
        <v>16</v>
      </c>
      <c r="G37">
        <v>14.19</v>
      </c>
      <c r="H37">
        <v>-24.33</v>
      </c>
      <c r="I37">
        <v>1.7161599999999999</v>
      </c>
      <c r="J37">
        <v>3.7149239999999999</v>
      </c>
      <c r="K37">
        <v>-0.13</v>
      </c>
    </row>
    <row r="38" spans="1:20" x14ac:dyDescent="0.3">
      <c r="A38">
        <v>94</v>
      </c>
      <c r="B38" t="s">
        <v>30</v>
      </c>
      <c r="C38">
        <v>106</v>
      </c>
      <c r="D38" t="s">
        <v>12</v>
      </c>
      <c r="E38" t="s">
        <v>11</v>
      </c>
      <c r="F38">
        <v>16</v>
      </c>
      <c r="G38">
        <v>13.99</v>
      </c>
      <c r="H38">
        <v>-24.35</v>
      </c>
      <c r="I38">
        <v>0.79248050000000003</v>
      </c>
      <c r="J38">
        <v>2.494202</v>
      </c>
      <c r="K38">
        <v>0.12</v>
      </c>
    </row>
    <row r="39" spans="1:20" x14ac:dyDescent="0.3">
      <c r="A39">
        <v>2</v>
      </c>
      <c r="B39" t="s">
        <v>30</v>
      </c>
      <c r="C39">
        <v>106</v>
      </c>
      <c r="D39" t="s">
        <v>12</v>
      </c>
      <c r="E39" t="s">
        <v>11</v>
      </c>
      <c r="F39">
        <v>16</v>
      </c>
      <c r="G39">
        <v>14.99</v>
      </c>
      <c r="H39">
        <v>-24.36</v>
      </c>
      <c r="I39">
        <v>0.1178741</v>
      </c>
      <c r="J39">
        <v>2.0172729999999999</v>
      </c>
      <c r="K39">
        <v>0.49</v>
      </c>
      <c r="N39">
        <f>AVERAGE(H38:H549)</f>
        <v>-25.04023255813954</v>
      </c>
      <c r="O39">
        <f>STDEV(H38:H549)</f>
        <v>0.48600163820635539</v>
      </c>
      <c r="P39">
        <f>ROUND(N39 + 2, 1)</f>
        <v>-23</v>
      </c>
      <c r="Q39">
        <f>ROUND(N39 -2, 1)</f>
        <v>-27</v>
      </c>
      <c r="R39">
        <f>(P39-N39)/(3*O39)</f>
        <v>1.399331742768914</v>
      </c>
      <c r="S39">
        <f>(N39-Q39)/(3*O39)</f>
        <v>1.344143234505139</v>
      </c>
      <c r="T39">
        <f>MIN(R39,S39)</f>
        <v>1.344143234505139</v>
      </c>
    </row>
    <row r="40" spans="1:20" x14ac:dyDescent="0.3">
      <c r="A40">
        <v>59</v>
      </c>
      <c r="B40" t="s">
        <v>30</v>
      </c>
      <c r="C40">
        <v>106</v>
      </c>
      <c r="D40" t="s">
        <v>12</v>
      </c>
      <c r="E40" t="s">
        <v>11</v>
      </c>
      <c r="F40">
        <v>16</v>
      </c>
      <c r="G40">
        <v>13.7</v>
      </c>
      <c r="H40">
        <v>-24.36</v>
      </c>
      <c r="I40">
        <v>1.1368830000000001</v>
      </c>
      <c r="J40">
        <v>3.1277620000000002</v>
      </c>
      <c r="K40">
        <v>1.25</v>
      </c>
    </row>
    <row r="41" spans="1:20" x14ac:dyDescent="0.3">
      <c r="A41">
        <v>80</v>
      </c>
      <c r="B41" t="s">
        <v>30</v>
      </c>
      <c r="C41">
        <v>106</v>
      </c>
      <c r="D41" t="s">
        <v>12</v>
      </c>
      <c r="E41" t="s">
        <v>11</v>
      </c>
      <c r="F41">
        <v>16</v>
      </c>
      <c r="G41">
        <v>14.36</v>
      </c>
      <c r="H41">
        <v>-24.36</v>
      </c>
      <c r="I41">
        <v>2.4308399999999999</v>
      </c>
      <c r="J41">
        <v>4.3392910000000002</v>
      </c>
      <c r="K41">
        <v>0.73</v>
      </c>
    </row>
    <row r="42" spans="1:20" x14ac:dyDescent="0.3">
      <c r="A42">
        <v>73</v>
      </c>
      <c r="B42" t="s">
        <v>30</v>
      </c>
      <c r="C42">
        <v>106</v>
      </c>
      <c r="D42" t="s">
        <v>12</v>
      </c>
      <c r="E42" t="s">
        <v>11</v>
      </c>
      <c r="F42">
        <v>16</v>
      </c>
      <c r="G42">
        <v>14.32</v>
      </c>
      <c r="H42">
        <v>-24.37</v>
      </c>
      <c r="I42">
        <v>0.62582780000000005</v>
      </c>
      <c r="J42">
        <v>2.4261089999999998</v>
      </c>
      <c r="K42">
        <v>0.59</v>
      </c>
    </row>
    <row r="43" spans="1:20" x14ac:dyDescent="0.3">
      <c r="A43">
        <v>75</v>
      </c>
      <c r="B43" t="s">
        <v>30</v>
      </c>
      <c r="C43">
        <v>106</v>
      </c>
      <c r="D43" t="s">
        <v>12</v>
      </c>
      <c r="E43" t="s">
        <v>11</v>
      </c>
      <c r="F43">
        <v>16</v>
      </c>
      <c r="G43">
        <v>14.22</v>
      </c>
      <c r="H43">
        <v>-24.42</v>
      </c>
      <c r="I43">
        <v>1.990818</v>
      </c>
      <c r="J43">
        <v>3.8555980000000001</v>
      </c>
      <c r="K43">
        <v>-0.77</v>
      </c>
    </row>
    <row r="44" spans="1:20" x14ac:dyDescent="0.3">
      <c r="A44">
        <v>16</v>
      </c>
      <c r="B44" t="s">
        <v>30</v>
      </c>
      <c r="C44">
        <v>106</v>
      </c>
      <c r="D44" t="s">
        <v>12</v>
      </c>
      <c r="E44" t="s">
        <v>11</v>
      </c>
      <c r="F44">
        <v>16</v>
      </c>
      <c r="G44">
        <v>14.27</v>
      </c>
      <c r="H44">
        <v>-24.43</v>
      </c>
      <c r="I44">
        <v>0.54461669999999995</v>
      </c>
      <c r="J44">
        <v>2.1678999999999999</v>
      </c>
      <c r="K44">
        <v>1.36</v>
      </c>
    </row>
    <row r="45" spans="1:20" x14ac:dyDescent="0.3">
      <c r="A45">
        <v>92</v>
      </c>
      <c r="B45" t="s">
        <v>30</v>
      </c>
      <c r="C45">
        <v>106</v>
      </c>
      <c r="D45" t="s">
        <v>12</v>
      </c>
      <c r="E45" t="s">
        <v>11</v>
      </c>
      <c r="F45">
        <v>16</v>
      </c>
      <c r="G45">
        <v>14.01</v>
      </c>
      <c r="H45">
        <v>-24.44</v>
      </c>
      <c r="I45">
        <v>0.62672039999999996</v>
      </c>
      <c r="J45">
        <v>2.5979999999999999</v>
      </c>
      <c r="K45">
        <v>5.4</v>
      </c>
    </row>
    <row r="46" spans="1:20" x14ac:dyDescent="0.3">
      <c r="A46">
        <v>7</v>
      </c>
      <c r="B46" t="s">
        <v>30</v>
      </c>
      <c r="C46">
        <v>106</v>
      </c>
      <c r="D46" t="s">
        <v>12</v>
      </c>
      <c r="E46" t="s">
        <v>11</v>
      </c>
      <c r="F46">
        <v>16</v>
      </c>
      <c r="G46">
        <v>14.75</v>
      </c>
      <c r="H46">
        <v>-24.45</v>
      </c>
      <c r="I46">
        <v>0.27509689999999998</v>
      </c>
      <c r="J46">
        <v>2.2284470000000001</v>
      </c>
      <c r="K46">
        <v>-0.37</v>
      </c>
    </row>
    <row r="47" spans="1:20" x14ac:dyDescent="0.3">
      <c r="A47">
        <v>113</v>
      </c>
      <c r="B47" t="s">
        <v>30</v>
      </c>
      <c r="C47">
        <v>106</v>
      </c>
      <c r="D47" t="s">
        <v>12</v>
      </c>
      <c r="E47" t="s">
        <v>11</v>
      </c>
      <c r="F47">
        <v>16</v>
      </c>
      <c r="G47">
        <v>14.26</v>
      </c>
      <c r="H47">
        <v>-24.51</v>
      </c>
      <c r="I47">
        <v>0.43338779999999999</v>
      </c>
      <c r="J47">
        <v>2.5587040000000001</v>
      </c>
      <c r="K47">
        <v>0.34</v>
      </c>
    </row>
    <row r="48" spans="1:20" x14ac:dyDescent="0.3">
      <c r="A48">
        <v>22</v>
      </c>
      <c r="B48" t="s">
        <v>30</v>
      </c>
      <c r="C48">
        <v>106</v>
      </c>
      <c r="D48" t="s">
        <v>12</v>
      </c>
      <c r="E48" t="s">
        <v>11</v>
      </c>
      <c r="F48">
        <v>16</v>
      </c>
      <c r="G48">
        <v>14.45</v>
      </c>
      <c r="H48">
        <v>-24.52</v>
      </c>
      <c r="I48">
        <v>0.93866729999999998</v>
      </c>
      <c r="J48">
        <v>3.053375</v>
      </c>
      <c r="K48">
        <v>-0.84</v>
      </c>
    </row>
    <row r="49" spans="1:11" x14ac:dyDescent="0.3">
      <c r="A49">
        <v>41</v>
      </c>
      <c r="B49" t="s">
        <v>30</v>
      </c>
      <c r="C49">
        <v>106</v>
      </c>
      <c r="D49" t="s">
        <v>12</v>
      </c>
      <c r="E49" t="s">
        <v>11</v>
      </c>
      <c r="F49">
        <v>16</v>
      </c>
      <c r="G49">
        <v>14.09</v>
      </c>
      <c r="H49">
        <v>-24.53</v>
      </c>
      <c r="I49">
        <v>-0.4258614</v>
      </c>
      <c r="J49">
        <v>1.770092</v>
      </c>
      <c r="K49">
        <v>-1.91</v>
      </c>
    </row>
    <row r="50" spans="1:11" x14ac:dyDescent="0.3">
      <c r="A50">
        <v>93</v>
      </c>
      <c r="B50" t="s">
        <v>30</v>
      </c>
      <c r="C50">
        <v>106</v>
      </c>
      <c r="D50" t="s">
        <v>12</v>
      </c>
      <c r="E50" t="s">
        <v>11</v>
      </c>
      <c r="F50">
        <v>16</v>
      </c>
      <c r="G50">
        <v>13.94</v>
      </c>
      <c r="H50">
        <v>-24.57</v>
      </c>
      <c r="I50">
        <v>0.31549450000000001</v>
      </c>
      <c r="J50">
        <v>2.1135860000000002</v>
      </c>
      <c r="K50">
        <v>-0.9</v>
      </c>
    </row>
    <row r="51" spans="1:11" x14ac:dyDescent="0.3">
      <c r="A51">
        <v>20</v>
      </c>
      <c r="B51" t="s">
        <v>30</v>
      </c>
      <c r="C51">
        <v>106</v>
      </c>
      <c r="D51" t="s">
        <v>12</v>
      </c>
      <c r="E51" t="s">
        <v>11</v>
      </c>
      <c r="F51">
        <v>16</v>
      </c>
      <c r="G51">
        <v>14.63</v>
      </c>
      <c r="H51">
        <v>-24.58</v>
      </c>
      <c r="I51">
        <v>1.836185</v>
      </c>
      <c r="J51">
        <v>3.681953</v>
      </c>
      <c r="K51">
        <v>0.28999999999999998</v>
      </c>
    </row>
    <row r="52" spans="1:11" x14ac:dyDescent="0.3">
      <c r="A52">
        <v>99</v>
      </c>
      <c r="B52" t="s">
        <v>30</v>
      </c>
      <c r="C52">
        <v>106</v>
      </c>
      <c r="D52" t="s">
        <v>12</v>
      </c>
      <c r="E52" t="s">
        <v>11</v>
      </c>
      <c r="F52">
        <v>16</v>
      </c>
      <c r="G52">
        <v>14.26</v>
      </c>
      <c r="H52">
        <v>-24.58</v>
      </c>
      <c r="I52">
        <v>1.0466839999999999</v>
      </c>
      <c r="J52">
        <v>3.1970710000000002</v>
      </c>
      <c r="K52">
        <v>0.25</v>
      </c>
    </row>
    <row r="53" spans="1:11" x14ac:dyDescent="0.3">
      <c r="A53">
        <v>105</v>
      </c>
      <c r="B53" t="s">
        <v>30</v>
      </c>
      <c r="C53">
        <v>106</v>
      </c>
      <c r="D53" t="s">
        <v>12</v>
      </c>
      <c r="E53" t="s">
        <v>11</v>
      </c>
      <c r="F53">
        <v>16</v>
      </c>
      <c r="G53">
        <v>14.31</v>
      </c>
      <c r="H53">
        <v>-24.59</v>
      </c>
      <c r="I53">
        <v>0.99384689999999998</v>
      </c>
      <c r="J53">
        <v>2.8649939999999998</v>
      </c>
      <c r="K53">
        <v>0.21</v>
      </c>
    </row>
    <row r="54" spans="1:11" x14ac:dyDescent="0.3">
      <c r="A54">
        <v>118</v>
      </c>
      <c r="B54" t="s">
        <v>30</v>
      </c>
      <c r="C54">
        <v>106</v>
      </c>
      <c r="D54" t="s">
        <v>12</v>
      </c>
      <c r="E54" t="s">
        <v>11</v>
      </c>
      <c r="F54">
        <v>16</v>
      </c>
      <c r="G54">
        <v>14.35</v>
      </c>
      <c r="H54">
        <v>-24.65</v>
      </c>
      <c r="I54">
        <v>0.31398009999999998</v>
      </c>
      <c r="J54">
        <v>2.4214440000000002</v>
      </c>
      <c r="K54">
        <v>1.19</v>
      </c>
    </row>
    <row r="55" spans="1:11" x14ac:dyDescent="0.3">
      <c r="A55">
        <v>57</v>
      </c>
      <c r="B55" t="s">
        <v>30</v>
      </c>
      <c r="C55">
        <v>106</v>
      </c>
      <c r="D55" t="s">
        <v>12</v>
      </c>
      <c r="E55" t="s">
        <v>11</v>
      </c>
      <c r="F55">
        <v>16</v>
      </c>
      <c r="G55">
        <v>14.03</v>
      </c>
      <c r="H55">
        <v>-24.66</v>
      </c>
      <c r="I55">
        <v>0.69598769999999999</v>
      </c>
      <c r="J55">
        <v>2.7217519999999999</v>
      </c>
      <c r="K55">
        <v>-0.27</v>
      </c>
    </row>
    <row r="56" spans="1:11" x14ac:dyDescent="0.3">
      <c r="A56">
        <v>89</v>
      </c>
      <c r="B56" t="s">
        <v>30</v>
      </c>
      <c r="C56">
        <v>106</v>
      </c>
      <c r="D56" t="s">
        <v>12</v>
      </c>
      <c r="E56" t="s">
        <v>11</v>
      </c>
      <c r="F56">
        <v>16</v>
      </c>
      <c r="G56">
        <v>14.13</v>
      </c>
      <c r="H56">
        <v>-24.66</v>
      </c>
      <c r="I56">
        <v>1.2001189999999999</v>
      </c>
      <c r="J56">
        <v>3.0641400000000001</v>
      </c>
      <c r="K56">
        <v>1.73</v>
      </c>
    </row>
    <row r="57" spans="1:11" x14ac:dyDescent="0.3">
      <c r="A57">
        <v>33</v>
      </c>
      <c r="B57" t="s">
        <v>30</v>
      </c>
      <c r="C57">
        <v>106</v>
      </c>
      <c r="D57" t="s">
        <v>12</v>
      </c>
      <c r="E57" t="s">
        <v>11</v>
      </c>
      <c r="F57">
        <v>16</v>
      </c>
      <c r="G57">
        <v>14.33</v>
      </c>
      <c r="H57">
        <v>-24.67</v>
      </c>
      <c r="I57">
        <v>-0.32426450000000001</v>
      </c>
      <c r="J57">
        <v>-0.32426450000000001</v>
      </c>
      <c r="K57">
        <v>2.5499999999999998</v>
      </c>
    </row>
    <row r="58" spans="1:11" x14ac:dyDescent="0.3">
      <c r="A58">
        <v>74</v>
      </c>
      <c r="B58" t="s">
        <v>30</v>
      </c>
      <c r="C58">
        <v>106</v>
      </c>
      <c r="D58" t="s">
        <v>12</v>
      </c>
      <c r="E58" t="s">
        <v>11</v>
      </c>
      <c r="F58">
        <v>16</v>
      </c>
      <c r="G58">
        <v>14.22</v>
      </c>
      <c r="H58">
        <v>-24.67</v>
      </c>
      <c r="I58">
        <v>1.4137649999999999</v>
      </c>
      <c r="J58">
        <v>3.295563</v>
      </c>
      <c r="K58">
        <v>5.38</v>
      </c>
    </row>
    <row r="59" spans="1:11" x14ac:dyDescent="0.3">
      <c r="A59">
        <v>79</v>
      </c>
      <c r="B59" t="s">
        <v>30</v>
      </c>
      <c r="C59">
        <v>106</v>
      </c>
      <c r="D59" t="s">
        <v>12</v>
      </c>
      <c r="E59" t="s">
        <v>11</v>
      </c>
      <c r="F59">
        <v>16</v>
      </c>
      <c r="G59">
        <v>14.16</v>
      </c>
      <c r="H59">
        <v>-24.67</v>
      </c>
      <c r="I59">
        <v>1.597153</v>
      </c>
      <c r="J59">
        <v>3.6654550000000001</v>
      </c>
      <c r="K59">
        <v>1.37</v>
      </c>
    </row>
    <row r="60" spans="1:11" x14ac:dyDescent="0.3">
      <c r="A60">
        <v>21</v>
      </c>
      <c r="B60" t="s">
        <v>30</v>
      </c>
      <c r="C60">
        <v>106</v>
      </c>
      <c r="D60" t="s">
        <v>12</v>
      </c>
      <c r="E60" t="s">
        <v>11</v>
      </c>
      <c r="F60">
        <v>16</v>
      </c>
      <c r="G60">
        <v>14.7</v>
      </c>
      <c r="H60">
        <v>-24.69</v>
      </c>
      <c r="I60">
        <v>1.1446080000000001</v>
      </c>
      <c r="J60">
        <v>2.006332</v>
      </c>
      <c r="K60">
        <v>0.75</v>
      </c>
    </row>
    <row r="61" spans="1:11" x14ac:dyDescent="0.3">
      <c r="A61">
        <v>81</v>
      </c>
      <c r="B61" t="s">
        <v>30</v>
      </c>
      <c r="C61">
        <v>106</v>
      </c>
      <c r="D61" t="s">
        <v>12</v>
      </c>
      <c r="E61" t="s">
        <v>11</v>
      </c>
      <c r="F61">
        <v>16</v>
      </c>
      <c r="G61">
        <v>14.33</v>
      </c>
      <c r="H61">
        <v>-24.69</v>
      </c>
      <c r="I61">
        <v>0.31238169999999998</v>
      </c>
      <c r="J61">
        <v>2.2106780000000001</v>
      </c>
      <c r="K61">
        <v>0.23</v>
      </c>
    </row>
    <row r="62" spans="1:11" x14ac:dyDescent="0.3">
      <c r="A62">
        <v>87</v>
      </c>
      <c r="B62" t="s">
        <v>30</v>
      </c>
      <c r="C62">
        <v>106</v>
      </c>
      <c r="D62" t="s">
        <v>12</v>
      </c>
      <c r="E62" t="s">
        <v>11</v>
      </c>
      <c r="F62">
        <v>16</v>
      </c>
      <c r="G62">
        <v>14.2</v>
      </c>
      <c r="H62">
        <v>-24.69</v>
      </c>
      <c r="I62">
        <v>0.91407389999999999</v>
      </c>
      <c r="J62">
        <v>2.92157</v>
      </c>
      <c r="K62">
        <v>-1.2</v>
      </c>
    </row>
    <row r="63" spans="1:11" x14ac:dyDescent="0.3">
      <c r="A63">
        <v>96</v>
      </c>
      <c r="B63" t="s">
        <v>30</v>
      </c>
      <c r="C63">
        <v>106</v>
      </c>
      <c r="D63" t="s">
        <v>12</v>
      </c>
      <c r="E63" t="s">
        <v>11</v>
      </c>
      <c r="F63">
        <v>16</v>
      </c>
      <c r="G63">
        <v>14.35</v>
      </c>
      <c r="H63">
        <v>-24.69</v>
      </c>
      <c r="I63">
        <v>0.44431300000000001</v>
      </c>
      <c r="J63">
        <v>2.283741</v>
      </c>
      <c r="K63">
        <v>0.68</v>
      </c>
    </row>
    <row r="64" spans="1:11" x14ac:dyDescent="0.3">
      <c r="A64">
        <v>109</v>
      </c>
      <c r="B64" t="s">
        <v>30</v>
      </c>
      <c r="C64">
        <v>106</v>
      </c>
      <c r="D64" t="s">
        <v>12</v>
      </c>
      <c r="E64" t="s">
        <v>11</v>
      </c>
      <c r="F64">
        <v>16</v>
      </c>
      <c r="G64">
        <v>14.2</v>
      </c>
      <c r="H64">
        <v>-24.7</v>
      </c>
      <c r="I64">
        <v>1.3305210000000001</v>
      </c>
      <c r="J64">
        <v>3.3505210000000001</v>
      </c>
      <c r="K64">
        <v>1.28</v>
      </c>
    </row>
    <row r="65" spans="1:11" x14ac:dyDescent="0.3">
      <c r="A65">
        <v>114</v>
      </c>
      <c r="B65" t="s">
        <v>30</v>
      </c>
      <c r="C65">
        <v>106</v>
      </c>
      <c r="D65" t="s">
        <v>12</v>
      </c>
      <c r="E65" t="s">
        <v>11</v>
      </c>
      <c r="F65">
        <v>16</v>
      </c>
      <c r="G65">
        <v>14.35</v>
      </c>
      <c r="H65">
        <v>-24.7</v>
      </c>
      <c r="I65">
        <v>0.20087050000000001</v>
      </c>
      <c r="J65">
        <v>2.227932</v>
      </c>
      <c r="K65">
        <v>2.41</v>
      </c>
    </row>
    <row r="66" spans="1:11" x14ac:dyDescent="0.3">
      <c r="A66">
        <v>42</v>
      </c>
      <c r="B66" t="s">
        <v>30</v>
      </c>
      <c r="C66">
        <v>106</v>
      </c>
      <c r="D66" t="s">
        <v>12</v>
      </c>
      <c r="E66" t="s">
        <v>11</v>
      </c>
      <c r="F66">
        <v>16</v>
      </c>
      <c r="G66">
        <v>14.13</v>
      </c>
      <c r="H66">
        <v>-24.71</v>
      </c>
      <c r="I66">
        <v>1.0041659999999999</v>
      </c>
      <c r="J66">
        <v>2.7306789999999999</v>
      </c>
      <c r="K66">
        <v>2.0699999999999998</v>
      </c>
    </row>
    <row r="67" spans="1:11" x14ac:dyDescent="0.3">
      <c r="A67">
        <v>23</v>
      </c>
      <c r="B67" t="s">
        <v>30</v>
      </c>
      <c r="C67">
        <v>106</v>
      </c>
      <c r="D67" t="s">
        <v>12</v>
      </c>
      <c r="E67" t="s">
        <v>11</v>
      </c>
      <c r="F67">
        <v>16</v>
      </c>
      <c r="G67">
        <v>14.64</v>
      </c>
      <c r="H67">
        <v>-24.72</v>
      </c>
      <c r="I67">
        <v>0.20718</v>
      </c>
      <c r="J67">
        <v>1.9644740000000001</v>
      </c>
      <c r="K67">
        <v>1.61</v>
      </c>
    </row>
    <row r="68" spans="1:11" x14ac:dyDescent="0.3">
      <c r="A68">
        <v>111</v>
      </c>
      <c r="B68" t="s">
        <v>30</v>
      </c>
      <c r="C68">
        <v>106</v>
      </c>
      <c r="D68" t="s">
        <v>12</v>
      </c>
      <c r="E68" t="s">
        <v>11</v>
      </c>
      <c r="F68">
        <v>16</v>
      </c>
      <c r="G68">
        <v>14.52</v>
      </c>
      <c r="H68">
        <v>-24.72</v>
      </c>
      <c r="I68">
        <v>-0.32293319999999998</v>
      </c>
      <c r="J68">
        <v>1.5122720000000001</v>
      </c>
      <c r="K68">
        <v>3.01</v>
      </c>
    </row>
    <row r="69" spans="1:11" x14ac:dyDescent="0.3">
      <c r="A69">
        <v>58</v>
      </c>
      <c r="B69" t="s">
        <v>30</v>
      </c>
      <c r="C69">
        <v>106</v>
      </c>
      <c r="D69" t="s">
        <v>12</v>
      </c>
      <c r="E69" t="s">
        <v>11</v>
      </c>
      <c r="F69">
        <v>16</v>
      </c>
      <c r="G69">
        <v>14.17</v>
      </c>
      <c r="H69">
        <v>-24.73</v>
      </c>
      <c r="I69">
        <v>1.0942339999999999</v>
      </c>
      <c r="J69">
        <v>2.9345439999999998</v>
      </c>
      <c r="K69">
        <v>3.26</v>
      </c>
    </row>
    <row r="70" spans="1:11" x14ac:dyDescent="0.3">
      <c r="A70">
        <v>60</v>
      </c>
      <c r="B70" t="s">
        <v>30</v>
      </c>
      <c r="C70">
        <v>106</v>
      </c>
      <c r="D70" t="s">
        <v>12</v>
      </c>
      <c r="E70" t="s">
        <v>11</v>
      </c>
      <c r="F70">
        <v>16</v>
      </c>
      <c r="G70">
        <v>13.9</v>
      </c>
      <c r="H70">
        <v>-24.73</v>
      </c>
      <c r="I70">
        <v>0.51409910000000003</v>
      </c>
      <c r="J70">
        <v>2.554249</v>
      </c>
      <c r="K70">
        <v>2.15</v>
      </c>
    </row>
    <row r="71" spans="1:11" x14ac:dyDescent="0.3">
      <c r="A71">
        <v>71</v>
      </c>
      <c r="B71" t="s">
        <v>30</v>
      </c>
      <c r="C71">
        <v>106</v>
      </c>
      <c r="D71" t="s">
        <v>12</v>
      </c>
      <c r="E71" t="s">
        <v>11</v>
      </c>
      <c r="F71">
        <v>16</v>
      </c>
      <c r="G71">
        <v>13.92</v>
      </c>
      <c r="H71">
        <v>-24.74</v>
      </c>
      <c r="I71">
        <v>1.5772710000000001</v>
      </c>
      <c r="J71">
        <v>3.4310679999999998</v>
      </c>
      <c r="K71">
        <v>-1.65</v>
      </c>
    </row>
    <row r="72" spans="1:11" x14ac:dyDescent="0.3">
      <c r="A72">
        <v>19</v>
      </c>
      <c r="B72" t="s">
        <v>30</v>
      </c>
      <c r="C72">
        <v>106</v>
      </c>
      <c r="D72" t="s">
        <v>12</v>
      </c>
      <c r="E72" t="s">
        <v>11</v>
      </c>
      <c r="F72">
        <v>16</v>
      </c>
      <c r="G72">
        <v>14.8</v>
      </c>
      <c r="H72">
        <v>-24.76</v>
      </c>
      <c r="I72">
        <v>-0.20738599999999999</v>
      </c>
      <c r="J72">
        <v>1.9239040000000001</v>
      </c>
      <c r="K72">
        <v>2.11</v>
      </c>
    </row>
    <row r="73" spans="1:11" x14ac:dyDescent="0.3">
      <c r="A73">
        <v>117</v>
      </c>
      <c r="B73" t="s">
        <v>30</v>
      </c>
      <c r="C73">
        <v>106</v>
      </c>
      <c r="D73" t="s">
        <v>12</v>
      </c>
      <c r="E73" t="s">
        <v>11</v>
      </c>
      <c r="F73">
        <v>16</v>
      </c>
      <c r="G73">
        <v>14.21</v>
      </c>
      <c r="H73">
        <v>-24.76</v>
      </c>
      <c r="I73">
        <v>2.223522</v>
      </c>
      <c r="J73">
        <v>4.2783660000000001</v>
      </c>
      <c r="K73">
        <v>2.91</v>
      </c>
    </row>
    <row r="74" spans="1:11" x14ac:dyDescent="0.3">
      <c r="A74">
        <v>103</v>
      </c>
      <c r="B74" t="s">
        <v>30</v>
      </c>
      <c r="C74">
        <v>106</v>
      </c>
      <c r="D74" t="s">
        <v>12</v>
      </c>
      <c r="E74" t="s">
        <v>11</v>
      </c>
      <c r="F74">
        <v>16</v>
      </c>
      <c r="G74">
        <v>14.31</v>
      </c>
      <c r="H74">
        <v>-24.78</v>
      </c>
      <c r="I74">
        <v>-0.43834689999999998</v>
      </c>
      <c r="J74">
        <v>1.8265039999999999</v>
      </c>
      <c r="K74">
        <v>0.05</v>
      </c>
    </row>
    <row r="75" spans="1:11" x14ac:dyDescent="0.3">
      <c r="A75">
        <v>65</v>
      </c>
      <c r="B75" t="s">
        <v>30</v>
      </c>
      <c r="C75">
        <v>106</v>
      </c>
      <c r="D75" t="s">
        <v>12</v>
      </c>
      <c r="E75" t="s">
        <v>11</v>
      </c>
      <c r="F75">
        <v>16</v>
      </c>
      <c r="G75">
        <v>14.14</v>
      </c>
      <c r="H75">
        <v>-24.8</v>
      </c>
      <c r="I75">
        <v>1.1201970000000001</v>
      </c>
      <c r="J75">
        <v>2.7958409999999998</v>
      </c>
      <c r="K75">
        <v>-0.85</v>
      </c>
    </row>
    <row r="76" spans="1:11" x14ac:dyDescent="0.3">
      <c r="A76">
        <v>6</v>
      </c>
      <c r="B76" t="s">
        <v>30</v>
      </c>
      <c r="C76">
        <v>106</v>
      </c>
      <c r="D76" t="s">
        <v>12</v>
      </c>
      <c r="E76" t="s">
        <v>11</v>
      </c>
      <c r="F76">
        <v>16</v>
      </c>
      <c r="G76">
        <v>14.56</v>
      </c>
      <c r="H76">
        <v>-24.82</v>
      </c>
      <c r="I76">
        <v>0.39057920000000002</v>
      </c>
      <c r="J76">
        <v>2.3066900000000001</v>
      </c>
      <c r="K76">
        <v>-0.39</v>
      </c>
    </row>
    <row r="77" spans="1:11" x14ac:dyDescent="0.3">
      <c r="A77">
        <v>48</v>
      </c>
      <c r="B77" t="s">
        <v>30</v>
      </c>
      <c r="C77">
        <v>106</v>
      </c>
      <c r="D77" t="s">
        <v>12</v>
      </c>
      <c r="E77" t="s">
        <v>11</v>
      </c>
      <c r="F77">
        <v>16</v>
      </c>
      <c r="G77">
        <v>14.44</v>
      </c>
      <c r="H77">
        <v>-24.83</v>
      </c>
      <c r="I77">
        <v>0.91526790000000002</v>
      </c>
      <c r="J77">
        <v>2.7127270000000001</v>
      </c>
      <c r="K77">
        <v>9.66</v>
      </c>
    </row>
    <row r="78" spans="1:11" x14ac:dyDescent="0.3">
      <c r="A78">
        <v>64</v>
      </c>
      <c r="B78" t="s">
        <v>30</v>
      </c>
      <c r="C78">
        <v>106</v>
      </c>
      <c r="D78" t="s">
        <v>12</v>
      </c>
      <c r="E78" t="s">
        <v>11</v>
      </c>
      <c r="F78">
        <v>16</v>
      </c>
      <c r="G78">
        <v>14.02</v>
      </c>
      <c r="H78">
        <v>-24.87</v>
      </c>
      <c r="I78">
        <v>0.34334949999999997</v>
      </c>
      <c r="J78">
        <v>1.107464</v>
      </c>
      <c r="K78">
        <v>-0.02</v>
      </c>
    </row>
    <row r="79" spans="1:11" x14ac:dyDescent="0.3">
      <c r="A79">
        <v>102</v>
      </c>
      <c r="B79" t="s">
        <v>30</v>
      </c>
      <c r="C79">
        <v>106</v>
      </c>
      <c r="D79" t="s">
        <v>12</v>
      </c>
      <c r="E79" t="s">
        <v>11</v>
      </c>
      <c r="F79">
        <v>16</v>
      </c>
      <c r="G79">
        <v>14.24</v>
      </c>
      <c r="H79">
        <v>-24.87</v>
      </c>
      <c r="I79">
        <v>-0.93466950000000004</v>
      </c>
      <c r="J79">
        <v>0.96342850000000002</v>
      </c>
      <c r="K79">
        <v>0.59</v>
      </c>
    </row>
    <row r="80" spans="1:11" x14ac:dyDescent="0.3">
      <c r="A80">
        <v>90</v>
      </c>
      <c r="B80" t="s">
        <v>30</v>
      </c>
      <c r="C80">
        <v>106</v>
      </c>
      <c r="D80" t="s">
        <v>12</v>
      </c>
      <c r="E80" t="s">
        <v>11</v>
      </c>
      <c r="F80">
        <v>16</v>
      </c>
      <c r="G80">
        <v>14.25</v>
      </c>
      <c r="H80">
        <v>-24.88</v>
      </c>
      <c r="I80">
        <v>0.20820620000000001</v>
      </c>
      <c r="J80">
        <v>2.4642909999999998</v>
      </c>
      <c r="K80">
        <v>0.4</v>
      </c>
    </row>
    <row r="81" spans="1:11" x14ac:dyDescent="0.3">
      <c r="A81">
        <v>95</v>
      </c>
      <c r="B81" t="s">
        <v>30</v>
      </c>
      <c r="C81">
        <v>106</v>
      </c>
      <c r="D81" t="s">
        <v>12</v>
      </c>
      <c r="E81" t="s">
        <v>11</v>
      </c>
      <c r="F81">
        <v>16</v>
      </c>
      <c r="G81">
        <v>14.18</v>
      </c>
      <c r="H81">
        <v>-24.88</v>
      </c>
      <c r="I81">
        <v>1.203781</v>
      </c>
      <c r="J81">
        <v>3.1055489999999999</v>
      </c>
      <c r="K81">
        <v>0.36</v>
      </c>
    </row>
    <row r="82" spans="1:11" x14ac:dyDescent="0.3">
      <c r="A82">
        <v>27</v>
      </c>
      <c r="B82" t="s">
        <v>30</v>
      </c>
      <c r="C82">
        <v>106</v>
      </c>
      <c r="D82" t="s">
        <v>12</v>
      </c>
      <c r="E82" t="s">
        <v>11</v>
      </c>
      <c r="F82">
        <v>16</v>
      </c>
      <c r="G82">
        <v>14.34</v>
      </c>
      <c r="H82">
        <v>-24.98</v>
      </c>
      <c r="I82">
        <v>9.0839390000000006E-2</v>
      </c>
      <c r="J82">
        <v>1.8964350000000001</v>
      </c>
      <c r="K82">
        <v>3.2</v>
      </c>
    </row>
    <row r="83" spans="1:11" x14ac:dyDescent="0.3">
      <c r="A83">
        <v>115</v>
      </c>
      <c r="B83" t="s">
        <v>30</v>
      </c>
      <c r="C83">
        <v>106</v>
      </c>
      <c r="D83" t="s">
        <v>12</v>
      </c>
      <c r="E83" t="s">
        <v>11</v>
      </c>
      <c r="F83">
        <v>16</v>
      </c>
      <c r="G83">
        <v>14.44</v>
      </c>
      <c r="H83">
        <v>-24.99</v>
      </c>
      <c r="I83">
        <v>1.246578</v>
      </c>
      <c r="J83">
        <v>3.0582769999999999</v>
      </c>
      <c r="K83">
        <v>3.09</v>
      </c>
    </row>
    <row r="84" spans="1:11" x14ac:dyDescent="0.3">
      <c r="A84">
        <v>13</v>
      </c>
      <c r="B84" t="s">
        <v>30</v>
      </c>
      <c r="C84">
        <v>106</v>
      </c>
      <c r="D84" t="s">
        <v>12</v>
      </c>
      <c r="E84" t="s">
        <v>11</v>
      </c>
      <c r="F84">
        <v>16</v>
      </c>
      <c r="G84">
        <v>14.53</v>
      </c>
      <c r="H84">
        <v>-25</v>
      </c>
      <c r="I84">
        <v>-0.43038939999999998</v>
      </c>
      <c r="J84">
        <v>1.6229549999999999</v>
      </c>
      <c r="K84">
        <v>-0.21</v>
      </c>
    </row>
    <row r="85" spans="1:11" x14ac:dyDescent="0.3">
      <c r="A85">
        <v>46</v>
      </c>
      <c r="B85" t="s">
        <v>30</v>
      </c>
      <c r="C85">
        <v>106</v>
      </c>
      <c r="D85" t="s">
        <v>12</v>
      </c>
      <c r="E85" t="s">
        <v>11</v>
      </c>
      <c r="F85">
        <v>16</v>
      </c>
      <c r="G85">
        <v>14.31</v>
      </c>
      <c r="H85">
        <v>-25.03</v>
      </c>
      <c r="I85">
        <v>1.456993</v>
      </c>
      <c r="J85">
        <v>3.140339</v>
      </c>
      <c r="K85">
        <v>-0.35</v>
      </c>
    </row>
    <row r="86" spans="1:11" x14ac:dyDescent="0.3">
      <c r="A86">
        <v>39</v>
      </c>
      <c r="B86" t="s">
        <v>30</v>
      </c>
      <c r="C86">
        <v>106</v>
      </c>
      <c r="D86" t="s">
        <v>12</v>
      </c>
      <c r="E86" t="s">
        <v>11</v>
      </c>
      <c r="F86">
        <v>16</v>
      </c>
      <c r="G86">
        <v>13.72</v>
      </c>
      <c r="H86">
        <v>-25.06</v>
      </c>
      <c r="I86">
        <v>-1.8280029999999999E-2</v>
      </c>
      <c r="J86">
        <v>2.0289649999999999</v>
      </c>
      <c r="K86">
        <v>-0.17</v>
      </c>
    </row>
    <row r="87" spans="1:11" x14ac:dyDescent="0.3">
      <c r="A87">
        <v>104</v>
      </c>
      <c r="B87" t="s">
        <v>30</v>
      </c>
      <c r="C87">
        <v>106</v>
      </c>
      <c r="D87" t="s">
        <v>12</v>
      </c>
      <c r="E87" t="s">
        <v>11</v>
      </c>
      <c r="F87">
        <v>16</v>
      </c>
      <c r="G87">
        <v>14.66</v>
      </c>
      <c r="H87">
        <v>-25.09</v>
      </c>
      <c r="I87">
        <v>0.4894791</v>
      </c>
      <c r="J87">
        <v>2.4470209999999999</v>
      </c>
      <c r="K87">
        <v>33.33</v>
      </c>
    </row>
    <row r="88" spans="1:11" x14ac:dyDescent="0.3">
      <c r="A88">
        <v>53</v>
      </c>
      <c r="B88" t="s">
        <v>30</v>
      </c>
      <c r="C88">
        <v>106</v>
      </c>
      <c r="D88" t="s">
        <v>12</v>
      </c>
      <c r="E88" t="s">
        <v>11</v>
      </c>
      <c r="F88">
        <v>16</v>
      </c>
      <c r="G88">
        <v>13.93</v>
      </c>
      <c r="H88">
        <v>-25.12</v>
      </c>
      <c r="I88">
        <v>-6.0054780000000002E-2</v>
      </c>
      <c r="J88">
        <v>2.200237</v>
      </c>
      <c r="K88">
        <v>6.92</v>
      </c>
    </row>
    <row r="89" spans="1:11" x14ac:dyDescent="0.3">
      <c r="A89">
        <v>66</v>
      </c>
      <c r="B89" t="s">
        <v>30</v>
      </c>
      <c r="C89">
        <v>106</v>
      </c>
      <c r="D89" t="s">
        <v>12</v>
      </c>
      <c r="E89" t="s">
        <v>11</v>
      </c>
      <c r="F89">
        <v>16</v>
      </c>
      <c r="G89">
        <v>13.82</v>
      </c>
      <c r="H89">
        <v>-25.12</v>
      </c>
      <c r="I89">
        <v>-0.49546430000000002</v>
      </c>
      <c r="J89">
        <v>1.4751209999999999</v>
      </c>
      <c r="K89">
        <v>4.3099999999999996</v>
      </c>
    </row>
    <row r="90" spans="1:11" x14ac:dyDescent="0.3">
      <c r="A90">
        <v>98</v>
      </c>
      <c r="B90" t="s">
        <v>30</v>
      </c>
      <c r="C90">
        <v>106</v>
      </c>
      <c r="D90" t="s">
        <v>12</v>
      </c>
      <c r="E90" t="s">
        <v>11</v>
      </c>
      <c r="F90">
        <v>16</v>
      </c>
      <c r="G90">
        <v>14.16</v>
      </c>
      <c r="H90">
        <v>-25.13</v>
      </c>
      <c r="I90">
        <v>-0.16400529999999999</v>
      </c>
      <c r="J90">
        <v>1.9268190000000001</v>
      </c>
      <c r="K90">
        <v>1.03</v>
      </c>
    </row>
    <row r="91" spans="1:11" x14ac:dyDescent="0.3">
      <c r="A91">
        <v>47</v>
      </c>
      <c r="B91" t="s">
        <v>30</v>
      </c>
      <c r="C91">
        <v>106</v>
      </c>
      <c r="D91" t="s">
        <v>12</v>
      </c>
      <c r="E91" t="s">
        <v>11</v>
      </c>
      <c r="F91">
        <v>16</v>
      </c>
      <c r="G91">
        <v>14.23</v>
      </c>
      <c r="H91">
        <v>-25.18</v>
      </c>
      <c r="I91">
        <v>-0.68980410000000003</v>
      </c>
      <c r="J91">
        <v>1.2021679999999999</v>
      </c>
      <c r="K91">
        <v>0.63</v>
      </c>
    </row>
    <row r="92" spans="1:11" x14ac:dyDescent="0.3">
      <c r="A92">
        <v>97</v>
      </c>
      <c r="B92" t="s">
        <v>30</v>
      </c>
      <c r="C92">
        <v>106</v>
      </c>
      <c r="D92" t="s">
        <v>12</v>
      </c>
      <c r="E92" t="s">
        <v>11</v>
      </c>
      <c r="F92">
        <v>16</v>
      </c>
      <c r="G92">
        <v>13.72</v>
      </c>
      <c r="H92">
        <v>-25.21</v>
      </c>
      <c r="I92" t="s">
        <v>31</v>
      </c>
      <c r="J92" t="s">
        <v>31</v>
      </c>
      <c r="K92">
        <v>-100</v>
      </c>
    </row>
    <row r="93" spans="1:11" x14ac:dyDescent="0.3">
      <c r="A93">
        <v>12</v>
      </c>
      <c r="B93" t="s">
        <v>30</v>
      </c>
      <c r="C93">
        <v>106</v>
      </c>
      <c r="D93" t="s">
        <v>12</v>
      </c>
      <c r="E93" t="s">
        <v>11</v>
      </c>
      <c r="F93">
        <v>16</v>
      </c>
      <c r="G93">
        <v>14.45</v>
      </c>
      <c r="H93">
        <v>-25.22</v>
      </c>
      <c r="I93">
        <v>0.91912079999999996</v>
      </c>
      <c r="J93">
        <v>2.6314579999999999</v>
      </c>
      <c r="K93">
        <v>1.27</v>
      </c>
    </row>
    <row r="94" spans="1:11" x14ac:dyDescent="0.3">
      <c r="A94">
        <v>37</v>
      </c>
      <c r="B94" t="s">
        <v>30</v>
      </c>
      <c r="C94">
        <v>106</v>
      </c>
      <c r="D94" t="s">
        <v>12</v>
      </c>
      <c r="E94" t="s">
        <v>11</v>
      </c>
      <c r="F94">
        <v>16</v>
      </c>
      <c r="G94">
        <v>14.47</v>
      </c>
      <c r="H94">
        <v>-25.23</v>
      </c>
      <c r="I94">
        <v>0.1088181</v>
      </c>
      <c r="J94">
        <v>2.371292</v>
      </c>
      <c r="K94">
        <v>0.41</v>
      </c>
    </row>
    <row r="95" spans="1:11" x14ac:dyDescent="0.3">
      <c r="A95">
        <v>101</v>
      </c>
      <c r="B95" t="s">
        <v>30</v>
      </c>
      <c r="C95">
        <v>106</v>
      </c>
      <c r="D95" t="s">
        <v>12</v>
      </c>
      <c r="E95" t="s">
        <v>11</v>
      </c>
      <c r="F95">
        <v>16</v>
      </c>
      <c r="G95">
        <v>14.36</v>
      </c>
      <c r="H95">
        <v>-25.23</v>
      </c>
      <c r="I95">
        <v>-0.38700099999999998</v>
      </c>
      <c r="J95">
        <v>1.6370089999999999</v>
      </c>
      <c r="K95">
        <v>-0.54</v>
      </c>
    </row>
    <row r="96" spans="1:11" x14ac:dyDescent="0.3">
      <c r="A96">
        <v>35</v>
      </c>
      <c r="B96" t="s">
        <v>30</v>
      </c>
      <c r="C96">
        <v>106</v>
      </c>
      <c r="D96" t="s">
        <v>12</v>
      </c>
      <c r="E96" t="s">
        <v>11</v>
      </c>
      <c r="F96">
        <v>16</v>
      </c>
      <c r="G96">
        <v>14.48</v>
      </c>
      <c r="H96">
        <v>-25.26</v>
      </c>
      <c r="I96">
        <v>-0.34564210000000001</v>
      </c>
      <c r="J96">
        <v>1.7757000000000001</v>
      </c>
      <c r="K96">
        <v>0.39</v>
      </c>
    </row>
    <row r="97" spans="1:11" x14ac:dyDescent="0.3">
      <c r="A97">
        <v>38</v>
      </c>
      <c r="B97" t="s">
        <v>30</v>
      </c>
      <c r="C97">
        <v>106</v>
      </c>
      <c r="D97" t="s">
        <v>12</v>
      </c>
      <c r="E97" t="s">
        <v>11</v>
      </c>
      <c r="F97">
        <v>16</v>
      </c>
      <c r="G97">
        <v>14.49</v>
      </c>
      <c r="H97">
        <v>-25.26</v>
      </c>
      <c r="I97">
        <v>0.31444549999999999</v>
      </c>
      <c r="J97">
        <v>2.0540660000000002</v>
      </c>
      <c r="K97">
        <v>0.96</v>
      </c>
    </row>
    <row r="98" spans="1:11" x14ac:dyDescent="0.3">
      <c r="A98">
        <v>15</v>
      </c>
      <c r="B98" t="s">
        <v>30</v>
      </c>
      <c r="C98">
        <v>106</v>
      </c>
      <c r="D98" t="s">
        <v>12</v>
      </c>
      <c r="E98" t="s">
        <v>11</v>
      </c>
      <c r="F98">
        <v>16</v>
      </c>
      <c r="G98">
        <v>14.09</v>
      </c>
      <c r="H98">
        <v>-25.33</v>
      </c>
      <c r="I98">
        <v>0.55107119999999998</v>
      </c>
      <c r="J98">
        <v>2.720993</v>
      </c>
      <c r="K98">
        <v>0.61</v>
      </c>
    </row>
    <row r="99" spans="1:11" x14ac:dyDescent="0.3">
      <c r="A99">
        <v>25</v>
      </c>
      <c r="B99" t="s">
        <v>30</v>
      </c>
      <c r="C99">
        <v>106</v>
      </c>
      <c r="D99" t="s">
        <v>12</v>
      </c>
      <c r="E99" t="s">
        <v>11</v>
      </c>
      <c r="F99">
        <v>16</v>
      </c>
      <c r="G99">
        <v>13.99</v>
      </c>
      <c r="H99">
        <v>-25.34</v>
      </c>
      <c r="I99">
        <v>-1.333183</v>
      </c>
      <c r="J99">
        <v>0.47907260000000002</v>
      </c>
      <c r="K99">
        <v>-0.19</v>
      </c>
    </row>
    <row r="100" spans="1:11" x14ac:dyDescent="0.3">
      <c r="A100">
        <v>52</v>
      </c>
      <c r="B100" t="s">
        <v>30</v>
      </c>
      <c r="C100">
        <v>106</v>
      </c>
      <c r="D100" t="s">
        <v>12</v>
      </c>
      <c r="E100" t="s">
        <v>11</v>
      </c>
      <c r="F100">
        <v>16</v>
      </c>
      <c r="G100">
        <v>14.5</v>
      </c>
      <c r="H100">
        <v>-25.36</v>
      </c>
      <c r="I100">
        <v>-0.47519299999999998</v>
      </c>
      <c r="J100">
        <v>1.534672</v>
      </c>
      <c r="K100">
        <v>-1.59</v>
      </c>
    </row>
    <row r="101" spans="1:11" x14ac:dyDescent="0.3">
      <c r="A101">
        <v>54</v>
      </c>
      <c r="B101" t="s">
        <v>30</v>
      </c>
      <c r="C101">
        <v>106</v>
      </c>
      <c r="D101" t="s">
        <v>12</v>
      </c>
      <c r="E101" t="s">
        <v>11</v>
      </c>
      <c r="F101">
        <v>16</v>
      </c>
      <c r="G101">
        <v>14.16</v>
      </c>
      <c r="H101">
        <v>-25.39</v>
      </c>
      <c r="I101">
        <v>-0.61174010000000001</v>
      </c>
      <c r="J101">
        <v>1.2052959999999999</v>
      </c>
      <c r="K101">
        <v>-1.98</v>
      </c>
    </row>
    <row r="102" spans="1:11" x14ac:dyDescent="0.3">
      <c r="A102">
        <v>11</v>
      </c>
      <c r="B102" t="s">
        <v>30</v>
      </c>
      <c r="C102">
        <v>106</v>
      </c>
      <c r="D102" t="s">
        <v>12</v>
      </c>
      <c r="E102" t="s">
        <v>11</v>
      </c>
      <c r="F102">
        <v>16</v>
      </c>
      <c r="G102">
        <v>14.86</v>
      </c>
      <c r="H102">
        <v>-25.41</v>
      </c>
      <c r="I102">
        <v>0.2673721</v>
      </c>
      <c r="J102">
        <v>2.2807270000000002</v>
      </c>
      <c r="K102">
        <v>1.21</v>
      </c>
    </row>
    <row r="103" spans="1:11" x14ac:dyDescent="0.3">
      <c r="A103">
        <v>56</v>
      </c>
      <c r="B103" t="s">
        <v>30</v>
      </c>
      <c r="C103">
        <v>106</v>
      </c>
      <c r="D103" t="s">
        <v>12</v>
      </c>
      <c r="E103" t="s">
        <v>11</v>
      </c>
      <c r="F103">
        <v>16</v>
      </c>
      <c r="G103">
        <v>13.71</v>
      </c>
      <c r="H103">
        <v>-25.46</v>
      </c>
      <c r="I103">
        <v>-0.90995029999999999</v>
      </c>
      <c r="J103">
        <v>0.94070819999999999</v>
      </c>
      <c r="K103">
        <v>-2.4700000000000002</v>
      </c>
    </row>
    <row r="104" spans="1:11" x14ac:dyDescent="0.3">
      <c r="A104">
        <v>63</v>
      </c>
      <c r="B104" t="s">
        <v>30</v>
      </c>
      <c r="C104">
        <v>106</v>
      </c>
      <c r="D104" t="s">
        <v>12</v>
      </c>
      <c r="E104" t="s">
        <v>11</v>
      </c>
      <c r="F104">
        <v>16</v>
      </c>
      <c r="G104">
        <v>14.22</v>
      </c>
      <c r="H104">
        <v>-25.49</v>
      </c>
      <c r="I104">
        <v>-0.25724029999999998</v>
      </c>
      <c r="J104">
        <v>1.6175120000000001</v>
      </c>
      <c r="K104">
        <v>0.97</v>
      </c>
    </row>
    <row r="105" spans="1:11" x14ac:dyDescent="0.3">
      <c r="A105">
        <v>68</v>
      </c>
      <c r="B105" t="s">
        <v>30</v>
      </c>
      <c r="C105">
        <v>106</v>
      </c>
      <c r="D105" t="s">
        <v>12</v>
      </c>
      <c r="E105" t="s">
        <v>11</v>
      </c>
      <c r="F105">
        <v>16</v>
      </c>
      <c r="G105">
        <v>13.9</v>
      </c>
      <c r="H105">
        <v>-25.5</v>
      </c>
      <c r="I105">
        <v>-0.28165820000000003</v>
      </c>
      <c r="J105">
        <v>1.23587</v>
      </c>
      <c r="K105">
        <v>1.66</v>
      </c>
    </row>
    <row r="106" spans="1:11" x14ac:dyDescent="0.3">
      <c r="A106">
        <v>50</v>
      </c>
      <c r="B106" t="s">
        <v>30</v>
      </c>
      <c r="C106">
        <v>106</v>
      </c>
      <c r="D106" t="s">
        <v>12</v>
      </c>
      <c r="E106" t="s">
        <v>11</v>
      </c>
      <c r="F106">
        <v>16</v>
      </c>
      <c r="G106">
        <v>14.09</v>
      </c>
      <c r="H106">
        <v>-25.51</v>
      </c>
      <c r="I106">
        <v>-1.310638</v>
      </c>
      <c r="J106">
        <v>0.5186539</v>
      </c>
      <c r="K106">
        <v>0.06</v>
      </c>
    </row>
    <row r="107" spans="1:11" x14ac:dyDescent="0.3">
      <c r="A107">
        <v>36</v>
      </c>
      <c r="B107" t="s">
        <v>30</v>
      </c>
      <c r="C107">
        <v>106</v>
      </c>
      <c r="D107" t="s">
        <v>12</v>
      </c>
      <c r="E107" t="s">
        <v>11</v>
      </c>
      <c r="F107">
        <v>16</v>
      </c>
      <c r="G107">
        <v>14.44</v>
      </c>
      <c r="H107">
        <v>-25.52</v>
      </c>
      <c r="I107">
        <v>-0.84016420000000003</v>
      </c>
      <c r="J107">
        <v>1.273571</v>
      </c>
      <c r="K107">
        <v>-0.25</v>
      </c>
    </row>
    <row r="108" spans="1:11" x14ac:dyDescent="0.3">
      <c r="A108">
        <v>30</v>
      </c>
      <c r="B108" t="s">
        <v>30</v>
      </c>
      <c r="C108">
        <v>106</v>
      </c>
      <c r="D108" t="s">
        <v>12</v>
      </c>
      <c r="E108" t="s">
        <v>11</v>
      </c>
      <c r="F108">
        <v>16</v>
      </c>
      <c r="G108">
        <v>14.3</v>
      </c>
      <c r="H108">
        <v>-25.59</v>
      </c>
      <c r="I108">
        <v>-3.32938</v>
      </c>
      <c r="J108">
        <v>-1.4716530000000001</v>
      </c>
      <c r="K108">
        <v>1.42</v>
      </c>
    </row>
    <row r="109" spans="1:11" x14ac:dyDescent="0.3">
      <c r="A109">
        <v>32</v>
      </c>
      <c r="B109" t="s">
        <v>30</v>
      </c>
      <c r="C109">
        <v>106</v>
      </c>
      <c r="D109" t="s">
        <v>12</v>
      </c>
      <c r="E109" t="s">
        <v>11</v>
      </c>
      <c r="F109">
        <v>16</v>
      </c>
      <c r="G109">
        <v>14.51</v>
      </c>
      <c r="H109">
        <v>-25.6</v>
      </c>
      <c r="I109">
        <v>0.35861969999999999</v>
      </c>
      <c r="J109">
        <v>2.3137699999999999</v>
      </c>
      <c r="K109">
        <v>0.19</v>
      </c>
    </row>
    <row r="110" spans="1:11" x14ac:dyDescent="0.3">
      <c r="A110">
        <v>45</v>
      </c>
      <c r="B110" t="s">
        <v>30</v>
      </c>
      <c r="C110">
        <v>106</v>
      </c>
      <c r="D110" t="s">
        <v>12</v>
      </c>
      <c r="E110" t="s">
        <v>11</v>
      </c>
      <c r="F110">
        <v>16</v>
      </c>
      <c r="G110">
        <v>14.23</v>
      </c>
      <c r="H110">
        <v>-25.62</v>
      </c>
      <c r="I110">
        <v>-0.23535159999999999</v>
      </c>
      <c r="J110">
        <v>1.742035</v>
      </c>
      <c r="K110">
        <v>2.42</v>
      </c>
    </row>
    <row r="111" spans="1:11" x14ac:dyDescent="0.3">
      <c r="A111">
        <v>69</v>
      </c>
      <c r="B111" t="s">
        <v>30</v>
      </c>
      <c r="C111">
        <v>106</v>
      </c>
      <c r="D111" t="s">
        <v>12</v>
      </c>
      <c r="E111" t="s">
        <v>11</v>
      </c>
      <c r="F111">
        <v>16</v>
      </c>
      <c r="G111">
        <v>14.05</v>
      </c>
      <c r="H111">
        <v>-25.63</v>
      </c>
      <c r="I111">
        <v>-0.96790699999999996</v>
      </c>
      <c r="J111">
        <v>0.70769499999999996</v>
      </c>
      <c r="K111">
        <v>-0.18</v>
      </c>
    </row>
    <row r="112" spans="1:11" x14ac:dyDescent="0.3">
      <c r="A112">
        <v>28</v>
      </c>
      <c r="B112" t="s">
        <v>30</v>
      </c>
      <c r="C112">
        <v>106</v>
      </c>
      <c r="D112" t="s">
        <v>12</v>
      </c>
      <c r="E112" t="s">
        <v>11</v>
      </c>
      <c r="F112">
        <v>16</v>
      </c>
      <c r="G112">
        <v>14.23</v>
      </c>
      <c r="H112">
        <v>-25.65</v>
      </c>
      <c r="I112">
        <v>-0.28551100000000001</v>
      </c>
      <c r="J112">
        <v>1.843658</v>
      </c>
      <c r="K112">
        <v>-0.37</v>
      </c>
    </row>
    <row r="113" spans="1:20" x14ac:dyDescent="0.3">
      <c r="A113">
        <v>44</v>
      </c>
      <c r="B113" t="s">
        <v>30</v>
      </c>
      <c r="C113">
        <v>106</v>
      </c>
      <c r="D113" t="s">
        <v>12</v>
      </c>
      <c r="E113" t="s">
        <v>11</v>
      </c>
      <c r="F113">
        <v>16</v>
      </c>
      <c r="G113">
        <v>14.14</v>
      </c>
      <c r="H113">
        <v>-25.71</v>
      </c>
      <c r="I113">
        <v>-0.53362270000000001</v>
      </c>
      <c r="J113">
        <v>1.233231</v>
      </c>
      <c r="K113">
        <v>0.24</v>
      </c>
    </row>
    <row r="114" spans="1:20" x14ac:dyDescent="0.3">
      <c r="A114">
        <v>1</v>
      </c>
      <c r="B114" t="s">
        <v>30</v>
      </c>
      <c r="C114">
        <v>106</v>
      </c>
      <c r="D114" t="s">
        <v>12</v>
      </c>
      <c r="E114" t="s">
        <v>11</v>
      </c>
      <c r="F114">
        <v>16</v>
      </c>
      <c r="G114">
        <v>14.95</v>
      </c>
      <c r="H114">
        <v>-25.74</v>
      </c>
      <c r="I114">
        <v>-0.1185036</v>
      </c>
      <c r="J114">
        <v>1.7886850000000001</v>
      </c>
      <c r="K114">
        <v>-0.37</v>
      </c>
      <c r="N114">
        <f>AVERAGE(G114:G625)</f>
        <v>14.378</v>
      </c>
      <c r="O114">
        <f>STDEV(G114:G625)</f>
        <v>0.3335932320123482</v>
      </c>
      <c r="P114">
        <f>ROUND(N114 + 2, 1)</f>
        <v>16.399999999999999</v>
      </c>
      <c r="Q114">
        <f>ROUND(N114 -2, 1)</f>
        <v>12.4</v>
      </c>
      <c r="R114">
        <f>(P114-N114)/(3*O114)</f>
        <v>2.0204246828816088</v>
      </c>
      <c r="S114">
        <f>(N114-Q114)/(3*O114)</f>
        <v>1.9764589627793396</v>
      </c>
      <c r="T114">
        <f>MIN(R114,S114)</f>
        <v>1.9764589627793396</v>
      </c>
    </row>
    <row r="115" spans="1:20" x14ac:dyDescent="0.3">
      <c r="A115">
        <v>3</v>
      </c>
      <c r="B115" t="s">
        <v>30</v>
      </c>
      <c r="C115">
        <v>106</v>
      </c>
      <c r="D115" t="s">
        <v>12</v>
      </c>
      <c r="E115" t="s">
        <v>11</v>
      </c>
      <c r="F115">
        <v>16</v>
      </c>
      <c r="G115">
        <v>14.55</v>
      </c>
      <c r="H115">
        <v>-25.74</v>
      </c>
      <c r="I115">
        <v>-3.8338739999999998</v>
      </c>
      <c r="J115">
        <v>-1.721001</v>
      </c>
      <c r="K115">
        <v>-0.65</v>
      </c>
    </row>
    <row r="116" spans="1:20" x14ac:dyDescent="0.3">
      <c r="A116">
        <v>34</v>
      </c>
      <c r="B116" t="s">
        <v>30</v>
      </c>
      <c r="C116">
        <v>106</v>
      </c>
      <c r="D116" t="s">
        <v>12</v>
      </c>
      <c r="E116" t="s">
        <v>11</v>
      </c>
      <c r="F116">
        <v>16</v>
      </c>
      <c r="G116">
        <v>14.69</v>
      </c>
      <c r="H116">
        <v>-25.75</v>
      </c>
      <c r="I116">
        <v>-0.54792399999999997</v>
      </c>
      <c r="J116">
        <v>1.798203</v>
      </c>
      <c r="K116">
        <v>0.8</v>
      </c>
    </row>
    <row r="117" spans="1:20" x14ac:dyDescent="0.3">
      <c r="A117">
        <v>55</v>
      </c>
      <c r="B117" t="s">
        <v>30</v>
      </c>
      <c r="C117">
        <v>106</v>
      </c>
      <c r="D117" t="s">
        <v>12</v>
      </c>
      <c r="E117" t="s">
        <v>11</v>
      </c>
      <c r="F117">
        <v>16</v>
      </c>
      <c r="G117">
        <v>14.07</v>
      </c>
      <c r="H117">
        <v>-25.76</v>
      </c>
      <c r="I117">
        <v>-0.34187319999999999</v>
      </c>
      <c r="J117">
        <v>1.455074</v>
      </c>
      <c r="K117">
        <v>-1.74</v>
      </c>
    </row>
    <row r="118" spans="1:20" x14ac:dyDescent="0.3">
      <c r="A118">
        <v>4</v>
      </c>
      <c r="B118" t="s">
        <v>30</v>
      </c>
      <c r="C118">
        <v>106</v>
      </c>
      <c r="D118" t="s">
        <v>12</v>
      </c>
      <c r="E118" t="s">
        <v>11</v>
      </c>
      <c r="F118">
        <v>16</v>
      </c>
      <c r="G118">
        <v>14.52</v>
      </c>
      <c r="H118">
        <v>-25.77</v>
      </c>
      <c r="I118">
        <v>-0.78805159999999996</v>
      </c>
      <c r="J118">
        <v>1.3047409999999999</v>
      </c>
      <c r="K118">
        <v>-0.43</v>
      </c>
      <c r="M118" s="4"/>
    </row>
    <row r="119" spans="1:20" x14ac:dyDescent="0.3">
      <c r="A119">
        <v>40</v>
      </c>
      <c r="B119" t="s">
        <v>30</v>
      </c>
      <c r="C119">
        <v>106</v>
      </c>
      <c r="D119" t="s">
        <v>12</v>
      </c>
      <c r="E119" t="s">
        <v>11</v>
      </c>
      <c r="F119">
        <v>16</v>
      </c>
      <c r="G119">
        <v>14.19</v>
      </c>
      <c r="H119">
        <v>-25.86</v>
      </c>
      <c r="I119">
        <v>-0.65682600000000002</v>
      </c>
      <c r="J119">
        <v>1.4498899999999999</v>
      </c>
      <c r="K119">
        <v>-1.27</v>
      </c>
    </row>
    <row r="120" spans="1:20" x14ac:dyDescent="0.3">
      <c r="A120">
        <v>43</v>
      </c>
      <c r="B120" t="s">
        <v>30</v>
      </c>
      <c r="C120">
        <v>106</v>
      </c>
      <c r="D120" t="s">
        <v>12</v>
      </c>
      <c r="E120" t="s">
        <v>11</v>
      </c>
      <c r="F120">
        <v>16</v>
      </c>
      <c r="G120">
        <v>14.45</v>
      </c>
      <c r="H120">
        <v>-25.98</v>
      </c>
      <c r="I120">
        <v>-1.538689</v>
      </c>
      <c r="J120">
        <v>0.1092491</v>
      </c>
      <c r="K120">
        <v>0.7</v>
      </c>
    </row>
    <row r="121" spans="1:20" x14ac:dyDescent="0.3">
      <c r="A121">
        <v>62</v>
      </c>
      <c r="B121" t="s">
        <v>30</v>
      </c>
      <c r="C121">
        <v>106</v>
      </c>
      <c r="D121" t="s">
        <v>12</v>
      </c>
      <c r="E121" t="s">
        <v>11</v>
      </c>
      <c r="F121">
        <v>16</v>
      </c>
      <c r="G121">
        <v>13.77</v>
      </c>
      <c r="H121">
        <v>-25.98</v>
      </c>
      <c r="I121">
        <v>-0.50336460000000005</v>
      </c>
      <c r="J121">
        <v>1.667454</v>
      </c>
      <c r="K121">
        <v>-2.0699999999999998</v>
      </c>
    </row>
    <row r="122" spans="1:20" x14ac:dyDescent="0.3">
      <c r="A122">
        <v>31</v>
      </c>
      <c r="B122" t="s">
        <v>30</v>
      </c>
      <c r="C122">
        <v>106</v>
      </c>
      <c r="D122" t="s">
        <v>12</v>
      </c>
      <c r="E122" t="s">
        <v>11</v>
      </c>
      <c r="F122">
        <v>16</v>
      </c>
      <c r="G122">
        <v>14.36</v>
      </c>
      <c r="H122">
        <v>-26.02</v>
      </c>
      <c r="I122" t="s">
        <v>31</v>
      </c>
      <c r="J122" t="s">
        <v>31</v>
      </c>
      <c r="K122">
        <v>-100</v>
      </c>
    </row>
    <row r="123" spans="1:20" x14ac:dyDescent="0.3">
      <c r="A123">
        <v>51</v>
      </c>
      <c r="B123" t="s">
        <v>30</v>
      </c>
      <c r="C123">
        <v>106</v>
      </c>
      <c r="D123" t="s">
        <v>12</v>
      </c>
      <c r="E123" t="s">
        <v>11</v>
      </c>
      <c r="F123">
        <v>16</v>
      </c>
      <c r="G123">
        <v>14.23</v>
      </c>
      <c r="H123">
        <v>-26.48</v>
      </c>
      <c r="I123">
        <v>-2.0277859999999999</v>
      </c>
      <c r="J123">
        <v>-6.0707089999999998E-2</v>
      </c>
      <c r="K123">
        <v>-1.34</v>
      </c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49D8-ADED-4AB3-BA4F-447E42C13D61}">
  <dimension ref="A1:V203"/>
  <sheetViews>
    <sheetView zoomScaleNormal="100" workbookViewId="0">
      <selection activeCell="A17" sqref="A17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2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84</v>
      </c>
      <c r="B2" t="s">
        <v>30</v>
      </c>
      <c r="C2">
        <v>122</v>
      </c>
      <c r="D2" t="s">
        <v>13</v>
      </c>
      <c r="E2" t="s">
        <v>11</v>
      </c>
      <c r="F2">
        <v>16</v>
      </c>
      <c r="G2">
        <v>13.77</v>
      </c>
      <c r="H2">
        <v>-29.45</v>
      </c>
      <c r="I2">
        <v>2.1797219999999999</v>
      </c>
      <c r="J2">
        <v>4.0919460000000001</v>
      </c>
      <c r="K2">
        <v>3.06</v>
      </c>
      <c r="V2">
        <v>0</v>
      </c>
    </row>
    <row r="3" spans="1:22" x14ac:dyDescent="0.3">
      <c r="A3">
        <v>70</v>
      </c>
      <c r="B3" t="s">
        <v>30</v>
      </c>
      <c r="C3">
        <v>122</v>
      </c>
      <c r="D3" t="s">
        <v>13</v>
      </c>
      <c r="E3" t="s">
        <v>11</v>
      </c>
      <c r="F3">
        <v>16</v>
      </c>
      <c r="G3">
        <v>13.95</v>
      </c>
      <c r="H3">
        <v>-29.49</v>
      </c>
      <c r="I3">
        <v>2.086929</v>
      </c>
      <c r="J3">
        <v>4.1640170000000003</v>
      </c>
      <c r="K3">
        <v>7.28</v>
      </c>
      <c r="V3">
        <v>0</v>
      </c>
    </row>
    <row r="4" spans="1:22" x14ac:dyDescent="0.3">
      <c r="A4">
        <v>83</v>
      </c>
      <c r="B4" t="s">
        <v>30</v>
      </c>
      <c r="C4">
        <v>122</v>
      </c>
      <c r="D4" t="s">
        <v>13</v>
      </c>
      <c r="E4" t="s">
        <v>11</v>
      </c>
      <c r="F4">
        <v>16</v>
      </c>
      <c r="G4">
        <v>13.48</v>
      </c>
      <c r="H4">
        <v>-29.61</v>
      </c>
      <c r="I4">
        <v>4.7599030000000004</v>
      </c>
      <c r="J4">
        <v>6.7768170000000003</v>
      </c>
      <c r="K4">
        <v>1.58</v>
      </c>
    </row>
    <row r="5" spans="1:22" x14ac:dyDescent="0.3">
      <c r="A5">
        <v>72</v>
      </c>
      <c r="B5" t="s">
        <v>30</v>
      </c>
      <c r="C5">
        <v>122</v>
      </c>
      <c r="D5" t="s">
        <v>13</v>
      </c>
      <c r="E5" t="s">
        <v>11</v>
      </c>
      <c r="F5">
        <v>16</v>
      </c>
      <c r="G5">
        <v>13.55</v>
      </c>
      <c r="H5">
        <v>-29.75</v>
      </c>
      <c r="I5">
        <v>2.4189219999999998</v>
      </c>
      <c r="J5">
        <v>4.7035939999999998</v>
      </c>
      <c r="K5">
        <v>4.8600000000000003</v>
      </c>
    </row>
    <row r="6" spans="1:22" x14ac:dyDescent="0.3">
      <c r="A6">
        <v>8</v>
      </c>
      <c r="B6" t="s">
        <v>30</v>
      </c>
      <c r="C6">
        <v>122</v>
      </c>
      <c r="D6" t="s">
        <v>13</v>
      </c>
      <c r="E6" t="s">
        <v>11</v>
      </c>
      <c r="F6">
        <v>16</v>
      </c>
      <c r="G6">
        <v>14.32</v>
      </c>
      <c r="H6">
        <v>-29.77</v>
      </c>
      <c r="I6">
        <v>2.146458</v>
      </c>
      <c r="J6">
        <v>4.4078790000000003</v>
      </c>
      <c r="K6">
        <v>3.99</v>
      </c>
    </row>
    <row r="7" spans="1:22" x14ac:dyDescent="0.3">
      <c r="A7">
        <v>26</v>
      </c>
      <c r="B7" t="s">
        <v>30</v>
      </c>
      <c r="C7">
        <v>122</v>
      </c>
      <c r="D7" t="s">
        <v>13</v>
      </c>
      <c r="E7" t="s">
        <v>11</v>
      </c>
      <c r="F7">
        <v>16</v>
      </c>
      <c r="G7">
        <v>13.96</v>
      </c>
      <c r="H7">
        <v>-29.82</v>
      </c>
      <c r="I7">
        <v>1.668285</v>
      </c>
      <c r="J7">
        <v>4.0013579999999997</v>
      </c>
      <c r="K7">
        <v>3.91</v>
      </c>
    </row>
    <row r="8" spans="1:22" x14ac:dyDescent="0.3">
      <c r="A8">
        <v>67</v>
      </c>
      <c r="B8" t="s">
        <v>30</v>
      </c>
      <c r="C8">
        <v>122</v>
      </c>
      <c r="D8" t="s">
        <v>13</v>
      </c>
      <c r="E8" t="s">
        <v>11</v>
      </c>
      <c r="F8">
        <v>16</v>
      </c>
      <c r="G8">
        <v>14</v>
      </c>
      <c r="H8">
        <v>-29.83</v>
      </c>
      <c r="I8">
        <v>2.8459819999999998</v>
      </c>
      <c r="J8">
        <v>5.6322900000000002</v>
      </c>
      <c r="K8">
        <v>48.86</v>
      </c>
    </row>
    <row r="9" spans="1:22" x14ac:dyDescent="0.3">
      <c r="A9">
        <v>119</v>
      </c>
      <c r="B9" t="s">
        <v>30</v>
      </c>
      <c r="C9">
        <v>122</v>
      </c>
      <c r="D9" t="s">
        <v>13</v>
      </c>
      <c r="E9" t="s">
        <v>11</v>
      </c>
      <c r="F9">
        <v>16</v>
      </c>
      <c r="G9">
        <v>13.86</v>
      </c>
      <c r="H9">
        <v>-29.84</v>
      </c>
      <c r="I9">
        <v>3.5282140000000002</v>
      </c>
      <c r="J9">
        <v>5.7813489999999996</v>
      </c>
      <c r="K9">
        <v>24.5</v>
      </c>
    </row>
    <row r="10" spans="1:22" x14ac:dyDescent="0.3">
      <c r="A10">
        <v>121</v>
      </c>
      <c r="B10" t="s">
        <v>30</v>
      </c>
      <c r="C10">
        <v>122</v>
      </c>
      <c r="D10" t="s">
        <v>13</v>
      </c>
      <c r="E10" t="s">
        <v>11</v>
      </c>
      <c r="F10">
        <v>16</v>
      </c>
      <c r="G10">
        <v>13.92</v>
      </c>
      <c r="H10">
        <v>-29.85</v>
      </c>
      <c r="I10">
        <v>3.022659</v>
      </c>
      <c r="J10">
        <v>5.1097149999999996</v>
      </c>
      <c r="K10">
        <v>4.45</v>
      </c>
    </row>
    <row r="11" spans="1:22" x14ac:dyDescent="0.3">
      <c r="A11">
        <v>24</v>
      </c>
      <c r="B11" t="s">
        <v>30</v>
      </c>
      <c r="C11">
        <v>122</v>
      </c>
      <c r="D11" t="s">
        <v>13</v>
      </c>
      <c r="E11" t="s">
        <v>11</v>
      </c>
      <c r="F11">
        <v>16</v>
      </c>
      <c r="G11">
        <v>13.82</v>
      </c>
      <c r="H11">
        <v>-29.91</v>
      </c>
      <c r="I11">
        <v>1.4810030000000001</v>
      </c>
      <c r="J11">
        <v>4.2527540000000004</v>
      </c>
      <c r="K11">
        <v>8.14</v>
      </c>
    </row>
    <row r="12" spans="1:22" x14ac:dyDescent="0.3">
      <c r="A12">
        <v>61</v>
      </c>
      <c r="B12" t="s">
        <v>30</v>
      </c>
      <c r="C12">
        <v>122</v>
      </c>
      <c r="D12" t="s">
        <v>13</v>
      </c>
      <c r="E12" t="s">
        <v>11</v>
      </c>
      <c r="F12">
        <v>16</v>
      </c>
      <c r="G12">
        <v>13.78</v>
      </c>
      <c r="H12">
        <v>-29.91</v>
      </c>
      <c r="I12">
        <v>3.9067539999999998</v>
      </c>
      <c r="J12">
        <v>5.9374200000000004</v>
      </c>
      <c r="K12">
        <v>-0.08</v>
      </c>
    </row>
    <row r="13" spans="1:22" x14ac:dyDescent="0.3">
      <c r="A13">
        <v>116</v>
      </c>
      <c r="B13" t="s">
        <v>30</v>
      </c>
      <c r="C13">
        <v>122</v>
      </c>
      <c r="D13" t="s">
        <v>13</v>
      </c>
      <c r="E13" t="s">
        <v>11</v>
      </c>
      <c r="F13">
        <v>16</v>
      </c>
      <c r="G13">
        <v>13.83</v>
      </c>
      <c r="H13">
        <v>-29.92</v>
      </c>
      <c r="I13">
        <v>1.941025</v>
      </c>
      <c r="J13">
        <v>4.0487330000000004</v>
      </c>
      <c r="K13">
        <v>7.48</v>
      </c>
    </row>
    <row r="14" spans="1:22" x14ac:dyDescent="0.3">
      <c r="A14">
        <v>120</v>
      </c>
      <c r="B14" t="s">
        <v>30</v>
      </c>
      <c r="C14">
        <v>122</v>
      </c>
      <c r="D14" t="s">
        <v>13</v>
      </c>
      <c r="E14" t="s">
        <v>11</v>
      </c>
      <c r="F14">
        <v>16</v>
      </c>
      <c r="G14">
        <v>13.88</v>
      </c>
      <c r="H14">
        <v>-29.92</v>
      </c>
      <c r="I14">
        <v>1.843853</v>
      </c>
      <c r="J14">
        <v>4.0960270000000003</v>
      </c>
      <c r="K14">
        <v>-0.32</v>
      </c>
    </row>
    <row r="15" spans="1:22" x14ac:dyDescent="0.3">
      <c r="A15">
        <v>110</v>
      </c>
      <c r="B15" t="s">
        <v>30</v>
      </c>
      <c r="C15">
        <v>122</v>
      </c>
      <c r="D15" t="s">
        <v>13</v>
      </c>
      <c r="E15" t="s">
        <v>11</v>
      </c>
      <c r="F15">
        <v>16</v>
      </c>
      <c r="G15">
        <v>13.96</v>
      </c>
      <c r="H15">
        <v>-29.93</v>
      </c>
      <c r="I15">
        <v>3.8677480000000002</v>
      </c>
      <c r="J15">
        <v>6.2096210000000003</v>
      </c>
      <c r="K15">
        <v>4.42</v>
      </c>
    </row>
    <row r="16" spans="1:22" x14ac:dyDescent="0.3">
      <c r="A16">
        <v>106</v>
      </c>
      <c r="B16" t="s">
        <v>30</v>
      </c>
      <c r="C16">
        <v>122</v>
      </c>
      <c r="D16" t="s">
        <v>13</v>
      </c>
      <c r="E16" t="s">
        <v>11</v>
      </c>
      <c r="F16">
        <v>16</v>
      </c>
      <c r="G16">
        <v>14.03</v>
      </c>
      <c r="H16">
        <v>-29.95</v>
      </c>
      <c r="I16">
        <v>3.1377410000000001</v>
      </c>
      <c r="J16">
        <v>5.5448110000000002</v>
      </c>
      <c r="K16">
        <v>7.07</v>
      </c>
    </row>
    <row r="17" spans="1:11" x14ac:dyDescent="0.3">
      <c r="A17">
        <v>5</v>
      </c>
      <c r="B17" t="s">
        <v>30</v>
      </c>
      <c r="C17">
        <v>122</v>
      </c>
      <c r="D17" t="s">
        <v>13</v>
      </c>
      <c r="E17" t="s">
        <v>11</v>
      </c>
      <c r="F17">
        <v>16</v>
      </c>
      <c r="G17">
        <v>14.27</v>
      </c>
      <c r="H17">
        <v>-29.98</v>
      </c>
      <c r="I17">
        <v>3.367191</v>
      </c>
      <c r="J17">
        <v>5.5261189999999996</v>
      </c>
      <c r="K17">
        <v>-0.02</v>
      </c>
    </row>
    <row r="18" spans="1:11" x14ac:dyDescent="0.3">
      <c r="A18">
        <v>108</v>
      </c>
      <c r="B18" t="s">
        <v>30</v>
      </c>
      <c r="C18">
        <v>122</v>
      </c>
      <c r="D18" t="s">
        <v>13</v>
      </c>
      <c r="E18" t="s">
        <v>11</v>
      </c>
      <c r="F18">
        <v>16</v>
      </c>
      <c r="G18">
        <v>14.24</v>
      </c>
      <c r="H18">
        <v>-29.99</v>
      </c>
      <c r="I18">
        <v>3.7641529999999999</v>
      </c>
      <c r="J18">
        <v>5.8872910000000003</v>
      </c>
      <c r="K18">
        <v>2.4</v>
      </c>
    </row>
    <row r="19" spans="1:11" x14ac:dyDescent="0.3">
      <c r="A19">
        <v>10</v>
      </c>
      <c r="B19" t="s">
        <v>30</v>
      </c>
      <c r="C19">
        <v>122</v>
      </c>
      <c r="D19" t="s">
        <v>13</v>
      </c>
      <c r="E19" t="s">
        <v>11</v>
      </c>
      <c r="F19">
        <v>16</v>
      </c>
      <c r="G19">
        <v>14.41</v>
      </c>
      <c r="H19">
        <v>-30.03</v>
      </c>
      <c r="I19">
        <v>1.764786</v>
      </c>
      <c r="J19">
        <v>4.0213200000000002</v>
      </c>
      <c r="K19">
        <v>2.42</v>
      </c>
    </row>
    <row r="20" spans="1:11" x14ac:dyDescent="0.3">
      <c r="A20">
        <v>100</v>
      </c>
      <c r="B20" t="s">
        <v>30</v>
      </c>
      <c r="C20">
        <v>122</v>
      </c>
      <c r="D20" t="s">
        <v>13</v>
      </c>
      <c r="E20" t="s">
        <v>11</v>
      </c>
      <c r="F20">
        <v>16</v>
      </c>
      <c r="G20">
        <v>14.06</v>
      </c>
      <c r="H20">
        <v>-30.04</v>
      </c>
      <c r="I20">
        <v>2.6148069999999999</v>
      </c>
      <c r="J20">
        <v>4.7002940000000004</v>
      </c>
      <c r="K20">
        <v>2.88</v>
      </c>
    </row>
    <row r="21" spans="1:11" x14ac:dyDescent="0.3">
      <c r="A21">
        <v>49</v>
      </c>
      <c r="B21" t="s">
        <v>30</v>
      </c>
      <c r="C21">
        <v>122</v>
      </c>
      <c r="D21" t="s">
        <v>13</v>
      </c>
      <c r="E21" t="s">
        <v>11</v>
      </c>
      <c r="F21">
        <v>16</v>
      </c>
      <c r="G21">
        <v>13.91</v>
      </c>
      <c r="H21">
        <v>-30.05</v>
      </c>
      <c r="I21">
        <v>1.683792</v>
      </c>
      <c r="J21">
        <v>3.690105</v>
      </c>
      <c r="K21">
        <v>3.85</v>
      </c>
    </row>
    <row r="22" spans="1:11" x14ac:dyDescent="0.3">
      <c r="A22">
        <v>78</v>
      </c>
      <c r="B22" t="s">
        <v>30</v>
      </c>
      <c r="C22">
        <v>122</v>
      </c>
      <c r="D22" t="s">
        <v>13</v>
      </c>
      <c r="E22" t="s">
        <v>11</v>
      </c>
      <c r="F22">
        <v>16</v>
      </c>
      <c r="G22">
        <v>14.01</v>
      </c>
      <c r="H22">
        <v>-30.06</v>
      </c>
      <c r="I22">
        <v>4.2681240000000003</v>
      </c>
      <c r="J22">
        <v>6.1680489999999999</v>
      </c>
      <c r="K22">
        <v>0.97</v>
      </c>
    </row>
    <row r="23" spans="1:11" x14ac:dyDescent="0.3">
      <c r="A23">
        <v>88</v>
      </c>
      <c r="B23" t="s">
        <v>30</v>
      </c>
      <c r="C23">
        <v>122</v>
      </c>
      <c r="D23" t="s">
        <v>13</v>
      </c>
      <c r="E23" t="s">
        <v>11</v>
      </c>
      <c r="F23">
        <v>16</v>
      </c>
      <c r="G23">
        <v>13.95</v>
      </c>
      <c r="H23">
        <v>-30.06</v>
      </c>
      <c r="I23">
        <v>2.5606580000000001</v>
      </c>
      <c r="J23">
        <v>4.8722000000000003</v>
      </c>
      <c r="K23">
        <v>1.24</v>
      </c>
    </row>
    <row r="24" spans="1:11" x14ac:dyDescent="0.3">
      <c r="A24">
        <v>82</v>
      </c>
      <c r="B24" t="s">
        <v>30</v>
      </c>
      <c r="C24">
        <v>122</v>
      </c>
      <c r="D24" t="s">
        <v>13</v>
      </c>
      <c r="E24" t="s">
        <v>11</v>
      </c>
      <c r="F24">
        <v>16</v>
      </c>
      <c r="G24">
        <v>14.07</v>
      </c>
      <c r="H24">
        <v>-30.07</v>
      </c>
      <c r="I24">
        <v>3.612762</v>
      </c>
      <c r="J24">
        <v>5.9207729999999996</v>
      </c>
      <c r="K24">
        <v>-0.01</v>
      </c>
    </row>
    <row r="25" spans="1:11" x14ac:dyDescent="0.3">
      <c r="A25">
        <v>117</v>
      </c>
      <c r="B25" t="s">
        <v>30</v>
      </c>
      <c r="C25">
        <v>122</v>
      </c>
      <c r="D25" t="s">
        <v>13</v>
      </c>
      <c r="E25" t="s">
        <v>11</v>
      </c>
      <c r="F25">
        <v>16</v>
      </c>
      <c r="G25">
        <v>13.83</v>
      </c>
      <c r="H25">
        <v>-30.07</v>
      </c>
      <c r="I25">
        <v>4.053833</v>
      </c>
      <c r="J25">
        <v>6.2784040000000001</v>
      </c>
      <c r="K25">
        <v>2.97</v>
      </c>
    </row>
    <row r="26" spans="1:11" x14ac:dyDescent="0.3">
      <c r="A26">
        <v>92</v>
      </c>
      <c r="B26" t="s">
        <v>30</v>
      </c>
      <c r="C26">
        <v>122</v>
      </c>
      <c r="D26" t="s">
        <v>13</v>
      </c>
      <c r="E26" t="s">
        <v>11</v>
      </c>
      <c r="F26">
        <v>16</v>
      </c>
      <c r="G26">
        <v>13.83</v>
      </c>
      <c r="H26">
        <v>-30.08</v>
      </c>
      <c r="I26">
        <v>1.737503</v>
      </c>
      <c r="J26">
        <v>4.0691449999999998</v>
      </c>
      <c r="K26">
        <v>5.43</v>
      </c>
    </row>
    <row r="27" spans="1:11" x14ac:dyDescent="0.3">
      <c r="A27">
        <v>77</v>
      </c>
      <c r="B27" t="s">
        <v>30</v>
      </c>
      <c r="C27">
        <v>122</v>
      </c>
      <c r="D27" t="s">
        <v>13</v>
      </c>
      <c r="E27" t="s">
        <v>11</v>
      </c>
      <c r="F27">
        <v>16</v>
      </c>
      <c r="G27">
        <v>14.17</v>
      </c>
      <c r="H27">
        <v>-30.12</v>
      </c>
      <c r="I27">
        <v>4.4228170000000002</v>
      </c>
      <c r="J27">
        <v>6.7484630000000001</v>
      </c>
      <c r="K27">
        <v>1.1299999999999999</v>
      </c>
    </row>
    <row r="28" spans="1:11" x14ac:dyDescent="0.3">
      <c r="A28">
        <v>7</v>
      </c>
      <c r="B28" t="s">
        <v>30</v>
      </c>
      <c r="C28">
        <v>122</v>
      </c>
      <c r="D28" t="s">
        <v>13</v>
      </c>
      <c r="E28" t="s">
        <v>11</v>
      </c>
      <c r="F28">
        <v>16</v>
      </c>
      <c r="G28">
        <v>14.31</v>
      </c>
      <c r="H28">
        <v>-30.13</v>
      </c>
      <c r="I28">
        <v>2.829723</v>
      </c>
      <c r="J28">
        <v>5.6038129999999997</v>
      </c>
      <c r="K28">
        <v>-1.92</v>
      </c>
    </row>
    <row r="29" spans="1:11" x14ac:dyDescent="0.3">
      <c r="A29">
        <v>85</v>
      </c>
      <c r="B29" t="s">
        <v>30</v>
      </c>
      <c r="C29">
        <v>122</v>
      </c>
      <c r="D29" t="s">
        <v>13</v>
      </c>
      <c r="E29" t="s">
        <v>11</v>
      </c>
      <c r="F29">
        <v>16</v>
      </c>
      <c r="G29">
        <v>14.05</v>
      </c>
      <c r="H29">
        <v>-30.14</v>
      </c>
      <c r="I29">
        <v>3.4116170000000001</v>
      </c>
      <c r="J29">
        <v>5.44503</v>
      </c>
      <c r="K29">
        <v>-0.3</v>
      </c>
    </row>
    <row r="30" spans="1:11" x14ac:dyDescent="0.3">
      <c r="A30">
        <v>112</v>
      </c>
      <c r="B30" t="s">
        <v>30</v>
      </c>
      <c r="C30">
        <v>122</v>
      </c>
      <c r="D30" t="s">
        <v>13</v>
      </c>
      <c r="E30" t="s">
        <v>11</v>
      </c>
      <c r="F30">
        <v>16</v>
      </c>
      <c r="G30">
        <v>14.08</v>
      </c>
      <c r="H30">
        <v>-30.15</v>
      </c>
      <c r="I30">
        <v>1.5191650000000001</v>
      </c>
      <c r="J30">
        <v>3.9012220000000002</v>
      </c>
      <c r="K30">
        <v>6.69</v>
      </c>
    </row>
    <row r="31" spans="1:11" x14ac:dyDescent="0.3">
      <c r="A31">
        <v>33</v>
      </c>
      <c r="B31" t="s">
        <v>30</v>
      </c>
      <c r="C31">
        <v>122</v>
      </c>
      <c r="D31" t="s">
        <v>13</v>
      </c>
      <c r="E31" t="s">
        <v>11</v>
      </c>
      <c r="F31">
        <v>16</v>
      </c>
      <c r="G31">
        <v>13.95</v>
      </c>
      <c r="H31">
        <v>-30.17</v>
      </c>
      <c r="I31">
        <v>-0.28721239999999998</v>
      </c>
      <c r="J31">
        <v>2.3021929999999999</v>
      </c>
      <c r="K31">
        <v>2.77</v>
      </c>
    </row>
    <row r="32" spans="1:11" x14ac:dyDescent="0.3">
      <c r="A32">
        <v>91</v>
      </c>
      <c r="B32" t="s">
        <v>30</v>
      </c>
      <c r="C32">
        <v>122</v>
      </c>
      <c r="D32" t="s">
        <v>13</v>
      </c>
      <c r="E32" t="s">
        <v>11</v>
      </c>
      <c r="F32">
        <v>16</v>
      </c>
      <c r="G32">
        <v>13.86</v>
      </c>
      <c r="H32">
        <v>-30.17</v>
      </c>
      <c r="I32">
        <v>3.1167760000000002</v>
      </c>
      <c r="J32">
        <v>5.2152250000000002</v>
      </c>
      <c r="K32">
        <v>4.0199999999999996</v>
      </c>
    </row>
    <row r="33" spans="1:20" x14ac:dyDescent="0.3">
      <c r="A33">
        <v>99</v>
      </c>
      <c r="B33" t="s">
        <v>30</v>
      </c>
      <c r="C33">
        <v>122</v>
      </c>
      <c r="D33" t="s">
        <v>13</v>
      </c>
      <c r="E33" t="s">
        <v>11</v>
      </c>
      <c r="F33">
        <v>16</v>
      </c>
      <c r="G33">
        <v>13.95</v>
      </c>
      <c r="H33">
        <v>-30.18</v>
      </c>
      <c r="I33">
        <v>2.40361</v>
      </c>
      <c r="J33">
        <v>4.7206190000000001</v>
      </c>
      <c r="K33">
        <v>0.31</v>
      </c>
    </row>
    <row r="34" spans="1:20" x14ac:dyDescent="0.3">
      <c r="A34">
        <v>107</v>
      </c>
      <c r="B34" t="s">
        <v>30</v>
      </c>
      <c r="C34">
        <v>122</v>
      </c>
      <c r="D34" t="s">
        <v>13</v>
      </c>
      <c r="E34" t="s">
        <v>11</v>
      </c>
      <c r="F34">
        <v>16</v>
      </c>
      <c r="G34">
        <v>14.29</v>
      </c>
      <c r="H34">
        <v>-30.18</v>
      </c>
      <c r="I34">
        <v>2.0212140000000001</v>
      </c>
      <c r="J34">
        <v>2.4900359999999999</v>
      </c>
      <c r="K34">
        <v>0.52</v>
      </c>
    </row>
    <row r="35" spans="1:20" x14ac:dyDescent="0.3">
      <c r="A35">
        <v>86</v>
      </c>
      <c r="B35" t="s">
        <v>30</v>
      </c>
      <c r="C35">
        <v>122</v>
      </c>
      <c r="D35" t="s">
        <v>13</v>
      </c>
      <c r="E35" t="s">
        <v>11</v>
      </c>
      <c r="F35">
        <v>16</v>
      </c>
      <c r="G35">
        <v>13.62</v>
      </c>
      <c r="H35">
        <v>-30.19</v>
      </c>
      <c r="I35">
        <v>3.1164510000000001</v>
      </c>
      <c r="J35">
        <v>5.2255969999999996</v>
      </c>
      <c r="K35">
        <v>-1.06</v>
      </c>
    </row>
    <row r="36" spans="1:20" x14ac:dyDescent="0.3">
      <c r="A36">
        <v>22</v>
      </c>
      <c r="B36" t="s">
        <v>30</v>
      </c>
      <c r="C36">
        <v>122</v>
      </c>
      <c r="D36" t="s">
        <v>13</v>
      </c>
      <c r="E36" t="s">
        <v>11</v>
      </c>
      <c r="F36">
        <v>16</v>
      </c>
      <c r="G36">
        <v>14.14</v>
      </c>
      <c r="H36">
        <v>-30.22</v>
      </c>
      <c r="I36">
        <v>2.4085239999999999</v>
      </c>
      <c r="J36">
        <v>4.8054959999999998</v>
      </c>
      <c r="K36">
        <v>-0.81</v>
      </c>
    </row>
    <row r="37" spans="1:20" x14ac:dyDescent="0.3">
      <c r="A37">
        <v>80</v>
      </c>
      <c r="B37" t="s">
        <v>30</v>
      </c>
      <c r="C37">
        <v>122</v>
      </c>
      <c r="D37" t="s">
        <v>13</v>
      </c>
      <c r="E37" t="s">
        <v>11</v>
      </c>
      <c r="F37">
        <v>16</v>
      </c>
      <c r="G37">
        <v>14.22</v>
      </c>
      <c r="H37">
        <v>-30.22</v>
      </c>
      <c r="I37">
        <v>3.8356509999999999</v>
      </c>
      <c r="J37">
        <v>5.9446219999999999</v>
      </c>
      <c r="K37">
        <v>0.72</v>
      </c>
    </row>
    <row r="38" spans="1:20" x14ac:dyDescent="0.3">
      <c r="A38">
        <v>87</v>
      </c>
      <c r="B38" t="s">
        <v>30</v>
      </c>
      <c r="C38">
        <v>122</v>
      </c>
      <c r="D38" t="s">
        <v>13</v>
      </c>
      <c r="E38" t="s">
        <v>11</v>
      </c>
      <c r="F38">
        <v>16</v>
      </c>
      <c r="G38">
        <v>13.82</v>
      </c>
      <c r="H38">
        <v>-30.22</v>
      </c>
      <c r="I38">
        <v>2.4357190000000002</v>
      </c>
      <c r="J38">
        <v>4.8014830000000002</v>
      </c>
      <c r="K38">
        <v>-1.17</v>
      </c>
    </row>
    <row r="39" spans="1:20" x14ac:dyDescent="0.3">
      <c r="A39">
        <v>17</v>
      </c>
      <c r="B39" t="s">
        <v>30</v>
      </c>
      <c r="C39">
        <v>122</v>
      </c>
      <c r="D39" t="s">
        <v>13</v>
      </c>
      <c r="E39" t="s">
        <v>11</v>
      </c>
      <c r="F39">
        <v>16</v>
      </c>
      <c r="G39">
        <v>14.48</v>
      </c>
      <c r="H39">
        <v>-30.23</v>
      </c>
      <c r="I39">
        <v>2.1372179999999998</v>
      </c>
      <c r="J39">
        <v>4.2389530000000004</v>
      </c>
      <c r="K39">
        <v>2.4500000000000002</v>
      </c>
    </row>
    <row r="40" spans="1:20" x14ac:dyDescent="0.3">
      <c r="A40">
        <v>29</v>
      </c>
      <c r="B40" t="s">
        <v>30</v>
      </c>
      <c r="C40">
        <v>122</v>
      </c>
      <c r="D40" t="s">
        <v>13</v>
      </c>
      <c r="E40" t="s">
        <v>11</v>
      </c>
      <c r="F40">
        <v>16</v>
      </c>
      <c r="G40">
        <v>14.07</v>
      </c>
      <c r="H40">
        <v>-30.24</v>
      </c>
      <c r="I40">
        <v>1.7731399999999999</v>
      </c>
      <c r="J40">
        <v>4.0735440000000001</v>
      </c>
      <c r="K40">
        <v>4.4000000000000004</v>
      </c>
    </row>
    <row r="41" spans="1:20" x14ac:dyDescent="0.3">
      <c r="A41">
        <v>16</v>
      </c>
      <c r="B41" t="s">
        <v>30</v>
      </c>
      <c r="C41">
        <v>122</v>
      </c>
      <c r="D41" t="s">
        <v>13</v>
      </c>
      <c r="E41" t="s">
        <v>11</v>
      </c>
      <c r="F41">
        <v>16</v>
      </c>
      <c r="G41">
        <v>13.91</v>
      </c>
      <c r="H41">
        <v>-30.25</v>
      </c>
      <c r="I41">
        <v>1.850471</v>
      </c>
      <c r="J41">
        <v>4.4887199999999998</v>
      </c>
      <c r="K41">
        <v>1.42</v>
      </c>
    </row>
    <row r="42" spans="1:20" x14ac:dyDescent="0.3">
      <c r="A42">
        <v>75</v>
      </c>
      <c r="B42" t="s">
        <v>30</v>
      </c>
      <c r="C42">
        <v>122</v>
      </c>
      <c r="D42" t="s">
        <v>13</v>
      </c>
      <c r="E42" t="s">
        <v>11</v>
      </c>
      <c r="F42">
        <v>16</v>
      </c>
      <c r="G42">
        <v>14</v>
      </c>
      <c r="H42">
        <v>-30.25</v>
      </c>
      <c r="I42">
        <v>3.2181470000000001</v>
      </c>
      <c r="J42">
        <v>5.4100489999999999</v>
      </c>
      <c r="K42">
        <v>-0.99</v>
      </c>
    </row>
    <row r="43" spans="1:20" x14ac:dyDescent="0.3">
      <c r="A43">
        <v>2</v>
      </c>
      <c r="B43" t="s">
        <v>30</v>
      </c>
      <c r="C43">
        <v>122</v>
      </c>
      <c r="D43" t="s">
        <v>13</v>
      </c>
      <c r="E43" t="s">
        <v>11</v>
      </c>
      <c r="F43">
        <v>16</v>
      </c>
      <c r="G43">
        <v>14.75</v>
      </c>
      <c r="H43">
        <v>-30.27</v>
      </c>
      <c r="I43">
        <v>1.876244</v>
      </c>
      <c r="J43">
        <v>4.1674879999999996</v>
      </c>
      <c r="K43">
        <v>0.62</v>
      </c>
      <c r="N43">
        <f>AVERAGE(H42:H553)</f>
        <v>-30.732439024390239</v>
      </c>
      <c r="O43">
        <f>STDEV(H42:H553)</f>
        <v>0.44368424145175211</v>
      </c>
      <c r="P43">
        <f>ROUND(N43 + 2, 1)</f>
        <v>-28.7</v>
      </c>
      <c r="Q43">
        <f>ROUND(N43 -2, 1)</f>
        <v>-32.700000000000003</v>
      </c>
      <c r="R43">
        <f>(P43-N43)/(3*O43)</f>
        <v>1.5269410348675143</v>
      </c>
      <c r="S43">
        <f>(N43-Q43)/(3*O43)</f>
        <v>1.4781991273582522</v>
      </c>
      <c r="T43">
        <f>MIN(R43,S43)</f>
        <v>1.4781991273582522</v>
      </c>
    </row>
    <row r="44" spans="1:20" x14ac:dyDescent="0.3">
      <c r="A44">
        <v>103</v>
      </c>
      <c r="B44" t="s">
        <v>30</v>
      </c>
      <c r="C44">
        <v>122</v>
      </c>
      <c r="D44" t="s">
        <v>13</v>
      </c>
      <c r="E44" t="s">
        <v>11</v>
      </c>
      <c r="F44">
        <v>16</v>
      </c>
      <c r="G44">
        <v>14.02</v>
      </c>
      <c r="H44">
        <v>-30.27</v>
      </c>
      <c r="I44">
        <v>1.281479</v>
      </c>
      <c r="J44">
        <v>3.5319060000000002</v>
      </c>
      <c r="K44">
        <v>0.13</v>
      </c>
    </row>
    <row r="45" spans="1:20" x14ac:dyDescent="0.3">
      <c r="A45">
        <v>18</v>
      </c>
      <c r="B45" t="s">
        <v>30</v>
      </c>
      <c r="C45">
        <v>122</v>
      </c>
      <c r="D45" t="s">
        <v>13</v>
      </c>
      <c r="E45" t="s">
        <v>11</v>
      </c>
      <c r="F45">
        <v>16</v>
      </c>
      <c r="G45">
        <v>14.26</v>
      </c>
      <c r="H45">
        <v>-30.28</v>
      </c>
      <c r="I45">
        <v>1.9540820000000001</v>
      </c>
      <c r="J45">
        <v>4.0342060000000002</v>
      </c>
      <c r="K45">
        <v>1.53</v>
      </c>
    </row>
    <row r="46" spans="1:20" x14ac:dyDescent="0.3">
      <c r="A46">
        <v>59</v>
      </c>
      <c r="B46" t="s">
        <v>30</v>
      </c>
      <c r="C46">
        <v>122</v>
      </c>
      <c r="D46" t="s">
        <v>13</v>
      </c>
      <c r="E46" t="s">
        <v>11</v>
      </c>
      <c r="F46">
        <v>16</v>
      </c>
      <c r="G46">
        <v>13.65</v>
      </c>
      <c r="H46">
        <v>-30.28</v>
      </c>
      <c r="I46">
        <v>2.5614089999999998</v>
      </c>
      <c r="J46">
        <v>4.5010950000000003</v>
      </c>
      <c r="K46">
        <v>1.1599999999999999</v>
      </c>
    </row>
    <row r="47" spans="1:20" x14ac:dyDescent="0.3">
      <c r="A47">
        <v>42</v>
      </c>
      <c r="B47" t="s">
        <v>30</v>
      </c>
      <c r="C47">
        <v>122</v>
      </c>
      <c r="D47" t="s">
        <v>13</v>
      </c>
      <c r="E47" t="s">
        <v>11</v>
      </c>
      <c r="F47">
        <v>16</v>
      </c>
      <c r="G47">
        <v>13.77</v>
      </c>
      <c r="H47">
        <v>-30.29</v>
      </c>
      <c r="I47">
        <v>2.3262749999999999</v>
      </c>
      <c r="J47">
        <v>4.6637230000000001</v>
      </c>
      <c r="K47">
        <v>2.0299999999999998</v>
      </c>
    </row>
    <row r="48" spans="1:20" x14ac:dyDescent="0.3">
      <c r="A48">
        <v>60</v>
      </c>
      <c r="B48" t="s">
        <v>30</v>
      </c>
      <c r="C48">
        <v>122</v>
      </c>
      <c r="D48" t="s">
        <v>13</v>
      </c>
      <c r="E48" t="s">
        <v>11</v>
      </c>
      <c r="F48">
        <v>16</v>
      </c>
      <c r="G48">
        <v>13.88</v>
      </c>
      <c r="H48">
        <v>-30.3</v>
      </c>
      <c r="I48">
        <v>2.2581899999999999</v>
      </c>
      <c r="J48">
        <v>4.4538460000000004</v>
      </c>
      <c r="K48">
        <v>2.2200000000000002</v>
      </c>
    </row>
    <row r="49" spans="1:11" x14ac:dyDescent="0.3">
      <c r="A49">
        <v>9</v>
      </c>
      <c r="B49" t="s">
        <v>30</v>
      </c>
      <c r="C49">
        <v>122</v>
      </c>
      <c r="D49" t="s">
        <v>13</v>
      </c>
      <c r="E49" t="s">
        <v>11</v>
      </c>
      <c r="F49">
        <v>16</v>
      </c>
      <c r="G49">
        <v>14.53</v>
      </c>
      <c r="H49">
        <v>-30.32</v>
      </c>
      <c r="I49">
        <v>2.6191939999999998</v>
      </c>
      <c r="J49">
        <v>4.8926850000000002</v>
      </c>
      <c r="K49">
        <v>0.76</v>
      </c>
    </row>
    <row r="50" spans="1:11" x14ac:dyDescent="0.3">
      <c r="A50">
        <v>89</v>
      </c>
      <c r="B50" t="s">
        <v>30</v>
      </c>
      <c r="C50">
        <v>122</v>
      </c>
      <c r="D50" t="s">
        <v>13</v>
      </c>
      <c r="E50" t="s">
        <v>11</v>
      </c>
      <c r="F50">
        <v>16</v>
      </c>
      <c r="G50">
        <v>13.88</v>
      </c>
      <c r="H50">
        <v>-30.32</v>
      </c>
      <c r="I50">
        <v>2.5040629999999999</v>
      </c>
      <c r="J50">
        <v>4.7839200000000002</v>
      </c>
      <c r="K50">
        <v>1.68</v>
      </c>
    </row>
    <row r="51" spans="1:11" x14ac:dyDescent="0.3">
      <c r="A51">
        <v>71</v>
      </c>
      <c r="B51" t="s">
        <v>30</v>
      </c>
      <c r="C51">
        <v>122</v>
      </c>
      <c r="D51" t="s">
        <v>13</v>
      </c>
      <c r="E51" t="s">
        <v>11</v>
      </c>
      <c r="F51">
        <v>16</v>
      </c>
      <c r="G51">
        <v>13.58</v>
      </c>
      <c r="H51">
        <v>-30.33</v>
      </c>
      <c r="I51">
        <v>3.200485</v>
      </c>
      <c r="J51">
        <v>5.2011529999999997</v>
      </c>
      <c r="K51">
        <v>-1.59</v>
      </c>
    </row>
    <row r="52" spans="1:11" x14ac:dyDescent="0.3">
      <c r="A52">
        <v>3</v>
      </c>
      <c r="B52" t="s">
        <v>30</v>
      </c>
      <c r="C52">
        <v>122</v>
      </c>
      <c r="D52" t="s">
        <v>13</v>
      </c>
      <c r="E52" t="s">
        <v>11</v>
      </c>
      <c r="F52">
        <v>16</v>
      </c>
      <c r="G52">
        <v>13.92</v>
      </c>
      <c r="H52">
        <v>-30.34</v>
      </c>
      <c r="I52">
        <v>-2.750931</v>
      </c>
      <c r="J52">
        <v>-0.67532349999999997</v>
      </c>
      <c r="K52">
        <v>-0.6</v>
      </c>
    </row>
    <row r="53" spans="1:11" x14ac:dyDescent="0.3">
      <c r="A53">
        <v>90</v>
      </c>
      <c r="B53" t="s">
        <v>30</v>
      </c>
      <c r="C53">
        <v>122</v>
      </c>
      <c r="D53" t="s">
        <v>13</v>
      </c>
      <c r="E53" t="s">
        <v>11</v>
      </c>
      <c r="F53">
        <v>16</v>
      </c>
      <c r="G53">
        <v>13.97</v>
      </c>
      <c r="H53">
        <v>-30.34</v>
      </c>
      <c r="I53">
        <v>1.5444370000000001</v>
      </c>
      <c r="J53">
        <v>3.6841279999999998</v>
      </c>
      <c r="K53">
        <v>0.35</v>
      </c>
    </row>
    <row r="54" spans="1:11" x14ac:dyDescent="0.3">
      <c r="A54">
        <v>104</v>
      </c>
      <c r="B54" t="s">
        <v>30</v>
      </c>
      <c r="C54">
        <v>122</v>
      </c>
      <c r="D54" t="s">
        <v>13</v>
      </c>
      <c r="E54" t="s">
        <v>11</v>
      </c>
      <c r="F54">
        <v>16</v>
      </c>
      <c r="G54">
        <v>14.28</v>
      </c>
      <c r="H54">
        <v>-30.34</v>
      </c>
      <c r="I54">
        <v>1.9487950000000001</v>
      </c>
      <c r="J54">
        <v>4.6483150000000002</v>
      </c>
      <c r="K54">
        <v>32.86</v>
      </c>
    </row>
    <row r="55" spans="1:11" x14ac:dyDescent="0.3">
      <c r="A55">
        <v>105</v>
      </c>
      <c r="B55" t="s">
        <v>30</v>
      </c>
      <c r="C55">
        <v>122</v>
      </c>
      <c r="D55" t="s">
        <v>13</v>
      </c>
      <c r="E55" t="s">
        <v>11</v>
      </c>
      <c r="F55">
        <v>16</v>
      </c>
      <c r="G55">
        <v>13.96</v>
      </c>
      <c r="H55">
        <v>-30.34</v>
      </c>
      <c r="I55">
        <v>2.2558630000000002</v>
      </c>
      <c r="J55">
        <v>4.1421130000000002</v>
      </c>
      <c r="K55">
        <v>0.23</v>
      </c>
    </row>
    <row r="56" spans="1:11" x14ac:dyDescent="0.3">
      <c r="A56">
        <v>73</v>
      </c>
      <c r="B56" t="s">
        <v>30</v>
      </c>
      <c r="C56">
        <v>122</v>
      </c>
      <c r="D56" t="s">
        <v>13</v>
      </c>
      <c r="E56" t="s">
        <v>11</v>
      </c>
      <c r="F56">
        <v>16</v>
      </c>
      <c r="G56">
        <v>14.1</v>
      </c>
      <c r="H56">
        <v>-30.35</v>
      </c>
      <c r="I56">
        <v>2.089188</v>
      </c>
      <c r="J56">
        <v>4.0804520000000002</v>
      </c>
      <c r="K56">
        <v>0.57999999999999996</v>
      </c>
    </row>
    <row r="57" spans="1:11" x14ac:dyDescent="0.3">
      <c r="A57">
        <v>76</v>
      </c>
      <c r="B57" t="s">
        <v>30</v>
      </c>
      <c r="C57">
        <v>122</v>
      </c>
      <c r="D57" t="s">
        <v>13</v>
      </c>
      <c r="E57" t="s">
        <v>11</v>
      </c>
      <c r="F57">
        <v>16</v>
      </c>
      <c r="G57">
        <v>14.03</v>
      </c>
      <c r="H57">
        <v>-30.35</v>
      </c>
      <c r="I57">
        <v>2.66011</v>
      </c>
      <c r="J57">
        <v>4.9761810000000004</v>
      </c>
      <c r="K57">
        <v>0.35</v>
      </c>
    </row>
    <row r="58" spans="1:11" x14ac:dyDescent="0.3">
      <c r="A58">
        <v>79</v>
      </c>
      <c r="B58" t="s">
        <v>30</v>
      </c>
      <c r="C58">
        <v>122</v>
      </c>
      <c r="D58" t="s">
        <v>13</v>
      </c>
      <c r="E58" t="s">
        <v>11</v>
      </c>
      <c r="F58">
        <v>16</v>
      </c>
      <c r="G58">
        <v>13.97</v>
      </c>
      <c r="H58">
        <v>-30.36</v>
      </c>
      <c r="I58">
        <v>2.7109109999999998</v>
      </c>
      <c r="J58">
        <v>5.0730060000000003</v>
      </c>
      <c r="K58">
        <v>1.34</v>
      </c>
    </row>
    <row r="59" spans="1:11" x14ac:dyDescent="0.3">
      <c r="A59">
        <v>109</v>
      </c>
      <c r="B59" t="s">
        <v>30</v>
      </c>
      <c r="C59">
        <v>122</v>
      </c>
      <c r="D59" t="s">
        <v>13</v>
      </c>
      <c r="E59" t="s">
        <v>11</v>
      </c>
      <c r="F59">
        <v>16</v>
      </c>
      <c r="G59">
        <v>13.91</v>
      </c>
      <c r="H59">
        <v>-30.37</v>
      </c>
      <c r="I59">
        <v>2.807785</v>
      </c>
      <c r="J59">
        <v>5.2228389999999996</v>
      </c>
      <c r="K59">
        <v>1.28</v>
      </c>
    </row>
    <row r="60" spans="1:11" x14ac:dyDescent="0.3">
      <c r="A60">
        <v>114</v>
      </c>
      <c r="B60" t="s">
        <v>30</v>
      </c>
      <c r="C60">
        <v>122</v>
      </c>
      <c r="D60" t="s">
        <v>13</v>
      </c>
      <c r="E60" t="s">
        <v>11</v>
      </c>
      <c r="F60">
        <v>16</v>
      </c>
      <c r="G60">
        <v>13.96</v>
      </c>
      <c r="H60">
        <v>-30.37</v>
      </c>
      <c r="I60">
        <v>1.396271</v>
      </c>
      <c r="J60">
        <v>3.7697560000000001</v>
      </c>
      <c r="K60">
        <v>2.44</v>
      </c>
    </row>
    <row r="61" spans="1:11" x14ac:dyDescent="0.3">
      <c r="A61">
        <v>14</v>
      </c>
      <c r="B61" t="s">
        <v>30</v>
      </c>
      <c r="C61">
        <v>122</v>
      </c>
      <c r="D61" t="s">
        <v>13</v>
      </c>
      <c r="E61" t="s">
        <v>11</v>
      </c>
      <c r="F61">
        <v>16</v>
      </c>
      <c r="G61">
        <v>14.04</v>
      </c>
      <c r="H61">
        <v>-30.38</v>
      </c>
      <c r="I61">
        <v>3.0477259999999999</v>
      </c>
      <c r="J61">
        <v>5.180294</v>
      </c>
      <c r="K61">
        <v>-0.02</v>
      </c>
    </row>
    <row r="62" spans="1:11" x14ac:dyDescent="0.3">
      <c r="A62">
        <v>48</v>
      </c>
      <c r="B62" t="s">
        <v>30</v>
      </c>
      <c r="C62">
        <v>122</v>
      </c>
      <c r="D62" t="s">
        <v>13</v>
      </c>
      <c r="E62" t="s">
        <v>11</v>
      </c>
      <c r="F62">
        <v>16</v>
      </c>
      <c r="G62">
        <v>14.04</v>
      </c>
      <c r="H62">
        <v>-30.38</v>
      </c>
      <c r="I62">
        <v>2.1215670000000002</v>
      </c>
      <c r="J62">
        <v>4.4621659999999999</v>
      </c>
      <c r="K62">
        <v>11.57</v>
      </c>
    </row>
    <row r="63" spans="1:11" x14ac:dyDescent="0.3">
      <c r="A63">
        <v>64</v>
      </c>
      <c r="B63" t="s">
        <v>30</v>
      </c>
      <c r="C63">
        <v>122</v>
      </c>
      <c r="D63" t="s">
        <v>13</v>
      </c>
      <c r="E63" t="s">
        <v>11</v>
      </c>
      <c r="F63">
        <v>16</v>
      </c>
      <c r="G63">
        <v>13.91</v>
      </c>
      <c r="H63">
        <v>-30.38</v>
      </c>
      <c r="I63">
        <v>1.444504</v>
      </c>
      <c r="J63">
        <v>3.66256</v>
      </c>
      <c r="K63">
        <v>0.25</v>
      </c>
    </row>
    <row r="64" spans="1:11" x14ac:dyDescent="0.3">
      <c r="A64">
        <v>81</v>
      </c>
      <c r="B64" t="s">
        <v>30</v>
      </c>
      <c r="C64">
        <v>122</v>
      </c>
      <c r="D64" t="s">
        <v>13</v>
      </c>
      <c r="E64" t="s">
        <v>11</v>
      </c>
      <c r="F64">
        <v>16</v>
      </c>
      <c r="G64">
        <v>14.06</v>
      </c>
      <c r="H64">
        <v>-30.38</v>
      </c>
      <c r="I64" t="s">
        <v>31</v>
      </c>
      <c r="J64" t="s">
        <v>31</v>
      </c>
      <c r="K64">
        <v>-100</v>
      </c>
    </row>
    <row r="65" spans="1:11" x14ac:dyDescent="0.3">
      <c r="A65">
        <v>20</v>
      </c>
      <c r="B65" t="s">
        <v>30</v>
      </c>
      <c r="C65">
        <v>122</v>
      </c>
      <c r="D65" t="s">
        <v>13</v>
      </c>
      <c r="E65" t="s">
        <v>11</v>
      </c>
      <c r="F65">
        <v>16</v>
      </c>
      <c r="G65">
        <v>14.1</v>
      </c>
      <c r="H65">
        <v>-30.39</v>
      </c>
      <c r="I65">
        <v>5.0638690000000004</v>
      </c>
      <c r="J65">
        <v>5.0638690000000004</v>
      </c>
      <c r="K65">
        <v>0.09</v>
      </c>
    </row>
    <row r="66" spans="1:11" x14ac:dyDescent="0.3">
      <c r="A66">
        <v>6</v>
      </c>
      <c r="B66" t="s">
        <v>30</v>
      </c>
      <c r="C66">
        <v>122</v>
      </c>
      <c r="D66" t="s">
        <v>13</v>
      </c>
      <c r="E66" t="s">
        <v>11</v>
      </c>
      <c r="F66">
        <v>16</v>
      </c>
      <c r="G66">
        <v>14.24</v>
      </c>
      <c r="H66">
        <v>-30.4</v>
      </c>
      <c r="I66">
        <v>1.942715</v>
      </c>
      <c r="J66">
        <v>4.2710720000000002</v>
      </c>
      <c r="K66">
        <v>-0.45</v>
      </c>
    </row>
    <row r="67" spans="1:11" x14ac:dyDescent="0.3">
      <c r="A67">
        <v>57</v>
      </c>
      <c r="B67" t="s">
        <v>30</v>
      </c>
      <c r="C67">
        <v>122</v>
      </c>
      <c r="D67" t="s">
        <v>13</v>
      </c>
      <c r="E67" t="s">
        <v>11</v>
      </c>
      <c r="F67">
        <v>16</v>
      </c>
      <c r="G67">
        <v>13.92</v>
      </c>
      <c r="H67">
        <v>-30.4</v>
      </c>
      <c r="I67">
        <v>1.9994510000000001</v>
      </c>
      <c r="J67">
        <v>4.5588759999999997</v>
      </c>
      <c r="K67">
        <v>-0.28000000000000003</v>
      </c>
    </row>
    <row r="68" spans="1:11" x14ac:dyDescent="0.3">
      <c r="A68">
        <v>94</v>
      </c>
      <c r="B68" t="s">
        <v>30</v>
      </c>
      <c r="C68">
        <v>122</v>
      </c>
      <c r="D68" t="s">
        <v>13</v>
      </c>
      <c r="E68" t="s">
        <v>11</v>
      </c>
      <c r="F68">
        <v>16</v>
      </c>
      <c r="G68">
        <v>13.93</v>
      </c>
      <c r="H68">
        <v>-30.4</v>
      </c>
      <c r="I68">
        <v>1.748772</v>
      </c>
      <c r="J68">
        <v>4.1156350000000002</v>
      </c>
      <c r="K68">
        <v>0.22</v>
      </c>
    </row>
    <row r="69" spans="1:11" x14ac:dyDescent="0.3">
      <c r="A69">
        <v>58</v>
      </c>
      <c r="B69" t="s">
        <v>30</v>
      </c>
      <c r="C69">
        <v>122</v>
      </c>
      <c r="D69" t="s">
        <v>13</v>
      </c>
      <c r="E69" t="s">
        <v>11</v>
      </c>
      <c r="F69">
        <v>16</v>
      </c>
      <c r="G69">
        <v>13.91</v>
      </c>
      <c r="H69">
        <v>-30.42</v>
      </c>
      <c r="I69">
        <v>2.2105519999999999</v>
      </c>
      <c r="J69">
        <v>4.5618319999999999</v>
      </c>
      <c r="K69">
        <v>3.18</v>
      </c>
    </row>
    <row r="70" spans="1:11" x14ac:dyDescent="0.3">
      <c r="A70">
        <v>102</v>
      </c>
      <c r="B70" t="s">
        <v>30</v>
      </c>
      <c r="C70">
        <v>122</v>
      </c>
      <c r="D70" t="s">
        <v>13</v>
      </c>
      <c r="E70" t="s">
        <v>11</v>
      </c>
      <c r="F70">
        <v>16</v>
      </c>
      <c r="G70">
        <v>13.95</v>
      </c>
      <c r="H70">
        <v>-30.43</v>
      </c>
      <c r="I70">
        <v>0.27698899999999999</v>
      </c>
      <c r="J70">
        <v>2.4667279999999998</v>
      </c>
      <c r="K70">
        <v>0.69</v>
      </c>
    </row>
    <row r="71" spans="1:11" x14ac:dyDescent="0.3">
      <c r="A71">
        <v>115</v>
      </c>
      <c r="B71" t="s">
        <v>30</v>
      </c>
      <c r="C71">
        <v>122</v>
      </c>
      <c r="D71" t="s">
        <v>13</v>
      </c>
      <c r="E71" t="s">
        <v>11</v>
      </c>
      <c r="F71">
        <v>16</v>
      </c>
      <c r="G71">
        <v>13.98</v>
      </c>
      <c r="H71">
        <v>-30.44</v>
      </c>
      <c r="I71">
        <v>2.8984179999999999</v>
      </c>
      <c r="J71">
        <v>5.5400850000000004</v>
      </c>
      <c r="K71">
        <v>3.1</v>
      </c>
    </row>
    <row r="72" spans="1:11" x14ac:dyDescent="0.3">
      <c r="A72">
        <v>21</v>
      </c>
      <c r="B72" t="s">
        <v>30</v>
      </c>
      <c r="C72">
        <v>122</v>
      </c>
      <c r="D72" t="s">
        <v>13</v>
      </c>
      <c r="E72" t="s">
        <v>11</v>
      </c>
      <c r="F72">
        <v>16</v>
      </c>
      <c r="G72">
        <v>14.38</v>
      </c>
      <c r="H72">
        <v>-30.46</v>
      </c>
      <c r="I72">
        <v>2.2225299999999999</v>
      </c>
      <c r="J72">
        <v>4.8437270000000003</v>
      </c>
      <c r="K72">
        <v>0.57999999999999996</v>
      </c>
    </row>
    <row r="73" spans="1:11" x14ac:dyDescent="0.3">
      <c r="A73">
        <v>111</v>
      </c>
      <c r="B73" t="s">
        <v>30</v>
      </c>
      <c r="C73">
        <v>122</v>
      </c>
      <c r="D73" t="s">
        <v>13</v>
      </c>
      <c r="E73" t="s">
        <v>11</v>
      </c>
      <c r="F73">
        <v>16</v>
      </c>
      <c r="G73">
        <v>14.31</v>
      </c>
      <c r="H73">
        <v>-30.46</v>
      </c>
      <c r="I73">
        <v>0.66688159999999996</v>
      </c>
      <c r="J73">
        <v>3.0399820000000002</v>
      </c>
      <c r="K73">
        <v>4.3899999999999997</v>
      </c>
    </row>
    <row r="74" spans="1:11" x14ac:dyDescent="0.3">
      <c r="A74">
        <v>118</v>
      </c>
      <c r="B74" t="s">
        <v>30</v>
      </c>
      <c r="C74">
        <v>122</v>
      </c>
      <c r="D74" t="s">
        <v>13</v>
      </c>
      <c r="E74" t="s">
        <v>11</v>
      </c>
      <c r="F74">
        <v>16</v>
      </c>
      <c r="G74">
        <v>14.25</v>
      </c>
      <c r="H74">
        <v>-30.46</v>
      </c>
      <c r="I74">
        <v>1.5565800000000001</v>
      </c>
      <c r="J74">
        <v>4.1879770000000001</v>
      </c>
      <c r="K74">
        <v>1.1100000000000001</v>
      </c>
    </row>
    <row r="75" spans="1:11" x14ac:dyDescent="0.3">
      <c r="A75">
        <v>65</v>
      </c>
      <c r="B75" t="s">
        <v>30</v>
      </c>
      <c r="C75">
        <v>122</v>
      </c>
      <c r="D75" t="s">
        <v>13</v>
      </c>
      <c r="E75" t="s">
        <v>11</v>
      </c>
      <c r="F75">
        <v>16</v>
      </c>
      <c r="G75">
        <v>13.86</v>
      </c>
      <c r="H75">
        <v>-30.5</v>
      </c>
      <c r="I75">
        <v>2.5670850000000001</v>
      </c>
      <c r="J75">
        <v>4.7961270000000003</v>
      </c>
      <c r="K75">
        <v>-0.76</v>
      </c>
    </row>
    <row r="76" spans="1:11" x14ac:dyDescent="0.3">
      <c r="A76">
        <v>12</v>
      </c>
      <c r="B76" t="s">
        <v>30</v>
      </c>
      <c r="C76">
        <v>122</v>
      </c>
      <c r="D76" t="s">
        <v>13</v>
      </c>
      <c r="E76" t="s">
        <v>11</v>
      </c>
      <c r="F76">
        <v>16</v>
      </c>
      <c r="G76">
        <v>14.17</v>
      </c>
      <c r="H76">
        <v>-30.51</v>
      </c>
      <c r="I76">
        <v>1.9561539999999999</v>
      </c>
      <c r="J76">
        <v>4.2996220000000003</v>
      </c>
      <c r="K76">
        <v>1.29</v>
      </c>
    </row>
    <row r="77" spans="1:11" x14ac:dyDescent="0.3">
      <c r="A77">
        <v>27</v>
      </c>
      <c r="B77" t="s">
        <v>30</v>
      </c>
      <c r="C77">
        <v>122</v>
      </c>
      <c r="D77" t="s">
        <v>13</v>
      </c>
      <c r="E77" t="s">
        <v>11</v>
      </c>
      <c r="F77">
        <v>16</v>
      </c>
      <c r="G77">
        <v>14.03</v>
      </c>
      <c r="H77">
        <v>-30.52</v>
      </c>
      <c r="I77">
        <v>1.068981</v>
      </c>
      <c r="J77">
        <v>3.2955209999999999</v>
      </c>
      <c r="K77">
        <v>3.17</v>
      </c>
    </row>
    <row r="78" spans="1:11" x14ac:dyDescent="0.3">
      <c r="A78">
        <v>95</v>
      </c>
      <c r="B78" t="s">
        <v>30</v>
      </c>
      <c r="C78">
        <v>122</v>
      </c>
      <c r="D78" t="s">
        <v>13</v>
      </c>
      <c r="E78" t="s">
        <v>11</v>
      </c>
      <c r="F78">
        <v>16</v>
      </c>
      <c r="G78">
        <v>13.98</v>
      </c>
      <c r="H78">
        <v>-30.52</v>
      </c>
      <c r="I78">
        <v>2.3309289999999998</v>
      </c>
      <c r="J78">
        <v>4.8418919999999996</v>
      </c>
      <c r="K78">
        <v>0.27</v>
      </c>
    </row>
    <row r="79" spans="1:11" x14ac:dyDescent="0.3">
      <c r="A79">
        <v>7</v>
      </c>
      <c r="B79" t="s">
        <v>30</v>
      </c>
      <c r="C79">
        <v>122</v>
      </c>
      <c r="D79" t="s">
        <v>13</v>
      </c>
      <c r="E79" t="s">
        <v>11</v>
      </c>
      <c r="F79">
        <v>16</v>
      </c>
      <c r="G79">
        <v>14.54</v>
      </c>
      <c r="H79">
        <v>-30.53</v>
      </c>
      <c r="I79">
        <v>1.3808400000000001</v>
      </c>
      <c r="J79">
        <v>3.482872</v>
      </c>
      <c r="K79">
        <v>-0.38</v>
      </c>
    </row>
    <row r="80" spans="1:11" x14ac:dyDescent="0.3">
      <c r="A80">
        <v>96</v>
      </c>
      <c r="B80" t="s">
        <v>30</v>
      </c>
      <c r="C80">
        <v>122</v>
      </c>
      <c r="D80" t="s">
        <v>13</v>
      </c>
      <c r="E80" t="s">
        <v>11</v>
      </c>
      <c r="F80">
        <v>16</v>
      </c>
      <c r="G80">
        <v>14.11</v>
      </c>
      <c r="H80">
        <v>-30.53</v>
      </c>
      <c r="I80">
        <v>1.4564509999999999</v>
      </c>
      <c r="J80">
        <v>3.5546190000000002</v>
      </c>
      <c r="K80">
        <v>0.8</v>
      </c>
    </row>
    <row r="81" spans="1:11" x14ac:dyDescent="0.3">
      <c r="A81">
        <v>53</v>
      </c>
      <c r="B81" t="s">
        <v>30</v>
      </c>
      <c r="C81">
        <v>122</v>
      </c>
      <c r="D81" t="s">
        <v>13</v>
      </c>
      <c r="E81" t="s">
        <v>11</v>
      </c>
      <c r="F81">
        <v>16</v>
      </c>
      <c r="G81">
        <v>13.66</v>
      </c>
      <c r="H81">
        <v>-30.55</v>
      </c>
      <c r="I81">
        <v>1.1690670000000001</v>
      </c>
      <c r="J81">
        <v>3.3434979999999999</v>
      </c>
      <c r="K81">
        <v>10.93</v>
      </c>
    </row>
    <row r="82" spans="1:11" x14ac:dyDescent="0.3">
      <c r="A82">
        <v>74</v>
      </c>
      <c r="B82" t="s">
        <v>30</v>
      </c>
      <c r="C82">
        <v>122</v>
      </c>
      <c r="D82" t="s">
        <v>13</v>
      </c>
      <c r="E82" t="s">
        <v>11</v>
      </c>
      <c r="F82">
        <v>16</v>
      </c>
      <c r="G82">
        <v>14.03</v>
      </c>
      <c r="H82">
        <v>-30.55</v>
      </c>
      <c r="I82" t="s">
        <v>31</v>
      </c>
      <c r="J82" t="s">
        <v>31</v>
      </c>
      <c r="K82">
        <v>-100</v>
      </c>
    </row>
    <row r="83" spans="1:11" x14ac:dyDescent="0.3">
      <c r="A83">
        <v>23</v>
      </c>
      <c r="B83" t="s">
        <v>30</v>
      </c>
      <c r="C83">
        <v>122</v>
      </c>
      <c r="D83" t="s">
        <v>13</v>
      </c>
      <c r="E83" t="s">
        <v>11</v>
      </c>
      <c r="F83">
        <v>16</v>
      </c>
      <c r="G83">
        <v>14.41</v>
      </c>
      <c r="H83">
        <v>-30.56</v>
      </c>
      <c r="I83">
        <v>1.3543970000000001</v>
      </c>
      <c r="J83">
        <v>3.3892820000000001</v>
      </c>
      <c r="K83">
        <v>1.73</v>
      </c>
    </row>
    <row r="84" spans="1:11" x14ac:dyDescent="0.3">
      <c r="A84">
        <v>41</v>
      </c>
      <c r="B84" t="s">
        <v>30</v>
      </c>
      <c r="C84">
        <v>122</v>
      </c>
      <c r="D84" t="s">
        <v>13</v>
      </c>
      <c r="E84" t="s">
        <v>11</v>
      </c>
      <c r="F84">
        <v>16</v>
      </c>
      <c r="G84">
        <v>14.1</v>
      </c>
      <c r="H84">
        <v>-30.56</v>
      </c>
      <c r="I84">
        <v>0.87429809999999997</v>
      </c>
      <c r="J84">
        <v>2.6271710000000001</v>
      </c>
      <c r="K84">
        <v>-1.93</v>
      </c>
    </row>
    <row r="85" spans="1:11" x14ac:dyDescent="0.3">
      <c r="A85">
        <v>113</v>
      </c>
      <c r="B85" t="s">
        <v>30</v>
      </c>
      <c r="C85">
        <v>122</v>
      </c>
      <c r="D85" t="s">
        <v>13</v>
      </c>
      <c r="E85" t="s">
        <v>11</v>
      </c>
      <c r="F85">
        <v>16</v>
      </c>
      <c r="G85">
        <v>14.12</v>
      </c>
      <c r="H85">
        <v>-30.59</v>
      </c>
      <c r="I85">
        <v>1.691422</v>
      </c>
      <c r="J85">
        <v>3.8916659999999998</v>
      </c>
      <c r="K85">
        <v>0.47</v>
      </c>
    </row>
    <row r="86" spans="1:11" x14ac:dyDescent="0.3">
      <c r="A86">
        <v>93</v>
      </c>
      <c r="B86" t="s">
        <v>30</v>
      </c>
      <c r="C86">
        <v>122</v>
      </c>
      <c r="D86" t="s">
        <v>13</v>
      </c>
      <c r="E86" t="s">
        <v>11</v>
      </c>
      <c r="F86">
        <v>16</v>
      </c>
      <c r="G86">
        <v>13.78</v>
      </c>
      <c r="H86">
        <v>-30.65</v>
      </c>
      <c r="I86">
        <v>1.4760549999999999</v>
      </c>
      <c r="J86">
        <v>4.1313019999999998</v>
      </c>
      <c r="K86">
        <v>-0.83</v>
      </c>
    </row>
    <row r="87" spans="1:11" x14ac:dyDescent="0.3">
      <c r="A87">
        <v>62</v>
      </c>
      <c r="B87" t="s">
        <v>30</v>
      </c>
      <c r="C87">
        <v>122</v>
      </c>
      <c r="D87" t="s">
        <v>13</v>
      </c>
      <c r="E87" t="s">
        <v>11</v>
      </c>
      <c r="F87">
        <v>16</v>
      </c>
      <c r="G87">
        <v>13.65</v>
      </c>
      <c r="H87">
        <v>-30.7</v>
      </c>
      <c r="I87">
        <v>1.2712859999999999</v>
      </c>
      <c r="J87">
        <v>3.7257159999999998</v>
      </c>
      <c r="K87">
        <v>-2.04</v>
      </c>
    </row>
    <row r="88" spans="1:11" x14ac:dyDescent="0.3">
      <c r="A88">
        <v>97</v>
      </c>
      <c r="B88" t="s">
        <v>30</v>
      </c>
      <c r="C88">
        <v>122</v>
      </c>
      <c r="D88" t="s">
        <v>13</v>
      </c>
      <c r="E88" t="s">
        <v>11</v>
      </c>
      <c r="F88">
        <v>16</v>
      </c>
      <c r="G88">
        <v>13.35</v>
      </c>
      <c r="H88">
        <v>-30.73</v>
      </c>
      <c r="I88">
        <v>1.4676169999999999</v>
      </c>
      <c r="J88">
        <v>3.611561</v>
      </c>
      <c r="K88">
        <v>0.68</v>
      </c>
    </row>
    <row r="89" spans="1:11" x14ac:dyDescent="0.3">
      <c r="A89">
        <v>37</v>
      </c>
      <c r="B89" t="s">
        <v>30</v>
      </c>
      <c r="C89">
        <v>122</v>
      </c>
      <c r="D89" t="s">
        <v>13</v>
      </c>
      <c r="E89" t="s">
        <v>11</v>
      </c>
      <c r="F89">
        <v>16</v>
      </c>
      <c r="G89">
        <v>14.08</v>
      </c>
      <c r="H89">
        <v>-30.74</v>
      </c>
      <c r="I89">
        <v>1.0087200000000001</v>
      </c>
      <c r="J89">
        <v>3.347801</v>
      </c>
      <c r="K89">
        <v>0.38</v>
      </c>
    </row>
    <row r="90" spans="1:11" x14ac:dyDescent="0.3">
      <c r="A90">
        <v>98</v>
      </c>
      <c r="B90" t="s">
        <v>30</v>
      </c>
      <c r="C90">
        <v>122</v>
      </c>
      <c r="D90" t="s">
        <v>13</v>
      </c>
      <c r="E90" t="s">
        <v>11</v>
      </c>
      <c r="F90">
        <v>16</v>
      </c>
      <c r="G90">
        <v>13.74</v>
      </c>
      <c r="H90">
        <v>-30.74</v>
      </c>
      <c r="I90">
        <v>1.0286599999999999</v>
      </c>
      <c r="J90">
        <v>2.9979480000000001</v>
      </c>
      <c r="K90">
        <v>1.04</v>
      </c>
    </row>
    <row r="91" spans="1:11" x14ac:dyDescent="0.3">
      <c r="A91">
        <v>47</v>
      </c>
      <c r="B91" t="s">
        <v>30</v>
      </c>
      <c r="C91">
        <v>122</v>
      </c>
      <c r="D91" t="s">
        <v>13</v>
      </c>
      <c r="E91" t="s">
        <v>11</v>
      </c>
      <c r="F91">
        <v>16</v>
      </c>
      <c r="G91">
        <v>13.97</v>
      </c>
      <c r="H91">
        <v>-30.76</v>
      </c>
      <c r="I91">
        <v>0.25644299999999998</v>
      </c>
      <c r="J91">
        <v>2.9499360000000001</v>
      </c>
      <c r="K91">
        <v>0.72</v>
      </c>
    </row>
    <row r="92" spans="1:11" x14ac:dyDescent="0.3">
      <c r="A92">
        <v>28</v>
      </c>
      <c r="B92" t="s">
        <v>30</v>
      </c>
      <c r="C92">
        <v>122</v>
      </c>
      <c r="D92" t="s">
        <v>13</v>
      </c>
      <c r="E92" t="s">
        <v>11</v>
      </c>
      <c r="F92">
        <v>16</v>
      </c>
      <c r="G92">
        <v>13.82</v>
      </c>
      <c r="H92">
        <v>-30.77</v>
      </c>
      <c r="I92">
        <v>1.0040359999999999</v>
      </c>
      <c r="J92">
        <v>3.0072329999999998</v>
      </c>
      <c r="K92">
        <v>-0.32</v>
      </c>
    </row>
    <row r="93" spans="1:11" x14ac:dyDescent="0.3">
      <c r="A93">
        <v>63</v>
      </c>
      <c r="B93" t="s">
        <v>30</v>
      </c>
      <c r="C93">
        <v>122</v>
      </c>
      <c r="D93" t="s">
        <v>13</v>
      </c>
      <c r="E93" t="s">
        <v>11</v>
      </c>
      <c r="F93">
        <v>16</v>
      </c>
      <c r="G93">
        <v>14.04</v>
      </c>
      <c r="H93">
        <v>-30.78</v>
      </c>
      <c r="I93">
        <v>1.46563</v>
      </c>
      <c r="J93">
        <v>3.4886170000000001</v>
      </c>
      <c r="K93">
        <v>0.95</v>
      </c>
    </row>
    <row r="94" spans="1:11" x14ac:dyDescent="0.3">
      <c r="A94">
        <v>13</v>
      </c>
      <c r="B94" t="s">
        <v>30</v>
      </c>
      <c r="C94">
        <v>122</v>
      </c>
      <c r="D94" t="s">
        <v>13</v>
      </c>
      <c r="E94" t="s">
        <v>11</v>
      </c>
      <c r="F94">
        <v>16</v>
      </c>
      <c r="G94">
        <v>14.23</v>
      </c>
      <c r="H94">
        <v>-30.8</v>
      </c>
      <c r="I94">
        <v>0.77037429999999996</v>
      </c>
      <c r="J94">
        <v>2.936226</v>
      </c>
      <c r="K94">
        <v>-0.18</v>
      </c>
    </row>
    <row r="95" spans="1:11" x14ac:dyDescent="0.3">
      <c r="A95">
        <v>66</v>
      </c>
      <c r="B95" t="s">
        <v>30</v>
      </c>
      <c r="C95">
        <v>122</v>
      </c>
      <c r="D95" t="s">
        <v>13</v>
      </c>
      <c r="E95" t="s">
        <v>11</v>
      </c>
      <c r="F95">
        <v>16</v>
      </c>
      <c r="G95">
        <v>13.67</v>
      </c>
      <c r="H95">
        <v>-30.81</v>
      </c>
      <c r="I95">
        <v>0.7999001</v>
      </c>
      <c r="J95">
        <v>3.7606660000000001</v>
      </c>
      <c r="K95">
        <v>4.3</v>
      </c>
    </row>
    <row r="96" spans="1:11" x14ac:dyDescent="0.3">
      <c r="A96">
        <v>101</v>
      </c>
      <c r="B96" t="s">
        <v>30</v>
      </c>
      <c r="C96">
        <v>122</v>
      </c>
      <c r="D96" t="s">
        <v>13</v>
      </c>
      <c r="E96" t="s">
        <v>11</v>
      </c>
      <c r="F96">
        <v>16</v>
      </c>
      <c r="G96">
        <v>14.1</v>
      </c>
      <c r="H96">
        <v>-30.82</v>
      </c>
      <c r="I96">
        <v>0.75740810000000003</v>
      </c>
      <c r="J96">
        <v>3.2543869999999999</v>
      </c>
      <c r="K96">
        <v>-0.51</v>
      </c>
    </row>
    <row r="97" spans="1:20" x14ac:dyDescent="0.3">
      <c r="A97">
        <v>15</v>
      </c>
      <c r="B97" t="s">
        <v>30</v>
      </c>
      <c r="C97">
        <v>122</v>
      </c>
      <c r="D97" t="s">
        <v>13</v>
      </c>
      <c r="E97" t="s">
        <v>11</v>
      </c>
      <c r="F97">
        <v>16</v>
      </c>
      <c r="G97">
        <v>13.75</v>
      </c>
      <c r="H97">
        <v>-30.83</v>
      </c>
      <c r="I97">
        <v>1.974739</v>
      </c>
      <c r="J97">
        <v>4.3744050000000003</v>
      </c>
      <c r="K97">
        <v>0.68</v>
      </c>
    </row>
    <row r="98" spans="1:20" x14ac:dyDescent="0.3">
      <c r="A98">
        <v>11</v>
      </c>
      <c r="B98" t="s">
        <v>30</v>
      </c>
      <c r="C98">
        <v>122</v>
      </c>
      <c r="D98" t="s">
        <v>13</v>
      </c>
      <c r="E98" t="s">
        <v>11</v>
      </c>
      <c r="F98">
        <v>16</v>
      </c>
      <c r="G98">
        <v>14.43</v>
      </c>
      <c r="H98">
        <v>-30.85</v>
      </c>
      <c r="I98">
        <v>1.6528020000000001</v>
      </c>
      <c r="J98">
        <v>3.968521</v>
      </c>
      <c r="K98">
        <v>1.22</v>
      </c>
    </row>
    <row r="99" spans="1:20" x14ac:dyDescent="0.3">
      <c r="A99">
        <v>56</v>
      </c>
      <c r="B99" t="s">
        <v>30</v>
      </c>
      <c r="C99">
        <v>122</v>
      </c>
      <c r="D99" t="s">
        <v>13</v>
      </c>
      <c r="E99" t="s">
        <v>11</v>
      </c>
      <c r="F99">
        <v>16</v>
      </c>
      <c r="G99">
        <v>13.41</v>
      </c>
      <c r="H99">
        <v>-30.87</v>
      </c>
      <c r="I99">
        <v>0.27272030000000003</v>
      </c>
      <c r="J99">
        <v>2.5949399999999998</v>
      </c>
      <c r="K99">
        <v>-2.5</v>
      </c>
    </row>
    <row r="100" spans="1:20" x14ac:dyDescent="0.3">
      <c r="A100">
        <v>4</v>
      </c>
      <c r="B100" t="s">
        <v>30</v>
      </c>
      <c r="C100">
        <v>122</v>
      </c>
      <c r="D100" t="s">
        <v>13</v>
      </c>
      <c r="E100" t="s">
        <v>11</v>
      </c>
      <c r="F100">
        <v>16</v>
      </c>
      <c r="G100">
        <v>14.01</v>
      </c>
      <c r="H100">
        <v>-30.88</v>
      </c>
      <c r="I100">
        <v>0.3769188</v>
      </c>
      <c r="J100">
        <v>2.8423310000000002</v>
      </c>
      <c r="K100">
        <v>-0.23</v>
      </c>
      <c r="M100" s="4"/>
    </row>
    <row r="101" spans="1:20" x14ac:dyDescent="0.3">
      <c r="A101">
        <v>54</v>
      </c>
      <c r="B101" t="s">
        <v>30</v>
      </c>
      <c r="C101">
        <v>122</v>
      </c>
      <c r="D101" t="s">
        <v>13</v>
      </c>
      <c r="E101" t="s">
        <v>11</v>
      </c>
      <c r="F101">
        <v>16</v>
      </c>
      <c r="G101">
        <v>13.77</v>
      </c>
      <c r="H101">
        <v>-30.89</v>
      </c>
      <c r="I101">
        <v>0.73493960000000003</v>
      </c>
      <c r="J101">
        <v>2.9014470000000001</v>
      </c>
      <c r="K101">
        <v>-1.9</v>
      </c>
    </row>
    <row r="102" spans="1:20" x14ac:dyDescent="0.3">
      <c r="A102">
        <v>19</v>
      </c>
      <c r="B102" t="s">
        <v>30</v>
      </c>
      <c r="C102">
        <v>122</v>
      </c>
      <c r="D102" t="s">
        <v>13</v>
      </c>
      <c r="E102" t="s">
        <v>11</v>
      </c>
      <c r="F102">
        <v>16</v>
      </c>
      <c r="G102">
        <v>14.56</v>
      </c>
      <c r="H102">
        <v>-30.9</v>
      </c>
      <c r="I102">
        <v>1.1034010000000001</v>
      </c>
      <c r="J102">
        <v>3.1949079999999999</v>
      </c>
      <c r="K102">
        <v>2.02</v>
      </c>
    </row>
    <row r="103" spans="1:20" x14ac:dyDescent="0.3">
      <c r="A103">
        <v>25</v>
      </c>
      <c r="B103" t="s">
        <v>30</v>
      </c>
      <c r="C103">
        <v>122</v>
      </c>
      <c r="D103" t="s">
        <v>13</v>
      </c>
      <c r="E103" t="s">
        <v>11</v>
      </c>
      <c r="F103">
        <v>16</v>
      </c>
      <c r="G103">
        <v>13.89</v>
      </c>
      <c r="H103">
        <v>-30.94</v>
      </c>
      <c r="I103">
        <v>-0.74581909999999996</v>
      </c>
      <c r="J103">
        <v>1.3369789999999999</v>
      </c>
      <c r="K103">
        <v>-0.18</v>
      </c>
    </row>
    <row r="104" spans="1:20" x14ac:dyDescent="0.3">
      <c r="A104">
        <v>38</v>
      </c>
      <c r="B104" t="s">
        <v>30</v>
      </c>
      <c r="C104">
        <v>122</v>
      </c>
      <c r="D104" t="s">
        <v>13</v>
      </c>
      <c r="E104" t="s">
        <v>11</v>
      </c>
      <c r="F104">
        <v>16</v>
      </c>
      <c r="G104">
        <v>14.16</v>
      </c>
      <c r="H104">
        <v>-30.95</v>
      </c>
      <c r="I104">
        <v>2.3403779999999998</v>
      </c>
      <c r="J104">
        <v>3.1363789999999998</v>
      </c>
      <c r="K104">
        <v>0.74</v>
      </c>
    </row>
    <row r="105" spans="1:20" x14ac:dyDescent="0.3">
      <c r="A105">
        <v>46</v>
      </c>
      <c r="B105" t="s">
        <v>30</v>
      </c>
      <c r="C105">
        <v>122</v>
      </c>
      <c r="D105" t="s">
        <v>13</v>
      </c>
      <c r="E105" t="s">
        <v>11</v>
      </c>
      <c r="F105">
        <v>16</v>
      </c>
      <c r="G105">
        <v>14.1</v>
      </c>
      <c r="H105">
        <v>-31.04</v>
      </c>
      <c r="I105">
        <v>2.821831</v>
      </c>
      <c r="J105">
        <v>4.7971459999999997</v>
      </c>
      <c r="K105">
        <v>-0.26</v>
      </c>
    </row>
    <row r="106" spans="1:20" x14ac:dyDescent="0.3">
      <c r="A106">
        <v>35</v>
      </c>
      <c r="B106" t="s">
        <v>30</v>
      </c>
      <c r="C106">
        <v>122</v>
      </c>
      <c r="D106" t="s">
        <v>13</v>
      </c>
      <c r="E106" t="s">
        <v>11</v>
      </c>
      <c r="F106">
        <v>16</v>
      </c>
      <c r="G106">
        <v>14.21</v>
      </c>
      <c r="H106">
        <v>-31.07</v>
      </c>
      <c r="I106">
        <v>0.61870190000000003</v>
      </c>
      <c r="J106">
        <v>2.9541089999999999</v>
      </c>
      <c r="K106">
        <v>0.39</v>
      </c>
    </row>
    <row r="107" spans="1:20" x14ac:dyDescent="0.3">
      <c r="A107">
        <v>55</v>
      </c>
      <c r="B107" t="s">
        <v>30</v>
      </c>
      <c r="C107">
        <v>122</v>
      </c>
      <c r="D107" t="s">
        <v>13</v>
      </c>
      <c r="E107" t="s">
        <v>11</v>
      </c>
      <c r="F107">
        <v>16</v>
      </c>
      <c r="G107">
        <v>13.78</v>
      </c>
      <c r="H107">
        <v>-31.11</v>
      </c>
      <c r="I107">
        <v>0.75784300000000004</v>
      </c>
      <c r="J107">
        <v>3.2507320000000002</v>
      </c>
      <c r="K107">
        <v>-1.69</v>
      </c>
    </row>
    <row r="108" spans="1:20" x14ac:dyDescent="0.3">
      <c r="A108">
        <v>1</v>
      </c>
      <c r="B108" t="s">
        <v>30</v>
      </c>
      <c r="C108">
        <v>122</v>
      </c>
      <c r="D108" t="s">
        <v>13</v>
      </c>
      <c r="E108" t="s">
        <v>11</v>
      </c>
      <c r="F108">
        <v>16</v>
      </c>
      <c r="G108">
        <v>14.55</v>
      </c>
      <c r="H108">
        <v>-31.12</v>
      </c>
      <c r="I108">
        <v>1.552994</v>
      </c>
      <c r="J108">
        <v>3.8835829999999998</v>
      </c>
      <c r="K108">
        <v>-0.06</v>
      </c>
      <c r="N108">
        <f>AVERAGE(G108:G619)</f>
        <v>14.015625</v>
      </c>
      <c r="O108">
        <f>STDEV(G108:G619)</f>
        <v>0.22114757516192682</v>
      </c>
      <c r="P108">
        <f>ROUND(N108 + 2, 1)</f>
        <v>16</v>
      </c>
      <c r="Q108">
        <f>ROUND(N108 -2, 1)</f>
        <v>12</v>
      </c>
      <c r="R108">
        <f>(P108-N108)/(3*O108)</f>
        <v>2.99102684191317</v>
      </c>
      <c r="S108">
        <f>(N108-Q108)/(3*O108)</f>
        <v>3.0381296268251883</v>
      </c>
      <c r="T108">
        <f>MIN(R108,S108)</f>
        <v>2.99102684191317</v>
      </c>
    </row>
    <row r="109" spans="1:20" x14ac:dyDescent="0.3">
      <c r="A109">
        <v>50</v>
      </c>
      <c r="B109" t="s">
        <v>30</v>
      </c>
      <c r="C109">
        <v>122</v>
      </c>
      <c r="D109" t="s">
        <v>13</v>
      </c>
      <c r="E109" t="s">
        <v>11</v>
      </c>
      <c r="F109">
        <v>16</v>
      </c>
      <c r="G109">
        <v>13.79</v>
      </c>
      <c r="H109">
        <v>-31.12</v>
      </c>
      <c r="I109">
        <v>-6.3896179999999997E-2</v>
      </c>
      <c r="J109">
        <v>2.7194820000000002</v>
      </c>
      <c r="K109">
        <v>0.13</v>
      </c>
    </row>
    <row r="110" spans="1:20" x14ac:dyDescent="0.3">
      <c r="A110">
        <v>34</v>
      </c>
      <c r="B110" t="s">
        <v>30</v>
      </c>
      <c r="C110">
        <v>122</v>
      </c>
      <c r="D110" t="s">
        <v>13</v>
      </c>
      <c r="E110" t="s">
        <v>11</v>
      </c>
      <c r="F110">
        <v>16</v>
      </c>
      <c r="G110">
        <v>14.25</v>
      </c>
      <c r="H110">
        <v>-31.18</v>
      </c>
      <c r="I110">
        <v>0.73934940000000005</v>
      </c>
      <c r="J110">
        <v>2.9386019999999999</v>
      </c>
      <c r="K110">
        <v>0.75</v>
      </c>
    </row>
    <row r="111" spans="1:20" x14ac:dyDescent="0.3">
      <c r="A111">
        <v>45</v>
      </c>
      <c r="B111" t="s">
        <v>30</v>
      </c>
      <c r="C111">
        <v>122</v>
      </c>
      <c r="D111" t="s">
        <v>13</v>
      </c>
      <c r="E111" t="s">
        <v>11</v>
      </c>
      <c r="F111">
        <v>16</v>
      </c>
      <c r="G111">
        <v>13.96</v>
      </c>
      <c r="H111">
        <v>-31.23</v>
      </c>
      <c r="I111">
        <v>0.8700485</v>
      </c>
      <c r="J111">
        <v>3.2249150000000002</v>
      </c>
      <c r="K111">
        <v>-100</v>
      </c>
    </row>
    <row r="112" spans="1:20" x14ac:dyDescent="0.3">
      <c r="A112">
        <v>32</v>
      </c>
      <c r="B112" t="s">
        <v>30</v>
      </c>
      <c r="C112">
        <v>122</v>
      </c>
      <c r="D112" t="s">
        <v>13</v>
      </c>
      <c r="E112" t="s">
        <v>11</v>
      </c>
      <c r="F112">
        <v>16</v>
      </c>
      <c r="G112">
        <v>14.13</v>
      </c>
      <c r="H112">
        <v>-31.29</v>
      </c>
      <c r="I112">
        <v>1.2880210000000001</v>
      </c>
      <c r="J112">
        <v>4.1698459999999997</v>
      </c>
      <c r="K112">
        <v>0.19</v>
      </c>
    </row>
    <row r="113" spans="1:11" x14ac:dyDescent="0.3">
      <c r="A113">
        <v>40</v>
      </c>
      <c r="B113" t="s">
        <v>30</v>
      </c>
      <c r="C113">
        <v>122</v>
      </c>
      <c r="D113" t="s">
        <v>13</v>
      </c>
      <c r="E113" t="s">
        <v>11</v>
      </c>
      <c r="F113">
        <v>16</v>
      </c>
      <c r="G113">
        <v>13.82</v>
      </c>
      <c r="H113">
        <v>-31.32</v>
      </c>
      <c r="I113">
        <v>0.43784329999999999</v>
      </c>
      <c r="J113">
        <v>3.0435750000000001</v>
      </c>
      <c r="K113">
        <v>-1.32</v>
      </c>
    </row>
    <row r="114" spans="1:11" x14ac:dyDescent="0.3">
      <c r="A114">
        <v>36</v>
      </c>
      <c r="B114" t="s">
        <v>30</v>
      </c>
      <c r="C114">
        <v>122</v>
      </c>
      <c r="D114" t="s">
        <v>13</v>
      </c>
      <c r="E114" t="s">
        <v>11</v>
      </c>
      <c r="F114">
        <v>16</v>
      </c>
      <c r="G114">
        <v>14.12</v>
      </c>
      <c r="H114">
        <v>-31.34</v>
      </c>
      <c r="I114">
        <v>0.38555529999999999</v>
      </c>
      <c r="J114">
        <v>2.9410400000000001</v>
      </c>
      <c r="K114">
        <v>-0.21</v>
      </c>
    </row>
    <row r="115" spans="1:11" x14ac:dyDescent="0.3">
      <c r="A115">
        <v>52</v>
      </c>
      <c r="B115" t="s">
        <v>30</v>
      </c>
      <c r="C115">
        <v>122</v>
      </c>
      <c r="D115" t="s">
        <v>13</v>
      </c>
      <c r="E115" t="s">
        <v>11</v>
      </c>
      <c r="F115">
        <v>16</v>
      </c>
      <c r="G115">
        <v>14.16</v>
      </c>
      <c r="H115">
        <v>-31.37</v>
      </c>
      <c r="I115">
        <v>0.77258300000000002</v>
      </c>
      <c r="J115">
        <v>3.2086260000000002</v>
      </c>
      <c r="K115">
        <v>-1.62</v>
      </c>
    </row>
    <row r="116" spans="1:11" x14ac:dyDescent="0.3">
      <c r="A116">
        <v>68</v>
      </c>
      <c r="B116" t="s">
        <v>30</v>
      </c>
      <c r="C116">
        <v>122</v>
      </c>
      <c r="D116" t="s">
        <v>13</v>
      </c>
      <c r="E116" t="s">
        <v>11</v>
      </c>
      <c r="F116">
        <v>16</v>
      </c>
      <c r="G116">
        <v>13.8</v>
      </c>
      <c r="H116">
        <v>-31.4</v>
      </c>
      <c r="I116">
        <v>0.75399400000000005</v>
      </c>
      <c r="J116">
        <v>3.5703999999999998</v>
      </c>
      <c r="K116">
        <v>1.63</v>
      </c>
    </row>
    <row r="117" spans="1:11" x14ac:dyDescent="0.3">
      <c r="A117">
        <v>69</v>
      </c>
      <c r="B117" t="s">
        <v>30</v>
      </c>
      <c r="C117">
        <v>122</v>
      </c>
      <c r="D117" t="s">
        <v>13</v>
      </c>
      <c r="E117" t="s">
        <v>11</v>
      </c>
      <c r="F117">
        <v>16</v>
      </c>
      <c r="G117">
        <v>13.84</v>
      </c>
      <c r="H117">
        <v>-31.45</v>
      </c>
      <c r="I117">
        <v>-0.32935330000000002</v>
      </c>
      <c r="J117">
        <v>1.9902690000000001</v>
      </c>
      <c r="K117">
        <v>-0.11</v>
      </c>
    </row>
    <row r="118" spans="1:11" x14ac:dyDescent="0.3">
      <c r="A118">
        <v>39</v>
      </c>
      <c r="B118" t="s">
        <v>30</v>
      </c>
      <c r="C118">
        <v>122</v>
      </c>
      <c r="D118" t="s">
        <v>13</v>
      </c>
      <c r="E118" t="s">
        <v>11</v>
      </c>
      <c r="F118">
        <v>16</v>
      </c>
      <c r="G118">
        <v>13.7</v>
      </c>
      <c r="H118">
        <v>-31.55</v>
      </c>
      <c r="I118">
        <v>0.98453139999999995</v>
      </c>
      <c r="J118">
        <v>3.2314069999999999</v>
      </c>
      <c r="K118">
        <v>-0.19</v>
      </c>
    </row>
    <row r="119" spans="1:11" x14ac:dyDescent="0.3">
      <c r="A119">
        <v>31</v>
      </c>
      <c r="B119" t="s">
        <v>30</v>
      </c>
      <c r="C119">
        <v>122</v>
      </c>
      <c r="D119" t="s">
        <v>13</v>
      </c>
      <c r="E119" t="s">
        <v>11</v>
      </c>
      <c r="F119">
        <v>16</v>
      </c>
      <c r="G119">
        <v>14</v>
      </c>
      <c r="H119">
        <v>-31.65</v>
      </c>
      <c r="I119">
        <v>0.234127</v>
      </c>
      <c r="J119">
        <v>3.0224690000000001</v>
      </c>
      <c r="K119">
        <v>0.57999999999999996</v>
      </c>
    </row>
    <row r="120" spans="1:11" x14ac:dyDescent="0.3">
      <c r="A120">
        <v>51</v>
      </c>
      <c r="B120" t="s">
        <v>30</v>
      </c>
      <c r="C120">
        <v>122</v>
      </c>
      <c r="D120" t="s">
        <v>13</v>
      </c>
      <c r="E120" t="s">
        <v>11</v>
      </c>
      <c r="F120">
        <v>16</v>
      </c>
      <c r="G120">
        <v>13.8</v>
      </c>
      <c r="H120">
        <v>-31.79</v>
      </c>
      <c r="I120">
        <v>-1.1024890000000001</v>
      </c>
      <c r="J120">
        <v>1.3464739999999999</v>
      </c>
      <c r="K120">
        <v>-1.32</v>
      </c>
    </row>
    <row r="121" spans="1:11" x14ac:dyDescent="0.3">
      <c r="A121">
        <v>30</v>
      </c>
      <c r="B121" t="s">
        <v>30</v>
      </c>
      <c r="C121">
        <v>122</v>
      </c>
      <c r="D121" t="s">
        <v>13</v>
      </c>
      <c r="E121" t="s">
        <v>11</v>
      </c>
      <c r="F121">
        <v>16</v>
      </c>
      <c r="G121">
        <v>14.15</v>
      </c>
      <c r="H121">
        <v>-31.87</v>
      </c>
      <c r="I121">
        <v>-2.3927230000000002</v>
      </c>
      <c r="J121">
        <v>-0.386322</v>
      </c>
      <c r="K121">
        <v>1.38</v>
      </c>
    </row>
    <row r="122" spans="1:11" x14ac:dyDescent="0.3">
      <c r="A122">
        <v>43</v>
      </c>
      <c r="B122" t="s">
        <v>30</v>
      </c>
      <c r="C122">
        <v>122</v>
      </c>
      <c r="D122" t="s">
        <v>13</v>
      </c>
      <c r="E122" t="s">
        <v>11</v>
      </c>
      <c r="F122">
        <v>16</v>
      </c>
      <c r="G122">
        <v>14.13</v>
      </c>
      <c r="H122">
        <v>-31.98</v>
      </c>
      <c r="I122">
        <v>-0.42591089999999998</v>
      </c>
      <c r="J122">
        <v>1.887886</v>
      </c>
      <c r="K122">
        <v>0.73</v>
      </c>
    </row>
    <row r="123" spans="1:11" x14ac:dyDescent="0.3">
      <c r="A123">
        <v>44</v>
      </c>
      <c r="B123" t="s">
        <v>30</v>
      </c>
      <c r="C123">
        <v>122</v>
      </c>
      <c r="D123" t="s">
        <v>13</v>
      </c>
      <c r="E123" t="s">
        <v>11</v>
      </c>
      <c r="F123">
        <v>16</v>
      </c>
      <c r="G123">
        <v>14.05</v>
      </c>
      <c r="H123">
        <v>-32</v>
      </c>
      <c r="I123">
        <v>0.49280930000000001</v>
      </c>
      <c r="J123">
        <v>2.7682150000000001</v>
      </c>
      <c r="K123">
        <v>0.41</v>
      </c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DCB7-C078-49D1-A82E-D11A09B5D064}">
  <dimension ref="A1:V203"/>
  <sheetViews>
    <sheetView zoomScaleNormal="100" workbookViewId="0">
      <selection activeCell="N1" sqref="N1:V3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</v>
      </c>
      <c r="B2" t="s">
        <v>30</v>
      </c>
      <c r="C2">
        <v>138</v>
      </c>
      <c r="D2" t="s">
        <v>13</v>
      </c>
      <c r="E2" t="s">
        <v>11</v>
      </c>
      <c r="F2">
        <v>16</v>
      </c>
      <c r="G2">
        <v>14.26</v>
      </c>
      <c r="H2">
        <v>-30.98</v>
      </c>
      <c r="I2">
        <v>2.4121700000000001</v>
      </c>
      <c r="J2">
        <v>4.7682339999999996</v>
      </c>
      <c r="K2">
        <v>-0.05</v>
      </c>
      <c r="L2" s="4"/>
      <c r="N2">
        <f>AVERAGE(G2:G513)</f>
        <v>13.757377049180327</v>
      </c>
      <c r="O2">
        <f>STDEV(G2:G513)</f>
        <v>0.23105508369285377</v>
      </c>
      <c r="P2">
        <f>ROUND(N2 + 2, 1)</f>
        <v>15.8</v>
      </c>
      <c r="Q2">
        <f>ROUND(N2 -2, 1)</f>
        <v>11.8</v>
      </c>
      <c r="R2">
        <f>(P2-N2)/(3*O2)</f>
        <v>2.9468051776129331</v>
      </c>
      <c r="S2">
        <f>(N2-Q2)/(3*O2)</f>
        <v>2.8238245441973016</v>
      </c>
      <c r="T2">
        <f>MIN(R2,S2)</f>
        <v>2.8238245441973016</v>
      </c>
      <c r="V2">
        <v>0</v>
      </c>
    </row>
    <row r="3" spans="1:22" x14ac:dyDescent="0.3">
      <c r="A3">
        <v>2</v>
      </c>
      <c r="B3" t="s">
        <v>30</v>
      </c>
      <c r="C3">
        <v>138</v>
      </c>
      <c r="D3" t="s">
        <v>13</v>
      </c>
      <c r="E3" t="s">
        <v>11</v>
      </c>
      <c r="F3">
        <v>16</v>
      </c>
      <c r="G3">
        <v>14.49</v>
      </c>
      <c r="H3">
        <v>-30.24</v>
      </c>
      <c r="I3">
        <v>2.8509329999999999</v>
      </c>
      <c r="J3">
        <v>4.8663220000000003</v>
      </c>
      <c r="K3">
        <v>0.63</v>
      </c>
      <c r="N3">
        <f>AVERAGE(H2:H513)</f>
        <v>-30.440901639344265</v>
      </c>
      <c r="O3">
        <f>STDEV(H2:H513)</f>
        <v>0.50150517922617588</v>
      </c>
      <c r="P3">
        <f>ROUND(N3 + 2, 1)</f>
        <v>-28.4</v>
      </c>
      <c r="Q3">
        <f>ROUND(N3 -2, 1)</f>
        <v>-32.4</v>
      </c>
      <c r="R3">
        <f>(P3-N3)/(3*O3)</f>
        <v>1.3565174890073812</v>
      </c>
      <c r="S3">
        <f>(N3-Q3)/(3*O3)</f>
        <v>1.3021456486110001</v>
      </c>
      <c r="T3">
        <f>MIN(R3,S3)</f>
        <v>1.3021456486110001</v>
      </c>
      <c r="V3">
        <v>0</v>
      </c>
    </row>
    <row r="4" spans="1:22" x14ac:dyDescent="0.3">
      <c r="A4">
        <v>3</v>
      </c>
      <c r="B4" t="s">
        <v>30</v>
      </c>
      <c r="C4">
        <v>138</v>
      </c>
      <c r="D4" t="s">
        <v>13</v>
      </c>
      <c r="E4" t="s">
        <v>11</v>
      </c>
      <c r="F4">
        <v>16</v>
      </c>
      <c r="G4">
        <v>13.91</v>
      </c>
      <c r="H4">
        <v>-31.54</v>
      </c>
      <c r="I4">
        <v>-2.5486369999999998</v>
      </c>
      <c r="J4">
        <v>-0.26206590000000002</v>
      </c>
      <c r="K4">
        <v>-0.71</v>
      </c>
      <c r="L4" s="4"/>
    </row>
    <row r="5" spans="1:22" x14ac:dyDescent="0.3">
      <c r="A5">
        <v>4</v>
      </c>
      <c r="B5" t="s">
        <v>30</v>
      </c>
      <c r="C5">
        <v>138</v>
      </c>
      <c r="D5" t="s">
        <v>13</v>
      </c>
      <c r="E5" t="s">
        <v>11</v>
      </c>
      <c r="F5">
        <v>16</v>
      </c>
      <c r="G5">
        <v>13.8</v>
      </c>
      <c r="H5">
        <v>-31.08</v>
      </c>
      <c r="I5">
        <v>1.6465339999999999</v>
      </c>
      <c r="J5">
        <v>2.7366410000000001</v>
      </c>
      <c r="K5">
        <v>-0.24</v>
      </c>
      <c r="M5" s="4"/>
    </row>
    <row r="6" spans="1:22" x14ac:dyDescent="0.3">
      <c r="A6">
        <v>5</v>
      </c>
      <c r="B6" t="s">
        <v>30</v>
      </c>
      <c r="C6">
        <v>138</v>
      </c>
      <c r="D6" t="s">
        <v>13</v>
      </c>
      <c r="E6" t="s">
        <v>11</v>
      </c>
      <c r="F6">
        <v>16</v>
      </c>
      <c r="G6">
        <v>14.02</v>
      </c>
      <c r="H6">
        <v>-29.93</v>
      </c>
      <c r="I6">
        <v>4.3556210000000002</v>
      </c>
      <c r="J6">
        <v>6.9348869999999998</v>
      </c>
      <c r="K6">
        <v>0.05</v>
      </c>
    </row>
    <row r="7" spans="1:22" x14ac:dyDescent="0.3">
      <c r="A7">
        <v>6</v>
      </c>
      <c r="B7" t="s">
        <v>30</v>
      </c>
      <c r="C7">
        <v>138</v>
      </c>
      <c r="D7" t="s">
        <v>13</v>
      </c>
      <c r="E7" t="s">
        <v>11</v>
      </c>
      <c r="F7">
        <v>16</v>
      </c>
      <c r="G7">
        <v>13.96</v>
      </c>
      <c r="H7">
        <v>-30.33</v>
      </c>
      <c r="I7">
        <v>2.8158340000000002</v>
      </c>
      <c r="J7">
        <v>5.2131499999999997</v>
      </c>
      <c r="K7">
        <v>-0.33</v>
      </c>
    </row>
    <row r="8" spans="1:22" x14ac:dyDescent="0.3">
      <c r="A8">
        <v>7</v>
      </c>
      <c r="B8" t="s">
        <v>30</v>
      </c>
      <c r="C8">
        <v>138</v>
      </c>
      <c r="D8" t="s">
        <v>13</v>
      </c>
      <c r="E8" t="s">
        <v>11</v>
      </c>
      <c r="F8">
        <v>16</v>
      </c>
      <c r="G8">
        <v>14</v>
      </c>
      <c r="H8">
        <v>-30.01</v>
      </c>
      <c r="I8">
        <v>3.675198</v>
      </c>
      <c r="J8">
        <v>5.7524870000000004</v>
      </c>
      <c r="K8">
        <v>-1.81</v>
      </c>
    </row>
    <row r="9" spans="1:22" x14ac:dyDescent="0.3">
      <c r="A9">
        <v>7</v>
      </c>
      <c r="B9" t="s">
        <v>30</v>
      </c>
      <c r="C9">
        <v>138</v>
      </c>
      <c r="D9" t="s">
        <v>13</v>
      </c>
      <c r="E9" t="s">
        <v>11</v>
      </c>
      <c r="F9">
        <v>16</v>
      </c>
      <c r="G9">
        <v>14.21</v>
      </c>
      <c r="H9">
        <v>-30.54</v>
      </c>
      <c r="I9">
        <v>2.28159</v>
      </c>
      <c r="J9">
        <v>4.6226960000000004</v>
      </c>
      <c r="K9">
        <v>-0.43</v>
      </c>
    </row>
    <row r="10" spans="1:22" x14ac:dyDescent="0.3">
      <c r="A10">
        <v>8</v>
      </c>
      <c r="B10" t="s">
        <v>30</v>
      </c>
      <c r="C10">
        <v>138</v>
      </c>
      <c r="D10" t="s">
        <v>13</v>
      </c>
      <c r="E10" t="s">
        <v>11</v>
      </c>
      <c r="F10">
        <v>16</v>
      </c>
      <c r="G10">
        <v>13.99</v>
      </c>
      <c r="H10">
        <v>-29.77</v>
      </c>
      <c r="I10" t="s">
        <v>31</v>
      </c>
      <c r="J10" t="s">
        <v>31</v>
      </c>
      <c r="K10">
        <v>-100</v>
      </c>
    </row>
    <row r="11" spans="1:22" x14ac:dyDescent="0.3">
      <c r="A11">
        <v>9</v>
      </c>
      <c r="B11" t="s">
        <v>30</v>
      </c>
      <c r="C11">
        <v>138</v>
      </c>
      <c r="D11" t="s">
        <v>13</v>
      </c>
      <c r="E11" t="s">
        <v>11</v>
      </c>
      <c r="F11">
        <v>16</v>
      </c>
      <c r="G11">
        <v>14.31</v>
      </c>
      <c r="H11">
        <v>-30.19</v>
      </c>
      <c r="I11">
        <v>3.5651890000000002</v>
      </c>
      <c r="J11">
        <v>6.3340800000000002</v>
      </c>
      <c r="K11">
        <v>0.65</v>
      </c>
    </row>
    <row r="12" spans="1:22" x14ac:dyDescent="0.3">
      <c r="A12">
        <v>10</v>
      </c>
      <c r="B12" t="s">
        <v>30</v>
      </c>
      <c r="C12">
        <v>138</v>
      </c>
      <c r="D12" t="s">
        <v>13</v>
      </c>
      <c r="E12" t="s">
        <v>11</v>
      </c>
      <c r="F12">
        <v>16</v>
      </c>
      <c r="G12">
        <v>14.12</v>
      </c>
      <c r="H12">
        <v>-29.99</v>
      </c>
      <c r="I12">
        <v>2.595043</v>
      </c>
      <c r="J12">
        <v>4.8930400000000001</v>
      </c>
      <c r="K12">
        <v>2.31</v>
      </c>
    </row>
    <row r="13" spans="1:22" x14ac:dyDescent="0.3">
      <c r="A13">
        <v>11</v>
      </c>
      <c r="B13" t="s">
        <v>30</v>
      </c>
      <c r="C13">
        <v>138</v>
      </c>
      <c r="D13" t="s">
        <v>13</v>
      </c>
      <c r="E13" t="s">
        <v>11</v>
      </c>
      <c r="F13">
        <v>16</v>
      </c>
      <c r="G13">
        <v>14.2</v>
      </c>
      <c r="H13">
        <v>-30.73</v>
      </c>
      <c r="I13">
        <v>2.5667499999999999</v>
      </c>
      <c r="J13">
        <v>4.7333759999999998</v>
      </c>
      <c r="K13">
        <v>1.28</v>
      </c>
    </row>
    <row r="14" spans="1:22" x14ac:dyDescent="0.3">
      <c r="A14">
        <v>12</v>
      </c>
      <c r="B14" t="s">
        <v>30</v>
      </c>
      <c r="C14">
        <v>138</v>
      </c>
      <c r="D14" t="s">
        <v>13</v>
      </c>
      <c r="E14" t="s">
        <v>11</v>
      </c>
      <c r="F14">
        <v>16</v>
      </c>
      <c r="G14">
        <v>13.96</v>
      </c>
      <c r="H14">
        <v>-30.5</v>
      </c>
      <c r="I14">
        <v>2.516445</v>
      </c>
      <c r="J14">
        <v>5.0078930000000001</v>
      </c>
      <c r="K14">
        <v>1.26</v>
      </c>
    </row>
    <row r="15" spans="1:22" x14ac:dyDescent="0.3">
      <c r="A15">
        <v>13</v>
      </c>
      <c r="B15" t="s">
        <v>30</v>
      </c>
      <c r="C15">
        <v>138</v>
      </c>
      <c r="D15" t="s">
        <v>13</v>
      </c>
      <c r="E15" t="s">
        <v>11</v>
      </c>
      <c r="F15">
        <v>16</v>
      </c>
      <c r="G15">
        <v>13.98</v>
      </c>
      <c r="H15">
        <v>-30.7</v>
      </c>
      <c r="I15">
        <v>1.475857</v>
      </c>
      <c r="J15">
        <v>3.8404539999999998</v>
      </c>
      <c r="K15">
        <v>-0.19</v>
      </c>
    </row>
    <row r="16" spans="1:22" x14ac:dyDescent="0.3">
      <c r="A16">
        <v>14</v>
      </c>
      <c r="B16" t="s">
        <v>30</v>
      </c>
      <c r="C16">
        <v>138</v>
      </c>
      <c r="D16" t="s">
        <v>13</v>
      </c>
      <c r="E16" t="s">
        <v>11</v>
      </c>
      <c r="F16">
        <v>16</v>
      </c>
      <c r="G16">
        <v>13.74</v>
      </c>
      <c r="H16">
        <v>-30.29</v>
      </c>
      <c r="I16">
        <v>3.7055509999999998</v>
      </c>
      <c r="J16">
        <v>5.9945490000000001</v>
      </c>
      <c r="K16">
        <v>-0.16</v>
      </c>
    </row>
    <row r="17" spans="1:11" x14ac:dyDescent="0.3">
      <c r="A17">
        <v>15</v>
      </c>
      <c r="B17" t="s">
        <v>30</v>
      </c>
      <c r="C17">
        <v>138</v>
      </c>
      <c r="D17" t="s">
        <v>13</v>
      </c>
      <c r="E17" t="s">
        <v>11</v>
      </c>
      <c r="F17">
        <v>16</v>
      </c>
      <c r="G17">
        <v>13.54</v>
      </c>
      <c r="H17">
        <v>-30.71</v>
      </c>
      <c r="I17">
        <v>2.647999</v>
      </c>
      <c r="J17">
        <v>5.0903429999999998</v>
      </c>
      <c r="K17">
        <v>0.68</v>
      </c>
    </row>
    <row r="18" spans="1:11" x14ac:dyDescent="0.3">
      <c r="A18">
        <v>16</v>
      </c>
      <c r="B18" t="s">
        <v>30</v>
      </c>
      <c r="C18">
        <v>138</v>
      </c>
      <c r="D18" t="s">
        <v>13</v>
      </c>
      <c r="E18" t="s">
        <v>11</v>
      </c>
      <c r="F18">
        <v>16</v>
      </c>
      <c r="G18">
        <v>13.69</v>
      </c>
      <c r="H18">
        <v>-30.16</v>
      </c>
      <c r="I18">
        <v>3.7631230000000002</v>
      </c>
      <c r="J18">
        <v>4.1594350000000002</v>
      </c>
      <c r="K18">
        <v>1.22</v>
      </c>
    </row>
    <row r="19" spans="1:11" x14ac:dyDescent="0.3">
      <c r="A19">
        <v>17</v>
      </c>
      <c r="B19" t="s">
        <v>30</v>
      </c>
      <c r="C19">
        <v>138</v>
      </c>
      <c r="D19" t="s">
        <v>13</v>
      </c>
      <c r="E19" t="s">
        <v>11</v>
      </c>
      <c r="F19">
        <v>16</v>
      </c>
      <c r="G19">
        <v>14.23</v>
      </c>
      <c r="H19">
        <v>-30.16</v>
      </c>
      <c r="I19">
        <v>2.9469599999999998</v>
      </c>
      <c r="J19">
        <v>5.0724070000000001</v>
      </c>
      <c r="K19">
        <v>2.46</v>
      </c>
    </row>
    <row r="20" spans="1:11" x14ac:dyDescent="0.3">
      <c r="A20">
        <v>18</v>
      </c>
      <c r="B20" t="s">
        <v>30</v>
      </c>
      <c r="C20">
        <v>138</v>
      </c>
      <c r="D20" t="s">
        <v>13</v>
      </c>
      <c r="E20" t="s">
        <v>11</v>
      </c>
      <c r="F20">
        <v>16</v>
      </c>
      <c r="G20">
        <v>13.99</v>
      </c>
      <c r="H20">
        <v>-30.19</v>
      </c>
      <c r="I20">
        <v>2.5815510000000002</v>
      </c>
      <c r="J20">
        <v>5.248329</v>
      </c>
      <c r="K20">
        <v>1.44</v>
      </c>
    </row>
    <row r="21" spans="1:11" x14ac:dyDescent="0.3">
      <c r="A21">
        <v>19</v>
      </c>
      <c r="B21" t="s">
        <v>30</v>
      </c>
      <c r="C21">
        <v>138</v>
      </c>
      <c r="D21" t="s">
        <v>13</v>
      </c>
      <c r="E21" t="s">
        <v>11</v>
      </c>
      <c r="F21">
        <v>16</v>
      </c>
      <c r="G21">
        <v>14.18</v>
      </c>
      <c r="H21">
        <v>-30.83</v>
      </c>
      <c r="I21">
        <v>2.0414349999999999</v>
      </c>
      <c r="J21">
        <v>4.4167290000000001</v>
      </c>
      <c r="K21">
        <v>2.0099999999999998</v>
      </c>
    </row>
    <row r="22" spans="1:11" x14ac:dyDescent="0.3">
      <c r="A22">
        <v>20</v>
      </c>
      <c r="B22" t="s">
        <v>30</v>
      </c>
      <c r="C22">
        <v>138</v>
      </c>
      <c r="D22" t="s">
        <v>13</v>
      </c>
      <c r="E22" t="s">
        <v>11</v>
      </c>
      <c r="F22">
        <v>16</v>
      </c>
      <c r="G22">
        <v>13.9</v>
      </c>
      <c r="H22">
        <v>-30.36</v>
      </c>
      <c r="I22">
        <v>4.0504069999999999</v>
      </c>
      <c r="J22">
        <v>6.4198339999999998</v>
      </c>
      <c r="K22">
        <v>0.42</v>
      </c>
    </row>
    <row r="23" spans="1:11" x14ac:dyDescent="0.3">
      <c r="A23">
        <v>21</v>
      </c>
      <c r="B23" t="s">
        <v>30</v>
      </c>
      <c r="C23">
        <v>138</v>
      </c>
      <c r="D23" t="s">
        <v>13</v>
      </c>
      <c r="E23" t="s">
        <v>11</v>
      </c>
      <c r="F23">
        <v>16</v>
      </c>
      <c r="G23">
        <v>14.08</v>
      </c>
      <c r="H23">
        <v>-30.3</v>
      </c>
      <c r="I23">
        <v>2.9418410000000002</v>
      </c>
      <c r="J23">
        <v>5.5079120000000001</v>
      </c>
      <c r="K23">
        <v>0.56999999999999995</v>
      </c>
    </row>
    <row r="24" spans="1:11" x14ac:dyDescent="0.3">
      <c r="A24">
        <v>22</v>
      </c>
      <c r="B24" t="s">
        <v>30</v>
      </c>
      <c r="C24">
        <v>138</v>
      </c>
      <c r="D24" t="s">
        <v>13</v>
      </c>
      <c r="E24" t="s">
        <v>11</v>
      </c>
      <c r="F24">
        <v>16</v>
      </c>
      <c r="G24">
        <v>13.92</v>
      </c>
      <c r="H24">
        <v>-30.15</v>
      </c>
      <c r="I24">
        <v>3.1333730000000002</v>
      </c>
      <c r="J24">
        <v>5.267563</v>
      </c>
      <c r="K24">
        <v>-0.76</v>
      </c>
    </row>
    <row r="25" spans="1:11" x14ac:dyDescent="0.3">
      <c r="A25">
        <v>23</v>
      </c>
      <c r="B25" t="s">
        <v>30</v>
      </c>
      <c r="C25">
        <v>138</v>
      </c>
      <c r="D25" t="s">
        <v>13</v>
      </c>
      <c r="E25" t="s">
        <v>11</v>
      </c>
      <c r="F25">
        <v>16</v>
      </c>
      <c r="G25">
        <v>14.2</v>
      </c>
      <c r="H25">
        <v>-30.5</v>
      </c>
      <c r="I25">
        <v>2.2203750000000002</v>
      </c>
      <c r="J25">
        <v>4.3724210000000001</v>
      </c>
      <c r="K25">
        <v>1.51</v>
      </c>
    </row>
    <row r="26" spans="1:11" x14ac:dyDescent="0.3">
      <c r="A26">
        <v>24</v>
      </c>
      <c r="B26" t="s">
        <v>30</v>
      </c>
      <c r="C26">
        <v>138</v>
      </c>
      <c r="D26" t="s">
        <v>13</v>
      </c>
      <c r="E26" t="s">
        <v>11</v>
      </c>
      <c r="F26">
        <v>16</v>
      </c>
      <c r="G26">
        <v>13.59</v>
      </c>
      <c r="H26">
        <v>-30.05</v>
      </c>
      <c r="I26">
        <v>2.1958730000000002</v>
      </c>
      <c r="J26">
        <v>4.443092</v>
      </c>
      <c r="K26">
        <v>10.34</v>
      </c>
    </row>
    <row r="27" spans="1:11" x14ac:dyDescent="0.3">
      <c r="A27">
        <v>25</v>
      </c>
      <c r="B27" t="s">
        <v>30</v>
      </c>
      <c r="C27">
        <v>138</v>
      </c>
      <c r="D27" t="s">
        <v>13</v>
      </c>
      <c r="E27" t="s">
        <v>11</v>
      </c>
      <c r="F27">
        <v>16</v>
      </c>
      <c r="G27">
        <v>13.76</v>
      </c>
      <c r="H27">
        <v>-30.85</v>
      </c>
      <c r="I27">
        <v>-0.15523149999999999</v>
      </c>
      <c r="J27">
        <v>2.5989110000000002</v>
      </c>
      <c r="K27">
        <v>-0.15</v>
      </c>
    </row>
    <row r="28" spans="1:11" x14ac:dyDescent="0.3">
      <c r="A28">
        <v>26</v>
      </c>
      <c r="B28" t="s">
        <v>30</v>
      </c>
      <c r="C28">
        <v>138</v>
      </c>
      <c r="D28" t="s">
        <v>13</v>
      </c>
      <c r="E28" t="s">
        <v>11</v>
      </c>
      <c r="F28">
        <v>16</v>
      </c>
      <c r="G28">
        <v>13.73</v>
      </c>
      <c r="H28">
        <v>-29.85</v>
      </c>
      <c r="I28" t="s">
        <v>31</v>
      </c>
      <c r="J28" t="s">
        <v>31</v>
      </c>
      <c r="K28">
        <v>-100</v>
      </c>
    </row>
    <row r="29" spans="1:11" x14ac:dyDescent="0.3">
      <c r="A29">
        <v>27</v>
      </c>
      <c r="B29" t="s">
        <v>30</v>
      </c>
      <c r="C29">
        <v>138</v>
      </c>
      <c r="D29" t="s">
        <v>13</v>
      </c>
      <c r="E29" t="s">
        <v>11</v>
      </c>
      <c r="F29">
        <v>16</v>
      </c>
      <c r="G29">
        <v>13.72</v>
      </c>
      <c r="H29">
        <v>-30.51</v>
      </c>
      <c r="I29">
        <v>1.8116000000000001</v>
      </c>
      <c r="J29">
        <v>3.8608889999999998</v>
      </c>
      <c r="K29">
        <v>3.15</v>
      </c>
    </row>
    <row r="30" spans="1:11" x14ac:dyDescent="0.3">
      <c r="A30">
        <v>28</v>
      </c>
      <c r="B30" t="s">
        <v>30</v>
      </c>
      <c r="C30">
        <v>138</v>
      </c>
      <c r="D30" t="s">
        <v>13</v>
      </c>
      <c r="E30" t="s">
        <v>11</v>
      </c>
      <c r="F30">
        <v>16</v>
      </c>
      <c r="G30">
        <v>13.58</v>
      </c>
      <c r="H30">
        <v>-30.61</v>
      </c>
      <c r="I30">
        <v>1.7239949999999999</v>
      </c>
      <c r="J30">
        <v>3.643837</v>
      </c>
      <c r="K30">
        <v>-0.28999999999999998</v>
      </c>
    </row>
    <row r="31" spans="1:11" x14ac:dyDescent="0.3">
      <c r="A31">
        <v>29</v>
      </c>
      <c r="B31" t="s">
        <v>30</v>
      </c>
      <c r="C31">
        <v>138</v>
      </c>
      <c r="D31" t="s">
        <v>13</v>
      </c>
      <c r="E31" t="s">
        <v>11</v>
      </c>
      <c r="F31">
        <v>16</v>
      </c>
      <c r="G31">
        <v>13.78</v>
      </c>
      <c r="H31">
        <v>-30.17</v>
      </c>
      <c r="I31">
        <v>2.5028760000000001</v>
      </c>
      <c r="J31">
        <v>4.9088969999999996</v>
      </c>
      <c r="K31">
        <v>4.41</v>
      </c>
    </row>
    <row r="32" spans="1:11" x14ac:dyDescent="0.3">
      <c r="A32">
        <v>30</v>
      </c>
      <c r="B32" t="s">
        <v>30</v>
      </c>
      <c r="C32">
        <v>138</v>
      </c>
      <c r="D32" t="s">
        <v>13</v>
      </c>
      <c r="E32" t="s">
        <v>11</v>
      </c>
      <c r="F32">
        <v>16</v>
      </c>
      <c r="G32">
        <v>13.99</v>
      </c>
      <c r="H32">
        <v>-31.76</v>
      </c>
      <c r="I32">
        <v>-1.891079</v>
      </c>
      <c r="J32">
        <v>0.20118710000000001</v>
      </c>
      <c r="K32">
        <v>1.47</v>
      </c>
    </row>
    <row r="33" spans="1:11" x14ac:dyDescent="0.3">
      <c r="A33">
        <v>31</v>
      </c>
      <c r="B33" t="s">
        <v>30</v>
      </c>
      <c r="C33">
        <v>138</v>
      </c>
      <c r="D33" t="s">
        <v>13</v>
      </c>
      <c r="E33" t="s">
        <v>11</v>
      </c>
      <c r="F33">
        <v>16</v>
      </c>
      <c r="G33">
        <v>13.75</v>
      </c>
      <c r="H33">
        <v>-31.45</v>
      </c>
      <c r="I33">
        <v>0.95908740000000003</v>
      </c>
      <c r="J33">
        <v>3.0717349999999999</v>
      </c>
      <c r="K33">
        <v>0.43</v>
      </c>
    </row>
    <row r="34" spans="1:11" x14ac:dyDescent="0.3">
      <c r="A34">
        <v>32</v>
      </c>
      <c r="B34" t="s">
        <v>30</v>
      </c>
      <c r="C34">
        <v>138</v>
      </c>
      <c r="D34" t="s">
        <v>13</v>
      </c>
      <c r="E34" t="s">
        <v>11</v>
      </c>
      <c r="F34">
        <v>16</v>
      </c>
      <c r="G34">
        <v>13.87</v>
      </c>
      <c r="H34">
        <v>-31.03</v>
      </c>
      <c r="I34">
        <v>2.3143419999999999</v>
      </c>
      <c r="J34">
        <v>4.7128220000000001</v>
      </c>
      <c r="K34">
        <v>0.15</v>
      </c>
    </row>
    <row r="35" spans="1:11" x14ac:dyDescent="0.3">
      <c r="A35">
        <v>33</v>
      </c>
      <c r="B35" t="s">
        <v>30</v>
      </c>
      <c r="C35">
        <v>138</v>
      </c>
      <c r="D35" t="s">
        <v>13</v>
      </c>
      <c r="E35" t="s">
        <v>11</v>
      </c>
      <c r="F35">
        <v>16</v>
      </c>
      <c r="G35">
        <v>13.62</v>
      </c>
      <c r="H35">
        <v>-30.13</v>
      </c>
      <c r="I35">
        <v>0.45684049999999998</v>
      </c>
      <c r="J35">
        <v>2.6259990000000002</v>
      </c>
      <c r="K35">
        <v>2.72</v>
      </c>
    </row>
    <row r="36" spans="1:11" x14ac:dyDescent="0.3">
      <c r="A36">
        <v>34</v>
      </c>
      <c r="B36" t="s">
        <v>30</v>
      </c>
      <c r="C36">
        <v>138</v>
      </c>
      <c r="D36" t="s">
        <v>13</v>
      </c>
      <c r="E36" t="s">
        <v>11</v>
      </c>
      <c r="F36">
        <v>16</v>
      </c>
      <c r="G36">
        <v>13.96</v>
      </c>
      <c r="H36">
        <v>-30.98</v>
      </c>
      <c r="I36">
        <v>1.51363</v>
      </c>
      <c r="J36">
        <v>3.5198550000000002</v>
      </c>
      <c r="K36">
        <v>0.76</v>
      </c>
    </row>
    <row r="37" spans="1:11" x14ac:dyDescent="0.3">
      <c r="A37">
        <v>35</v>
      </c>
      <c r="B37" t="s">
        <v>30</v>
      </c>
      <c r="C37">
        <v>138</v>
      </c>
      <c r="D37" t="s">
        <v>13</v>
      </c>
      <c r="E37" t="s">
        <v>11</v>
      </c>
      <c r="F37">
        <v>16</v>
      </c>
      <c r="G37">
        <v>13.99</v>
      </c>
      <c r="H37">
        <v>-31.17</v>
      </c>
      <c r="I37">
        <v>1.3058590000000001</v>
      </c>
      <c r="J37">
        <v>3.6286960000000001</v>
      </c>
      <c r="K37">
        <v>0.34</v>
      </c>
    </row>
    <row r="38" spans="1:11" x14ac:dyDescent="0.3">
      <c r="A38">
        <v>36</v>
      </c>
      <c r="B38" t="s">
        <v>30</v>
      </c>
      <c r="C38">
        <v>138</v>
      </c>
      <c r="D38" t="s">
        <v>13</v>
      </c>
      <c r="E38" t="s">
        <v>11</v>
      </c>
      <c r="F38">
        <v>16</v>
      </c>
      <c r="G38">
        <v>13.9</v>
      </c>
      <c r="H38">
        <v>-31.33</v>
      </c>
      <c r="I38">
        <v>1.0771790000000001</v>
      </c>
      <c r="J38">
        <v>3.4773710000000002</v>
      </c>
      <c r="K38">
        <v>-0.12</v>
      </c>
    </row>
    <row r="39" spans="1:11" x14ac:dyDescent="0.3">
      <c r="A39">
        <v>37</v>
      </c>
      <c r="B39" t="s">
        <v>30</v>
      </c>
      <c r="C39">
        <v>138</v>
      </c>
      <c r="D39" t="s">
        <v>13</v>
      </c>
      <c r="E39" t="s">
        <v>11</v>
      </c>
      <c r="F39">
        <v>16</v>
      </c>
      <c r="G39">
        <v>13.86</v>
      </c>
      <c r="H39">
        <v>-30.62</v>
      </c>
      <c r="I39">
        <v>1.857731</v>
      </c>
      <c r="J39">
        <v>4.1508640000000003</v>
      </c>
      <c r="K39">
        <v>0.4</v>
      </c>
    </row>
    <row r="40" spans="1:11" x14ac:dyDescent="0.3">
      <c r="A40">
        <v>38</v>
      </c>
      <c r="B40" t="s">
        <v>30</v>
      </c>
      <c r="C40">
        <v>138</v>
      </c>
      <c r="D40" t="s">
        <v>13</v>
      </c>
      <c r="E40" t="s">
        <v>11</v>
      </c>
      <c r="F40">
        <v>16</v>
      </c>
      <c r="G40">
        <v>13.91</v>
      </c>
      <c r="H40">
        <v>-30.91</v>
      </c>
      <c r="I40">
        <v>2.450809</v>
      </c>
      <c r="J40">
        <v>4.3348009999999997</v>
      </c>
      <c r="K40">
        <v>0.83</v>
      </c>
    </row>
    <row r="41" spans="1:11" x14ac:dyDescent="0.3">
      <c r="A41">
        <v>39</v>
      </c>
      <c r="B41" t="s">
        <v>30</v>
      </c>
      <c r="C41">
        <v>138</v>
      </c>
      <c r="D41" t="s">
        <v>13</v>
      </c>
      <c r="E41" t="s">
        <v>11</v>
      </c>
      <c r="F41">
        <v>16</v>
      </c>
      <c r="G41">
        <v>13.47</v>
      </c>
      <c r="H41">
        <v>-31.4</v>
      </c>
      <c r="I41">
        <v>1.8299449999999999</v>
      </c>
      <c r="J41">
        <v>3.8736760000000001</v>
      </c>
      <c r="K41">
        <v>-0.13</v>
      </c>
    </row>
    <row r="42" spans="1:11" x14ac:dyDescent="0.3">
      <c r="A42">
        <v>40</v>
      </c>
      <c r="B42" t="s">
        <v>30</v>
      </c>
      <c r="C42">
        <v>138</v>
      </c>
      <c r="D42" t="s">
        <v>13</v>
      </c>
      <c r="E42" t="s">
        <v>11</v>
      </c>
      <c r="F42">
        <v>16</v>
      </c>
      <c r="G42">
        <v>13.64</v>
      </c>
      <c r="H42">
        <v>-31.15</v>
      </c>
      <c r="I42">
        <v>1.1453359999999999</v>
      </c>
      <c r="J42">
        <v>3.353844</v>
      </c>
      <c r="K42">
        <v>-100</v>
      </c>
    </row>
    <row r="43" spans="1:11" x14ac:dyDescent="0.3">
      <c r="A43">
        <v>41</v>
      </c>
      <c r="B43" t="s">
        <v>30</v>
      </c>
      <c r="C43">
        <v>138</v>
      </c>
      <c r="D43" t="s">
        <v>13</v>
      </c>
      <c r="E43" t="s">
        <v>11</v>
      </c>
      <c r="F43">
        <v>16</v>
      </c>
      <c r="G43">
        <v>13.86</v>
      </c>
      <c r="H43">
        <v>-30.53</v>
      </c>
      <c r="I43">
        <v>1.540524</v>
      </c>
      <c r="J43">
        <v>3.906555</v>
      </c>
      <c r="K43">
        <v>-1.84</v>
      </c>
    </row>
    <row r="44" spans="1:11" x14ac:dyDescent="0.3">
      <c r="A44">
        <v>42</v>
      </c>
      <c r="B44" t="s">
        <v>30</v>
      </c>
      <c r="C44">
        <v>138</v>
      </c>
      <c r="D44" t="s">
        <v>13</v>
      </c>
      <c r="E44" t="s">
        <v>11</v>
      </c>
      <c r="F44">
        <v>16</v>
      </c>
      <c r="G44">
        <v>13.45</v>
      </c>
      <c r="H44">
        <v>-30.25</v>
      </c>
      <c r="I44">
        <v>3.0975380000000001</v>
      </c>
      <c r="J44">
        <v>5.4334300000000004</v>
      </c>
      <c r="K44">
        <v>2.13</v>
      </c>
    </row>
    <row r="45" spans="1:11" x14ac:dyDescent="0.3">
      <c r="A45">
        <v>43</v>
      </c>
      <c r="B45" t="s">
        <v>30</v>
      </c>
      <c r="C45">
        <v>138</v>
      </c>
      <c r="D45" t="s">
        <v>13</v>
      </c>
      <c r="E45" t="s">
        <v>11</v>
      </c>
      <c r="F45">
        <v>16</v>
      </c>
      <c r="G45">
        <v>13.81</v>
      </c>
      <c r="H45">
        <v>-31.96</v>
      </c>
      <c r="I45">
        <v>0.33661649999999999</v>
      </c>
      <c r="J45">
        <v>2.4706610000000002</v>
      </c>
      <c r="K45">
        <v>0.71</v>
      </c>
    </row>
    <row r="46" spans="1:11" x14ac:dyDescent="0.3">
      <c r="A46">
        <v>44</v>
      </c>
      <c r="B46" t="s">
        <v>30</v>
      </c>
      <c r="C46">
        <v>138</v>
      </c>
      <c r="D46" t="s">
        <v>13</v>
      </c>
      <c r="E46" t="s">
        <v>11</v>
      </c>
      <c r="F46">
        <v>16</v>
      </c>
      <c r="G46">
        <v>13.84</v>
      </c>
      <c r="H46">
        <v>-32.020000000000003</v>
      </c>
      <c r="I46">
        <v>1.516178</v>
      </c>
      <c r="J46">
        <v>4.1036609999999998</v>
      </c>
      <c r="K46">
        <v>0.36</v>
      </c>
    </row>
    <row r="47" spans="1:11" x14ac:dyDescent="0.3">
      <c r="A47">
        <v>45</v>
      </c>
      <c r="B47" t="s">
        <v>30</v>
      </c>
      <c r="C47">
        <v>138</v>
      </c>
      <c r="D47" t="s">
        <v>13</v>
      </c>
      <c r="E47" t="s">
        <v>11</v>
      </c>
      <c r="F47">
        <v>16</v>
      </c>
      <c r="G47">
        <v>13.63</v>
      </c>
      <c r="H47">
        <v>-31.22</v>
      </c>
      <c r="I47">
        <v>1.6179619999999999</v>
      </c>
      <c r="J47">
        <v>4.2484929999999999</v>
      </c>
      <c r="K47">
        <v>2.52</v>
      </c>
    </row>
    <row r="48" spans="1:11" x14ac:dyDescent="0.3">
      <c r="A48">
        <v>46</v>
      </c>
      <c r="B48" t="s">
        <v>30</v>
      </c>
      <c r="C48">
        <v>138</v>
      </c>
      <c r="D48" t="s">
        <v>13</v>
      </c>
      <c r="E48" t="s">
        <v>11</v>
      </c>
      <c r="F48">
        <v>16</v>
      </c>
      <c r="G48">
        <v>13.84</v>
      </c>
      <c r="H48">
        <v>-30.91</v>
      </c>
      <c r="I48">
        <v>3.733295</v>
      </c>
      <c r="J48">
        <v>5.9781420000000001</v>
      </c>
      <c r="K48">
        <v>-0.22</v>
      </c>
    </row>
    <row r="49" spans="1:11" x14ac:dyDescent="0.3">
      <c r="A49">
        <v>47</v>
      </c>
      <c r="B49" t="s">
        <v>30</v>
      </c>
      <c r="C49">
        <v>138</v>
      </c>
      <c r="D49" t="s">
        <v>13</v>
      </c>
      <c r="E49" t="s">
        <v>11</v>
      </c>
      <c r="F49">
        <v>16</v>
      </c>
      <c r="G49">
        <v>13.68</v>
      </c>
      <c r="H49">
        <v>-30.75</v>
      </c>
      <c r="I49">
        <v>1.1941409999999999</v>
      </c>
      <c r="J49">
        <v>3.8704640000000001</v>
      </c>
      <c r="K49">
        <v>0.65</v>
      </c>
    </row>
    <row r="50" spans="1:11" x14ac:dyDescent="0.3">
      <c r="A50">
        <v>48</v>
      </c>
      <c r="B50" t="s">
        <v>30</v>
      </c>
      <c r="C50">
        <v>138</v>
      </c>
      <c r="D50" t="s">
        <v>13</v>
      </c>
      <c r="E50" t="s">
        <v>11</v>
      </c>
      <c r="F50">
        <v>16</v>
      </c>
      <c r="G50">
        <v>13.76</v>
      </c>
      <c r="H50">
        <v>-30.33</v>
      </c>
      <c r="I50">
        <v>3.0201259999999999</v>
      </c>
      <c r="J50">
        <v>5.3841549999999998</v>
      </c>
      <c r="K50">
        <v>11.84</v>
      </c>
    </row>
    <row r="51" spans="1:11" x14ac:dyDescent="0.3">
      <c r="A51">
        <v>49</v>
      </c>
      <c r="B51" t="s">
        <v>30</v>
      </c>
      <c r="C51">
        <v>138</v>
      </c>
      <c r="D51" t="s">
        <v>13</v>
      </c>
      <c r="E51" t="s">
        <v>11</v>
      </c>
      <c r="F51">
        <v>16</v>
      </c>
      <c r="G51">
        <v>13.7</v>
      </c>
      <c r="H51">
        <v>-29.97</v>
      </c>
      <c r="I51">
        <v>2.452137</v>
      </c>
      <c r="J51">
        <v>4.4457659999999999</v>
      </c>
      <c r="K51">
        <v>3.86</v>
      </c>
    </row>
    <row r="52" spans="1:11" x14ac:dyDescent="0.3">
      <c r="A52">
        <v>50</v>
      </c>
      <c r="B52" t="s">
        <v>30</v>
      </c>
      <c r="C52">
        <v>138</v>
      </c>
      <c r="D52" t="s">
        <v>13</v>
      </c>
      <c r="E52" t="s">
        <v>11</v>
      </c>
      <c r="F52">
        <v>16</v>
      </c>
      <c r="G52">
        <v>13.54</v>
      </c>
      <c r="H52">
        <v>-31.27</v>
      </c>
      <c r="I52">
        <v>0.65849299999999999</v>
      </c>
      <c r="J52">
        <v>3.015476</v>
      </c>
      <c r="K52">
        <v>0.06</v>
      </c>
    </row>
    <row r="53" spans="1:11" x14ac:dyDescent="0.3">
      <c r="A53">
        <v>51</v>
      </c>
      <c r="B53" t="s">
        <v>30</v>
      </c>
      <c r="C53">
        <v>138</v>
      </c>
      <c r="D53" t="s">
        <v>13</v>
      </c>
      <c r="E53" t="s">
        <v>11</v>
      </c>
      <c r="F53">
        <v>16</v>
      </c>
      <c r="G53">
        <v>13.53</v>
      </c>
      <c r="H53">
        <v>-31.64</v>
      </c>
      <c r="I53">
        <v>-0.36085509999999998</v>
      </c>
      <c r="J53">
        <v>2.0566140000000002</v>
      </c>
      <c r="K53">
        <v>-1.29</v>
      </c>
    </row>
    <row r="54" spans="1:11" x14ac:dyDescent="0.3">
      <c r="A54">
        <v>52</v>
      </c>
      <c r="B54" t="s">
        <v>30</v>
      </c>
      <c r="C54">
        <v>138</v>
      </c>
      <c r="D54" t="s">
        <v>13</v>
      </c>
      <c r="E54" t="s">
        <v>11</v>
      </c>
      <c r="F54">
        <v>16</v>
      </c>
      <c r="G54">
        <v>13.88</v>
      </c>
      <c r="H54">
        <v>-31.06</v>
      </c>
      <c r="I54">
        <v>1.6325799999999999</v>
      </c>
      <c r="J54">
        <v>3.841148</v>
      </c>
      <c r="K54">
        <v>-1.58</v>
      </c>
    </row>
    <row r="55" spans="1:11" x14ac:dyDescent="0.3">
      <c r="A55">
        <v>53</v>
      </c>
      <c r="B55" t="s">
        <v>30</v>
      </c>
      <c r="C55">
        <v>138</v>
      </c>
      <c r="D55" t="s">
        <v>13</v>
      </c>
      <c r="E55" t="s">
        <v>11</v>
      </c>
      <c r="F55">
        <v>16</v>
      </c>
      <c r="G55">
        <v>13.4</v>
      </c>
      <c r="H55">
        <v>-30.48</v>
      </c>
      <c r="I55">
        <v>1.979843</v>
      </c>
      <c r="J55">
        <v>4.3511509999999998</v>
      </c>
      <c r="K55">
        <v>10.73</v>
      </c>
    </row>
    <row r="56" spans="1:11" x14ac:dyDescent="0.3">
      <c r="A56">
        <v>54</v>
      </c>
      <c r="B56" t="s">
        <v>30</v>
      </c>
      <c r="C56">
        <v>138</v>
      </c>
      <c r="D56" t="s">
        <v>13</v>
      </c>
      <c r="E56" t="s">
        <v>11</v>
      </c>
      <c r="F56">
        <v>16</v>
      </c>
      <c r="G56">
        <v>13.54</v>
      </c>
      <c r="H56">
        <v>-30.95</v>
      </c>
      <c r="I56">
        <v>1.4658089999999999</v>
      </c>
      <c r="J56">
        <v>3.6469040000000001</v>
      </c>
      <c r="K56">
        <v>-1.93</v>
      </c>
    </row>
    <row r="57" spans="1:11" x14ac:dyDescent="0.3">
      <c r="A57">
        <v>55</v>
      </c>
      <c r="B57" t="s">
        <v>30</v>
      </c>
      <c r="C57">
        <v>138</v>
      </c>
      <c r="D57" t="s">
        <v>13</v>
      </c>
      <c r="E57" t="s">
        <v>11</v>
      </c>
      <c r="F57">
        <v>16</v>
      </c>
      <c r="G57">
        <v>13.51</v>
      </c>
      <c r="H57">
        <v>-31.07</v>
      </c>
      <c r="I57">
        <v>1.5919650000000001</v>
      </c>
      <c r="J57">
        <v>4.0909810000000002</v>
      </c>
      <c r="K57">
        <v>-1.72</v>
      </c>
    </row>
    <row r="58" spans="1:11" x14ac:dyDescent="0.3">
      <c r="A58">
        <v>56</v>
      </c>
      <c r="B58" t="s">
        <v>30</v>
      </c>
      <c r="C58">
        <v>138</v>
      </c>
      <c r="D58" t="s">
        <v>13</v>
      </c>
      <c r="E58" t="s">
        <v>11</v>
      </c>
      <c r="F58">
        <v>16</v>
      </c>
      <c r="G58">
        <v>13.19</v>
      </c>
      <c r="H58">
        <v>-30.9</v>
      </c>
      <c r="I58">
        <v>1.029911</v>
      </c>
      <c r="J58">
        <v>3.319607</v>
      </c>
      <c r="K58">
        <v>-2.39</v>
      </c>
    </row>
    <row r="59" spans="1:11" x14ac:dyDescent="0.3">
      <c r="A59">
        <v>57</v>
      </c>
      <c r="B59" t="s">
        <v>30</v>
      </c>
      <c r="C59">
        <v>138</v>
      </c>
      <c r="D59" t="s">
        <v>13</v>
      </c>
      <c r="E59" t="s">
        <v>11</v>
      </c>
      <c r="F59">
        <v>16</v>
      </c>
      <c r="G59">
        <v>13.7</v>
      </c>
      <c r="H59">
        <v>-30.3</v>
      </c>
      <c r="I59">
        <v>3.2574689999999999</v>
      </c>
      <c r="J59">
        <v>4.4439700000000002</v>
      </c>
      <c r="K59">
        <v>-0.44</v>
      </c>
    </row>
    <row r="60" spans="1:11" x14ac:dyDescent="0.3">
      <c r="A60">
        <v>58</v>
      </c>
      <c r="B60" t="s">
        <v>30</v>
      </c>
      <c r="C60">
        <v>138</v>
      </c>
      <c r="D60" t="s">
        <v>13</v>
      </c>
      <c r="E60" t="s">
        <v>11</v>
      </c>
      <c r="F60">
        <v>16</v>
      </c>
      <c r="G60">
        <v>13.65</v>
      </c>
      <c r="H60">
        <v>-30.42</v>
      </c>
      <c r="I60">
        <v>3.1624029999999999</v>
      </c>
      <c r="J60">
        <v>5.6800160000000002</v>
      </c>
      <c r="K60">
        <v>3.2</v>
      </c>
    </row>
    <row r="61" spans="1:11" x14ac:dyDescent="0.3">
      <c r="A61">
        <v>59</v>
      </c>
      <c r="B61" t="s">
        <v>30</v>
      </c>
      <c r="C61">
        <v>138</v>
      </c>
      <c r="D61" t="s">
        <v>13</v>
      </c>
      <c r="E61" t="s">
        <v>11</v>
      </c>
      <c r="F61">
        <v>16</v>
      </c>
      <c r="G61">
        <v>13.41</v>
      </c>
      <c r="H61">
        <v>-30.18</v>
      </c>
      <c r="I61">
        <v>3.3349530000000001</v>
      </c>
      <c r="J61">
        <v>5.5353969999999997</v>
      </c>
      <c r="K61">
        <v>1.21</v>
      </c>
    </row>
    <row r="62" spans="1:11" x14ac:dyDescent="0.3">
      <c r="A62">
        <v>60</v>
      </c>
      <c r="B62" t="s">
        <v>30</v>
      </c>
      <c r="C62">
        <v>138</v>
      </c>
      <c r="D62" t="s">
        <v>13</v>
      </c>
      <c r="E62" t="s">
        <v>11</v>
      </c>
      <c r="F62">
        <v>16</v>
      </c>
      <c r="G62">
        <v>13.48</v>
      </c>
      <c r="H62">
        <v>-30.27</v>
      </c>
      <c r="I62">
        <v>3.0646930000000001</v>
      </c>
      <c r="J62">
        <v>5.2308690000000002</v>
      </c>
      <c r="K62">
        <v>2.2200000000000002</v>
      </c>
    </row>
    <row r="63" spans="1:11" x14ac:dyDescent="0.3">
      <c r="A63">
        <v>61</v>
      </c>
      <c r="B63" t="s">
        <v>30</v>
      </c>
      <c r="C63">
        <v>138</v>
      </c>
      <c r="D63" t="s">
        <v>13</v>
      </c>
      <c r="E63" t="s">
        <v>11</v>
      </c>
      <c r="F63">
        <v>16</v>
      </c>
      <c r="G63">
        <v>13.61</v>
      </c>
      <c r="H63">
        <v>-29.94</v>
      </c>
      <c r="I63">
        <v>4.8249550000000001</v>
      </c>
      <c r="J63">
        <v>6.0581019999999999</v>
      </c>
      <c r="K63">
        <v>-0.02</v>
      </c>
    </row>
    <row r="64" spans="1:11" x14ac:dyDescent="0.3">
      <c r="A64">
        <v>62</v>
      </c>
      <c r="B64" t="s">
        <v>30</v>
      </c>
      <c r="C64">
        <v>138</v>
      </c>
      <c r="D64" t="s">
        <v>13</v>
      </c>
      <c r="E64" t="s">
        <v>11</v>
      </c>
      <c r="F64">
        <v>16</v>
      </c>
      <c r="G64">
        <v>13.51</v>
      </c>
      <c r="H64">
        <v>-30.63</v>
      </c>
      <c r="I64">
        <v>2.0007100000000002</v>
      </c>
      <c r="J64">
        <v>4.2189139999999998</v>
      </c>
      <c r="K64">
        <v>-2.04</v>
      </c>
    </row>
    <row r="65" spans="1:11" x14ac:dyDescent="0.3">
      <c r="A65">
        <v>63</v>
      </c>
      <c r="B65" t="s">
        <v>30</v>
      </c>
      <c r="C65">
        <v>138</v>
      </c>
      <c r="D65" t="s">
        <v>13</v>
      </c>
      <c r="E65" t="s">
        <v>11</v>
      </c>
      <c r="F65">
        <v>16</v>
      </c>
      <c r="G65">
        <v>13.79</v>
      </c>
      <c r="H65">
        <v>-30.66</v>
      </c>
      <c r="I65">
        <v>2.0485190000000002</v>
      </c>
      <c r="J65">
        <v>4.2810480000000002</v>
      </c>
      <c r="K65">
        <v>0.91</v>
      </c>
    </row>
    <row r="66" spans="1:11" x14ac:dyDescent="0.3">
      <c r="A66">
        <v>64</v>
      </c>
      <c r="B66" t="s">
        <v>30</v>
      </c>
      <c r="C66">
        <v>138</v>
      </c>
      <c r="D66" t="s">
        <v>13</v>
      </c>
      <c r="E66" t="s">
        <v>11</v>
      </c>
      <c r="F66">
        <v>16</v>
      </c>
      <c r="G66">
        <v>13.66</v>
      </c>
      <c r="H66">
        <v>-30.4</v>
      </c>
      <c r="I66">
        <v>2.050217</v>
      </c>
      <c r="J66">
        <v>4.4572180000000001</v>
      </c>
      <c r="K66">
        <v>0.28999999999999998</v>
      </c>
    </row>
    <row r="67" spans="1:11" x14ac:dyDescent="0.3">
      <c r="A67">
        <v>65</v>
      </c>
      <c r="B67" t="s">
        <v>30</v>
      </c>
      <c r="C67">
        <v>138</v>
      </c>
      <c r="D67" t="s">
        <v>13</v>
      </c>
      <c r="E67" t="s">
        <v>11</v>
      </c>
      <c r="F67">
        <v>16</v>
      </c>
      <c r="G67">
        <v>13.57</v>
      </c>
      <c r="H67">
        <v>-30.42</v>
      </c>
      <c r="I67">
        <v>3.4620129999999998</v>
      </c>
      <c r="J67">
        <v>5.6342999999999996</v>
      </c>
      <c r="K67">
        <v>-0.74</v>
      </c>
    </row>
    <row r="68" spans="1:11" x14ac:dyDescent="0.3">
      <c r="A68">
        <v>66</v>
      </c>
      <c r="B68" t="s">
        <v>30</v>
      </c>
      <c r="C68">
        <v>138</v>
      </c>
      <c r="D68" t="s">
        <v>13</v>
      </c>
      <c r="E68" t="s">
        <v>11</v>
      </c>
      <c r="F68">
        <v>16</v>
      </c>
      <c r="G68">
        <v>13.35</v>
      </c>
      <c r="H68">
        <v>-30.37</v>
      </c>
      <c r="I68">
        <v>1.6688460000000001</v>
      </c>
      <c r="J68">
        <v>4.147068</v>
      </c>
      <c r="K68">
        <v>0.38</v>
      </c>
    </row>
    <row r="69" spans="1:11" x14ac:dyDescent="0.3">
      <c r="A69">
        <v>67</v>
      </c>
      <c r="B69" t="s">
        <v>30</v>
      </c>
      <c r="C69">
        <v>138</v>
      </c>
      <c r="D69" t="s">
        <v>13</v>
      </c>
      <c r="E69" t="s">
        <v>11</v>
      </c>
      <c r="F69">
        <v>16</v>
      </c>
      <c r="G69">
        <v>13.8</v>
      </c>
      <c r="H69">
        <v>-29.69</v>
      </c>
      <c r="I69">
        <v>3.6037599999999999</v>
      </c>
      <c r="J69">
        <v>5.7518229999999999</v>
      </c>
      <c r="K69">
        <v>50.28</v>
      </c>
    </row>
    <row r="70" spans="1:11" x14ac:dyDescent="0.3">
      <c r="A70">
        <v>68</v>
      </c>
      <c r="B70" t="s">
        <v>30</v>
      </c>
      <c r="C70">
        <v>138</v>
      </c>
      <c r="D70" t="s">
        <v>13</v>
      </c>
      <c r="E70" t="s">
        <v>11</v>
      </c>
      <c r="F70">
        <v>16</v>
      </c>
      <c r="G70">
        <v>13.57</v>
      </c>
      <c r="H70">
        <v>-31.22</v>
      </c>
      <c r="I70">
        <v>1.4206430000000001</v>
      </c>
      <c r="J70">
        <v>3.7528459999999999</v>
      </c>
      <c r="K70">
        <v>1.58</v>
      </c>
    </row>
    <row r="71" spans="1:11" x14ac:dyDescent="0.3">
      <c r="A71">
        <v>69</v>
      </c>
      <c r="B71" t="s">
        <v>30</v>
      </c>
      <c r="C71">
        <v>138</v>
      </c>
      <c r="D71" t="s">
        <v>13</v>
      </c>
      <c r="E71" t="s">
        <v>11</v>
      </c>
      <c r="F71">
        <v>16</v>
      </c>
      <c r="G71">
        <v>13.6</v>
      </c>
      <c r="H71">
        <v>-31.18</v>
      </c>
      <c r="I71">
        <v>0.62409590000000004</v>
      </c>
      <c r="J71">
        <v>2.8077619999999999</v>
      </c>
      <c r="K71">
        <v>-0.14000000000000001</v>
      </c>
    </row>
    <row r="72" spans="1:11" x14ac:dyDescent="0.3">
      <c r="A72">
        <v>70</v>
      </c>
      <c r="B72" t="s">
        <v>30</v>
      </c>
      <c r="C72">
        <v>138</v>
      </c>
      <c r="D72" t="s">
        <v>13</v>
      </c>
      <c r="E72" t="s">
        <v>11</v>
      </c>
      <c r="F72">
        <v>16</v>
      </c>
      <c r="G72">
        <v>13.71</v>
      </c>
      <c r="H72">
        <v>-29.49</v>
      </c>
      <c r="I72">
        <v>2.5663800000000001</v>
      </c>
      <c r="J72">
        <v>4.9916729999999996</v>
      </c>
      <c r="K72">
        <v>7.55</v>
      </c>
    </row>
    <row r="73" spans="1:11" x14ac:dyDescent="0.3">
      <c r="A73">
        <v>71</v>
      </c>
      <c r="B73" t="s">
        <v>30</v>
      </c>
      <c r="C73">
        <v>138</v>
      </c>
      <c r="D73" t="s">
        <v>13</v>
      </c>
      <c r="E73" t="s">
        <v>11</v>
      </c>
      <c r="F73">
        <v>16</v>
      </c>
      <c r="G73">
        <v>13.4</v>
      </c>
      <c r="H73">
        <v>-30.3</v>
      </c>
      <c r="I73">
        <v>3.8114620000000001</v>
      </c>
      <c r="J73">
        <v>6.0742229999999999</v>
      </c>
      <c r="K73">
        <v>-1.65</v>
      </c>
    </row>
    <row r="74" spans="1:11" x14ac:dyDescent="0.3">
      <c r="A74">
        <v>72</v>
      </c>
      <c r="B74" t="s">
        <v>30</v>
      </c>
      <c r="C74">
        <v>138</v>
      </c>
      <c r="D74" t="s">
        <v>13</v>
      </c>
      <c r="E74" t="s">
        <v>11</v>
      </c>
      <c r="F74">
        <v>16</v>
      </c>
      <c r="G74">
        <v>13.38</v>
      </c>
      <c r="H74">
        <v>-29.77</v>
      </c>
      <c r="I74">
        <v>3.1410520000000002</v>
      </c>
      <c r="J74">
        <v>5.2610929999999998</v>
      </c>
      <c r="K74">
        <v>3.91</v>
      </c>
    </row>
    <row r="75" spans="1:11" x14ac:dyDescent="0.3">
      <c r="A75">
        <v>73</v>
      </c>
      <c r="B75" t="s">
        <v>30</v>
      </c>
      <c r="C75">
        <v>138</v>
      </c>
      <c r="D75" t="s">
        <v>13</v>
      </c>
      <c r="E75" t="s">
        <v>11</v>
      </c>
      <c r="F75">
        <v>16</v>
      </c>
      <c r="G75">
        <v>13.85</v>
      </c>
      <c r="H75">
        <v>-30.28</v>
      </c>
      <c r="I75">
        <v>2.7594829999999999</v>
      </c>
      <c r="J75">
        <v>4.6640620000000004</v>
      </c>
      <c r="K75">
        <v>0.63</v>
      </c>
    </row>
    <row r="76" spans="1:11" x14ac:dyDescent="0.3">
      <c r="A76">
        <v>74</v>
      </c>
      <c r="B76" t="s">
        <v>30</v>
      </c>
      <c r="C76">
        <v>138</v>
      </c>
      <c r="D76" t="s">
        <v>13</v>
      </c>
      <c r="E76" t="s">
        <v>11</v>
      </c>
      <c r="F76">
        <v>16</v>
      </c>
      <c r="G76">
        <v>13.75</v>
      </c>
      <c r="H76">
        <v>-30.42</v>
      </c>
      <c r="I76">
        <v>3.4562529999999998</v>
      </c>
      <c r="J76">
        <v>5.8468970000000002</v>
      </c>
      <c r="K76">
        <v>5.28</v>
      </c>
    </row>
    <row r="77" spans="1:11" x14ac:dyDescent="0.3">
      <c r="A77">
        <v>75</v>
      </c>
      <c r="B77" t="s">
        <v>30</v>
      </c>
      <c r="C77">
        <v>138</v>
      </c>
      <c r="D77" t="s">
        <v>13</v>
      </c>
      <c r="E77" t="s">
        <v>11</v>
      </c>
      <c r="F77">
        <v>16</v>
      </c>
      <c r="G77">
        <v>13.77</v>
      </c>
      <c r="H77">
        <v>-30.22</v>
      </c>
      <c r="I77">
        <v>4.1259920000000001</v>
      </c>
      <c r="J77">
        <v>6.1046870000000002</v>
      </c>
      <c r="K77">
        <v>-0.94</v>
      </c>
    </row>
    <row r="78" spans="1:11" x14ac:dyDescent="0.3">
      <c r="A78">
        <v>76</v>
      </c>
      <c r="B78" t="s">
        <v>30</v>
      </c>
      <c r="C78">
        <v>138</v>
      </c>
      <c r="D78" t="s">
        <v>13</v>
      </c>
      <c r="E78" t="s">
        <v>11</v>
      </c>
      <c r="F78">
        <v>16</v>
      </c>
      <c r="G78">
        <v>13.76</v>
      </c>
      <c r="H78">
        <v>-30.26</v>
      </c>
      <c r="I78">
        <v>3.2254070000000001</v>
      </c>
      <c r="J78">
        <v>5.3384859999999996</v>
      </c>
      <c r="K78">
        <v>0.33</v>
      </c>
    </row>
    <row r="79" spans="1:11" x14ac:dyDescent="0.3">
      <c r="A79">
        <v>77</v>
      </c>
      <c r="B79" t="s">
        <v>30</v>
      </c>
      <c r="C79">
        <v>138</v>
      </c>
      <c r="D79" t="s">
        <v>13</v>
      </c>
      <c r="E79" t="s">
        <v>11</v>
      </c>
      <c r="F79">
        <v>16</v>
      </c>
      <c r="G79">
        <v>13.83</v>
      </c>
      <c r="H79">
        <v>-30.13</v>
      </c>
      <c r="I79">
        <v>5.1754150000000001</v>
      </c>
      <c r="J79">
        <v>7.5432090000000001</v>
      </c>
      <c r="K79">
        <v>1</v>
      </c>
    </row>
    <row r="80" spans="1:11" x14ac:dyDescent="0.3">
      <c r="A80">
        <v>78</v>
      </c>
      <c r="B80" t="s">
        <v>30</v>
      </c>
      <c r="C80">
        <v>138</v>
      </c>
      <c r="D80" t="s">
        <v>13</v>
      </c>
      <c r="E80" t="s">
        <v>11</v>
      </c>
      <c r="F80">
        <v>16</v>
      </c>
      <c r="G80">
        <v>13.77</v>
      </c>
      <c r="H80">
        <v>-30</v>
      </c>
      <c r="I80">
        <v>4.9687919999999997</v>
      </c>
      <c r="J80">
        <v>7.1237259999999996</v>
      </c>
      <c r="K80">
        <v>0.88</v>
      </c>
    </row>
    <row r="81" spans="1:11" x14ac:dyDescent="0.3">
      <c r="A81">
        <v>79</v>
      </c>
      <c r="B81" t="s">
        <v>30</v>
      </c>
      <c r="C81">
        <v>138</v>
      </c>
      <c r="D81" t="s">
        <v>13</v>
      </c>
      <c r="E81" t="s">
        <v>11</v>
      </c>
      <c r="F81">
        <v>16</v>
      </c>
      <c r="G81">
        <v>13.74</v>
      </c>
      <c r="H81">
        <v>-30.31</v>
      </c>
      <c r="I81">
        <v>3.6777920000000002</v>
      </c>
      <c r="J81">
        <v>6.0467610000000001</v>
      </c>
      <c r="K81">
        <v>1.41</v>
      </c>
    </row>
    <row r="82" spans="1:11" x14ac:dyDescent="0.3">
      <c r="A82">
        <v>80</v>
      </c>
      <c r="B82" t="s">
        <v>30</v>
      </c>
      <c r="C82">
        <v>138</v>
      </c>
      <c r="D82" t="s">
        <v>13</v>
      </c>
      <c r="E82" t="s">
        <v>11</v>
      </c>
      <c r="F82">
        <v>16</v>
      </c>
      <c r="G82">
        <v>13.97</v>
      </c>
      <c r="H82">
        <v>-30.18</v>
      </c>
      <c r="I82">
        <v>4.5789220000000004</v>
      </c>
      <c r="J82">
        <v>6.9992029999999996</v>
      </c>
      <c r="K82">
        <v>0.78</v>
      </c>
    </row>
    <row r="83" spans="1:11" x14ac:dyDescent="0.3">
      <c r="A83">
        <v>81</v>
      </c>
      <c r="B83" t="s">
        <v>30</v>
      </c>
      <c r="C83">
        <v>138</v>
      </c>
      <c r="D83" t="s">
        <v>13</v>
      </c>
      <c r="E83" t="s">
        <v>11</v>
      </c>
      <c r="F83">
        <v>16</v>
      </c>
      <c r="G83">
        <v>13.88</v>
      </c>
      <c r="H83">
        <v>-30.3</v>
      </c>
      <c r="I83">
        <v>2.3956409999999999</v>
      </c>
      <c r="J83">
        <v>4.7243769999999996</v>
      </c>
      <c r="K83">
        <v>0.38</v>
      </c>
    </row>
    <row r="84" spans="1:11" x14ac:dyDescent="0.3">
      <c r="A84">
        <v>82</v>
      </c>
      <c r="B84" t="s">
        <v>30</v>
      </c>
      <c r="C84">
        <v>138</v>
      </c>
      <c r="D84" t="s">
        <v>13</v>
      </c>
      <c r="E84" t="s">
        <v>11</v>
      </c>
      <c r="F84">
        <v>16</v>
      </c>
      <c r="G84">
        <v>13.88</v>
      </c>
      <c r="H84">
        <v>-30.04</v>
      </c>
      <c r="I84">
        <v>4.277355</v>
      </c>
      <c r="J84">
        <v>6.3256759999999996</v>
      </c>
      <c r="K84">
        <v>-0.08</v>
      </c>
    </row>
    <row r="85" spans="1:11" x14ac:dyDescent="0.3">
      <c r="A85">
        <v>83</v>
      </c>
      <c r="B85" t="s">
        <v>30</v>
      </c>
      <c r="C85">
        <v>138</v>
      </c>
      <c r="D85" t="s">
        <v>13</v>
      </c>
      <c r="E85" t="s">
        <v>11</v>
      </c>
      <c r="F85">
        <v>16</v>
      </c>
      <c r="G85">
        <v>13.29</v>
      </c>
      <c r="H85">
        <v>-29.62</v>
      </c>
      <c r="I85">
        <v>5.4915240000000001</v>
      </c>
      <c r="J85">
        <v>7.6885260000000004</v>
      </c>
      <c r="K85">
        <v>1.39</v>
      </c>
    </row>
    <row r="86" spans="1:11" x14ac:dyDescent="0.3">
      <c r="A86">
        <v>84</v>
      </c>
      <c r="B86" t="s">
        <v>30</v>
      </c>
      <c r="C86">
        <v>138</v>
      </c>
      <c r="D86" t="s">
        <v>13</v>
      </c>
      <c r="E86" t="s">
        <v>11</v>
      </c>
      <c r="F86">
        <v>16</v>
      </c>
      <c r="G86">
        <v>13.66</v>
      </c>
      <c r="H86">
        <v>-29.39</v>
      </c>
      <c r="I86">
        <v>2.9775200000000002</v>
      </c>
      <c r="J86">
        <v>5.0310129999999997</v>
      </c>
      <c r="K86">
        <v>3.03</v>
      </c>
    </row>
    <row r="87" spans="1:11" x14ac:dyDescent="0.3">
      <c r="A87">
        <v>85</v>
      </c>
      <c r="B87" t="s">
        <v>30</v>
      </c>
      <c r="C87">
        <v>138</v>
      </c>
      <c r="D87" t="s">
        <v>13</v>
      </c>
      <c r="E87" t="s">
        <v>11</v>
      </c>
      <c r="F87">
        <v>16</v>
      </c>
      <c r="G87">
        <v>13.73</v>
      </c>
      <c r="H87">
        <v>-30.12</v>
      </c>
      <c r="I87">
        <v>4.1524279999999996</v>
      </c>
      <c r="J87">
        <v>6.2372170000000002</v>
      </c>
      <c r="K87">
        <v>-0.39</v>
      </c>
    </row>
    <row r="88" spans="1:11" x14ac:dyDescent="0.3">
      <c r="A88">
        <v>86</v>
      </c>
      <c r="B88" t="s">
        <v>30</v>
      </c>
      <c r="C88">
        <v>138</v>
      </c>
      <c r="D88" t="s">
        <v>13</v>
      </c>
      <c r="E88" t="s">
        <v>11</v>
      </c>
      <c r="F88">
        <v>16</v>
      </c>
      <c r="G88">
        <v>13.45</v>
      </c>
      <c r="H88">
        <v>-30.12</v>
      </c>
      <c r="I88">
        <v>3.7159580000000001</v>
      </c>
      <c r="J88">
        <v>5.9312930000000001</v>
      </c>
      <c r="K88">
        <v>-1.19</v>
      </c>
    </row>
    <row r="89" spans="1:11" x14ac:dyDescent="0.3">
      <c r="A89">
        <v>87</v>
      </c>
      <c r="B89" t="s">
        <v>30</v>
      </c>
      <c r="C89">
        <v>138</v>
      </c>
      <c r="D89" t="s">
        <v>13</v>
      </c>
      <c r="E89" t="s">
        <v>11</v>
      </c>
      <c r="F89">
        <v>16</v>
      </c>
      <c r="G89">
        <v>13.56</v>
      </c>
      <c r="H89">
        <v>-30.15</v>
      </c>
      <c r="I89">
        <v>3.0736539999999999</v>
      </c>
      <c r="J89">
        <v>5.2623899999999999</v>
      </c>
      <c r="K89">
        <v>-1.1399999999999999</v>
      </c>
    </row>
    <row r="90" spans="1:11" x14ac:dyDescent="0.3">
      <c r="A90">
        <v>88</v>
      </c>
      <c r="B90" t="s">
        <v>30</v>
      </c>
      <c r="C90">
        <v>138</v>
      </c>
      <c r="D90" t="s">
        <v>13</v>
      </c>
      <c r="E90" t="s">
        <v>11</v>
      </c>
      <c r="F90">
        <v>16</v>
      </c>
      <c r="G90">
        <v>13.68</v>
      </c>
      <c r="H90">
        <v>-30.01</v>
      </c>
      <c r="I90">
        <v>3.386196</v>
      </c>
      <c r="J90">
        <v>5.7838440000000002</v>
      </c>
      <c r="K90">
        <v>1.17</v>
      </c>
    </row>
    <row r="91" spans="1:11" x14ac:dyDescent="0.3">
      <c r="A91">
        <v>89</v>
      </c>
      <c r="B91" t="s">
        <v>30</v>
      </c>
      <c r="C91">
        <v>138</v>
      </c>
      <c r="D91" t="s">
        <v>13</v>
      </c>
      <c r="E91" t="s">
        <v>11</v>
      </c>
      <c r="F91">
        <v>16</v>
      </c>
      <c r="G91">
        <v>13.58</v>
      </c>
      <c r="H91">
        <v>-30.28</v>
      </c>
      <c r="I91">
        <v>3.2307009999999998</v>
      </c>
      <c r="J91">
        <v>5.206512</v>
      </c>
      <c r="K91">
        <v>1.79</v>
      </c>
    </row>
    <row r="92" spans="1:11" x14ac:dyDescent="0.3">
      <c r="A92">
        <v>90</v>
      </c>
      <c r="B92" t="s">
        <v>30</v>
      </c>
      <c r="C92">
        <v>138</v>
      </c>
      <c r="D92" t="s">
        <v>13</v>
      </c>
      <c r="E92" t="s">
        <v>11</v>
      </c>
      <c r="F92">
        <v>16</v>
      </c>
      <c r="G92">
        <v>13.66</v>
      </c>
      <c r="H92">
        <v>-30.29</v>
      </c>
      <c r="I92">
        <v>2.2164039999999998</v>
      </c>
      <c r="J92">
        <v>4.3446809999999996</v>
      </c>
      <c r="K92">
        <v>0.4</v>
      </c>
    </row>
    <row r="93" spans="1:11" x14ac:dyDescent="0.3">
      <c r="A93">
        <v>91</v>
      </c>
      <c r="B93" t="s">
        <v>30</v>
      </c>
      <c r="C93">
        <v>138</v>
      </c>
      <c r="D93" t="s">
        <v>13</v>
      </c>
      <c r="E93" t="s">
        <v>11</v>
      </c>
      <c r="F93">
        <v>16</v>
      </c>
      <c r="G93">
        <v>13.66</v>
      </c>
      <c r="H93">
        <v>-30.14</v>
      </c>
      <c r="I93">
        <v>4.0700380000000003</v>
      </c>
      <c r="J93">
        <v>6.3540729999999996</v>
      </c>
      <c r="K93">
        <v>4.0199999999999996</v>
      </c>
    </row>
    <row r="94" spans="1:11" x14ac:dyDescent="0.3">
      <c r="A94">
        <v>92</v>
      </c>
      <c r="B94" t="s">
        <v>30</v>
      </c>
      <c r="C94">
        <v>138</v>
      </c>
      <c r="D94" t="s">
        <v>13</v>
      </c>
      <c r="E94" t="s">
        <v>11</v>
      </c>
      <c r="F94">
        <v>16</v>
      </c>
      <c r="G94">
        <v>13.54</v>
      </c>
      <c r="H94">
        <v>-30.09</v>
      </c>
      <c r="I94">
        <v>2.4017719999999998</v>
      </c>
      <c r="J94">
        <v>4.5194970000000003</v>
      </c>
      <c r="K94">
        <v>5.13</v>
      </c>
    </row>
    <row r="95" spans="1:11" x14ac:dyDescent="0.3">
      <c r="A95">
        <v>93</v>
      </c>
      <c r="B95" t="s">
        <v>30</v>
      </c>
      <c r="C95">
        <v>138</v>
      </c>
      <c r="D95" t="s">
        <v>13</v>
      </c>
      <c r="E95" t="s">
        <v>11</v>
      </c>
      <c r="F95">
        <v>16</v>
      </c>
      <c r="G95">
        <v>13.58</v>
      </c>
      <c r="H95">
        <v>-30.51</v>
      </c>
      <c r="I95">
        <v>2.0723880000000001</v>
      </c>
      <c r="J95">
        <v>4.2575909999999997</v>
      </c>
      <c r="K95">
        <v>-0.8</v>
      </c>
    </row>
    <row r="96" spans="1:11" x14ac:dyDescent="0.3">
      <c r="A96">
        <v>94</v>
      </c>
      <c r="B96" t="s">
        <v>30</v>
      </c>
      <c r="C96">
        <v>138</v>
      </c>
      <c r="D96" t="s">
        <v>13</v>
      </c>
      <c r="E96" t="s">
        <v>11</v>
      </c>
      <c r="F96">
        <v>16</v>
      </c>
      <c r="G96">
        <v>13.79</v>
      </c>
      <c r="H96">
        <v>-30.29</v>
      </c>
      <c r="I96">
        <v>2.3126829999999998</v>
      </c>
      <c r="J96">
        <v>4.8951719999999996</v>
      </c>
      <c r="K96">
        <v>0.28000000000000003</v>
      </c>
    </row>
    <row r="97" spans="1:11" x14ac:dyDescent="0.3">
      <c r="A97">
        <v>95</v>
      </c>
      <c r="B97" t="s">
        <v>30</v>
      </c>
      <c r="C97">
        <v>138</v>
      </c>
      <c r="D97" t="s">
        <v>13</v>
      </c>
      <c r="E97" t="s">
        <v>11</v>
      </c>
      <c r="F97">
        <v>16</v>
      </c>
      <c r="G97">
        <v>13.68</v>
      </c>
      <c r="H97">
        <v>-30.39</v>
      </c>
      <c r="I97">
        <v>3.2300339999999998</v>
      </c>
      <c r="J97">
        <v>5.9144629999999996</v>
      </c>
      <c r="K97">
        <v>0.33</v>
      </c>
    </row>
    <row r="98" spans="1:11" x14ac:dyDescent="0.3">
      <c r="A98">
        <v>96</v>
      </c>
      <c r="B98" t="s">
        <v>30</v>
      </c>
      <c r="C98">
        <v>138</v>
      </c>
      <c r="D98" t="s">
        <v>13</v>
      </c>
      <c r="E98" t="s">
        <v>11</v>
      </c>
      <c r="F98">
        <v>16</v>
      </c>
      <c r="G98">
        <v>13.81</v>
      </c>
      <c r="H98">
        <v>-30.44</v>
      </c>
      <c r="I98">
        <v>2.0637089999999998</v>
      </c>
      <c r="J98">
        <v>4.3141980000000002</v>
      </c>
      <c r="K98">
        <v>0.7</v>
      </c>
    </row>
    <row r="99" spans="1:11" x14ac:dyDescent="0.3">
      <c r="A99">
        <v>97</v>
      </c>
      <c r="B99" t="s">
        <v>30</v>
      </c>
      <c r="C99">
        <v>138</v>
      </c>
      <c r="D99" t="s">
        <v>13</v>
      </c>
      <c r="E99" t="s">
        <v>11</v>
      </c>
      <c r="F99">
        <v>16</v>
      </c>
      <c r="G99">
        <v>13.08</v>
      </c>
      <c r="H99">
        <v>-30.56</v>
      </c>
      <c r="I99">
        <v>2.0546570000000002</v>
      </c>
      <c r="J99">
        <v>4.5973740000000003</v>
      </c>
      <c r="K99">
        <v>0.63</v>
      </c>
    </row>
    <row r="100" spans="1:11" x14ac:dyDescent="0.3">
      <c r="A100">
        <v>98</v>
      </c>
      <c r="B100" t="s">
        <v>30</v>
      </c>
      <c r="C100">
        <v>138</v>
      </c>
      <c r="D100" t="s">
        <v>13</v>
      </c>
      <c r="E100" t="s">
        <v>11</v>
      </c>
      <c r="F100">
        <v>16</v>
      </c>
      <c r="G100">
        <v>13.51</v>
      </c>
      <c r="H100">
        <v>-30.66</v>
      </c>
      <c r="I100">
        <v>1.6740109999999999</v>
      </c>
      <c r="J100">
        <v>3.9612850000000002</v>
      </c>
      <c r="K100">
        <v>1.08</v>
      </c>
    </row>
    <row r="101" spans="1:11" x14ac:dyDescent="0.3">
      <c r="A101">
        <v>99</v>
      </c>
      <c r="B101" t="s">
        <v>30</v>
      </c>
      <c r="C101">
        <v>138</v>
      </c>
      <c r="D101" t="s">
        <v>13</v>
      </c>
      <c r="E101" t="s">
        <v>11</v>
      </c>
      <c r="F101">
        <v>16</v>
      </c>
      <c r="G101">
        <v>13.72</v>
      </c>
      <c r="H101">
        <v>-30.14</v>
      </c>
      <c r="I101" t="s">
        <v>31</v>
      </c>
      <c r="J101" t="s">
        <v>31</v>
      </c>
      <c r="K101">
        <v>-100</v>
      </c>
    </row>
    <row r="102" spans="1:11" x14ac:dyDescent="0.3">
      <c r="A102">
        <v>100</v>
      </c>
      <c r="B102" t="s">
        <v>30</v>
      </c>
      <c r="C102">
        <v>138</v>
      </c>
      <c r="D102" t="s">
        <v>13</v>
      </c>
      <c r="E102" t="s">
        <v>11</v>
      </c>
      <c r="F102">
        <v>16</v>
      </c>
      <c r="G102">
        <v>13.87</v>
      </c>
      <c r="H102">
        <v>-29.99</v>
      </c>
      <c r="I102">
        <v>3.1740949999999999</v>
      </c>
      <c r="J102">
        <v>5.3566209999999996</v>
      </c>
      <c r="K102">
        <v>2.87</v>
      </c>
    </row>
    <row r="103" spans="1:11" x14ac:dyDescent="0.3">
      <c r="A103">
        <v>101</v>
      </c>
      <c r="B103" t="s">
        <v>30</v>
      </c>
      <c r="C103">
        <v>138</v>
      </c>
      <c r="D103" t="s">
        <v>13</v>
      </c>
      <c r="E103" t="s">
        <v>11</v>
      </c>
      <c r="F103">
        <v>16</v>
      </c>
      <c r="G103">
        <v>13.75</v>
      </c>
      <c r="H103">
        <v>-30.72</v>
      </c>
      <c r="I103">
        <v>1.5317080000000001</v>
      </c>
      <c r="J103">
        <v>3.7141190000000002</v>
      </c>
      <c r="K103">
        <v>-0.49</v>
      </c>
    </row>
    <row r="104" spans="1:11" x14ac:dyDescent="0.3">
      <c r="A104">
        <v>102</v>
      </c>
      <c r="B104" t="s">
        <v>30</v>
      </c>
      <c r="C104">
        <v>138</v>
      </c>
      <c r="D104" t="s">
        <v>13</v>
      </c>
      <c r="E104" t="s">
        <v>11</v>
      </c>
      <c r="F104">
        <v>16</v>
      </c>
      <c r="G104">
        <v>13.74</v>
      </c>
      <c r="H104">
        <v>-30.46</v>
      </c>
      <c r="I104">
        <v>1.1377679999999999</v>
      </c>
      <c r="J104">
        <v>3.466812</v>
      </c>
      <c r="K104">
        <v>0.7</v>
      </c>
    </row>
    <row r="105" spans="1:11" x14ac:dyDescent="0.3">
      <c r="A105">
        <v>103</v>
      </c>
      <c r="B105" t="s">
        <v>30</v>
      </c>
      <c r="C105">
        <v>138</v>
      </c>
      <c r="D105" t="s">
        <v>13</v>
      </c>
      <c r="E105" t="s">
        <v>11</v>
      </c>
      <c r="F105">
        <v>16</v>
      </c>
      <c r="G105">
        <v>13.73</v>
      </c>
      <c r="H105">
        <v>-30.21</v>
      </c>
      <c r="I105">
        <v>1.7772220000000001</v>
      </c>
      <c r="J105">
        <v>3.8955039999999999</v>
      </c>
      <c r="K105">
        <v>0.26</v>
      </c>
    </row>
    <row r="106" spans="1:11" x14ac:dyDescent="0.3">
      <c r="A106">
        <v>104</v>
      </c>
      <c r="B106" t="s">
        <v>30</v>
      </c>
      <c r="C106">
        <v>138</v>
      </c>
      <c r="D106" t="s">
        <v>13</v>
      </c>
      <c r="E106" t="s">
        <v>11</v>
      </c>
      <c r="F106">
        <v>16</v>
      </c>
      <c r="G106">
        <v>13.95</v>
      </c>
      <c r="H106">
        <v>-30.28</v>
      </c>
      <c r="I106">
        <v>2.8085170000000002</v>
      </c>
      <c r="J106">
        <v>4.9907149999999998</v>
      </c>
      <c r="K106">
        <v>32.630000000000003</v>
      </c>
    </row>
    <row r="107" spans="1:11" x14ac:dyDescent="0.3">
      <c r="A107">
        <v>105</v>
      </c>
      <c r="B107" t="s">
        <v>30</v>
      </c>
      <c r="C107">
        <v>138</v>
      </c>
      <c r="D107" t="s">
        <v>13</v>
      </c>
      <c r="E107" t="s">
        <v>11</v>
      </c>
      <c r="F107">
        <v>16</v>
      </c>
      <c r="G107">
        <v>13.73</v>
      </c>
      <c r="H107">
        <v>-30.26</v>
      </c>
      <c r="I107">
        <v>3.101448</v>
      </c>
      <c r="J107">
        <v>5.1915440000000004</v>
      </c>
      <c r="K107">
        <v>0.19</v>
      </c>
    </row>
    <row r="108" spans="1:11" x14ac:dyDescent="0.3">
      <c r="A108">
        <v>106</v>
      </c>
      <c r="B108" t="s">
        <v>30</v>
      </c>
      <c r="C108">
        <v>138</v>
      </c>
      <c r="D108" t="s">
        <v>13</v>
      </c>
      <c r="E108" t="s">
        <v>11</v>
      </c>
      <c r="F108">
        <v>16</v>
      </c>
      <c r="G108">
        <v>13.69</v>
      </c>
      <c r="H108">
        <v>-29.92</v>
      </c>
      <c r="I108">
        <v>3.7545280000000001</v>
      </c>
      <c r="J108">
        <v>6.0042270000000002</v>
      </c>
      <c r="K108">
        <v>6.97</v>
      </c>
    </row>
    <row r="109" spans="1:11" x14ac:dyDescent="0.3">
      <c r="A109">
        <v>107</v>
      </c>
      <c r="B109" t="s">
        <v>30</v>
      </c>
      <c r="C109">
        <v>138</v>
      </c>
      <c r="D109" t="s">
        <v>13</v>
      </c>
      <c r="E109" t="s">
        <v>11</v>
      </c>
      <c r="F109">
        <v>16</v>
      </c>
      <c r="G109">
        <v>14.06</v>
      </c>
      <c r="H109">
        <v>-30.21</v>
      </c>
      <c r="I109">
        <v>1.9891779999999999</v>
      </c>
      <c r="J109">
        <v>4.6585539999999996</v>
      </c>
      <c r="K109">
        <v>0.53</v>
      </c>
    </row>
    <row r="110" spans="1:11" x14ac:dyDescent="0.3">
      <c r="A110">
        <v>108</v>
      </c>
      <c r="B110" t="s">
        <v>30</v>
      </c>
      <c r="C110">
        <v>138</v>
      </c>
      <c r="D110" t="s">
        <v>13</v>
      </c>
      <c r="E110" t="s">
        <v>11</v>
      </c>
      <c r="F110">
        <v>16</v>
      </c>
      <c r="G110">
        <v>13.91</v>
      </c>
      <c r="H110">
        <v>-29.97</v>
      </c>
      <c r="I110">
        <v>4.5736730000000003</v>
      </c>
      <c r="J110">
        <v>6.6447719999999997</v>
      </c>
      <c r="K110">
        <v>2.27</v>
      </c>
    </row>
    <row r="111" spans="1:11" x14ac:dyDescent="0.3">
      <c r="A111">
        <v>109</v>
      </c>
      <c r="B111" t="s">
        <v>30</v>
      </c>
      <c r="C111">
        <v>138</v>
      </c>
      <c r="D111" t="s">
        <v>13</v>
      </c>
      <c r="E111" t="s">
        <v>11</v>
      </c>
      <c r="F111">
        <v>16</v>
      </c>
      <c r="G111">
        <v>13.66</v>
      </c>
      <c r="H111">
        <v>-30.43</v>
      </c>
      <c r="I111">
        <v>3.4434469999999999</v>
      </c>
      <c r="J111">
        <v>5.740856</v>
      </c>
      <c r="K111">
        <v>1.34</v>
      </c>
    </row>
    <row r="112" spans="1:11" x14ac:dyDescent="0.3">
      <c r="A112">
        <v>110</v>
      </c>
      <c r="B112" t="s">
        <v>30</v>
      </c>
      <c r="C112">
        <v>138</v>
      </c>
      <c r="D112" t="s">
        <v>13</v>
      </c>
      <c r="E112" t="s">
        <v>11</v>
      </c>
      <c r="F112">
        <v>16</v>
      </c>
      <c r="G112">
        <v>13.83</v>
      </c>
      <c r="H112">
        <v>-29.91</v>
      </c>
      <c r="I112">
        <v>4.7521100000000001</v>
      </c>
      <c r="J112">
        <v>7.115723</v>
      </c>
      <c r="K112">
        <v>4.34</v>
      </c>
    </row>
    <row r="113" spans="1:11" x14ac:dyDescent="0.3">
      <c r="A113">
        <v>111</v>
      </c>
      <c r="B113" t="s">
        <v>30</v>
      </c>
      <c r="C113">
        <v>138</v>
      </c>
      <c r="D113" t="s">
        <v>13</v>
      </c>
      <c r="E113" t="s">
        <v>11</v>
      </c>
      <c r="F113">
        <v>16</v>
      </c>
      <c r="G113">
        <v>14.08</v>
      </c>
      <c r="H113">
        <v>-30.43</v>
      </c>
      <c r="I113">
        <v>1.595818</v>
      </c>
      <c r="J113">
        <v>3.8606799999999999</v>
      </c>
      <c r="K113">
        <v>4.37</v>
      </c>
    </row>
    <row r="114" spans="1:11" x14ac:dyDescent="0.3">
      <c r="A114">
        <v>112</v>
      </c>
      <c r="B114" t="s">
        <v>30</v>
      </c>
      <c r="C114">
        <v>138</v>
      </c>
      <c r="D114" t="s">
        <v>13</v>
      </c>
      <c r="E114" t="s">
        <v>11</v>
      </c>
      <c r="F114">
        <v>16</v>
      </c>
      <c r="G114">
        <v>13.8</v>
      </c>
      <c r="H114">
        <v>-30.1</v>
      </c>
      <c r="I114">
        <v>2.3990290000000001</v>
      </c>
      <c r="J114">
        <v>4.2876010000000004</v>
      </c>
      <c r="K114">
        <v>6.64</v>
      </c>
    </row>
    <row r="115" spans="1:11" x14ac:dyDescent="0.3">
      <c r="A115">
        <v>113</v>
      </c>
      <c r="B115" t="s">
        <v>30</v>
      </c>
      <c r="C115">
        <v>138</v>
      </c>
      <c r="D115" t="s">
        <v>13</v>
      </c>
      <c r="E115" t="s">
        <v>11</v>
      </c>
      <c r="F115">
        <v>16</v>
      </c>
      <c r="G115">
        <v>13.75</v>
      </c>
      <c r="H115">
        <v>-30.42</v>
      </c>
      <c r="I115">
        <v>2.5270350000000001</v>
      </c>
      <c r="J115">
        <v>5.0781669999999997</v>
      </c>
      <c r="K115">
        <v>0.42</v>
      </c>
    </row>
    <row r="116" spans="1:11" x14ac:dyDescent="0.3">
      <c r="A116">
        <v>114</v>
      </c>
      <c r="B116" t="s">
        <v>30</v>
      </c>
      <c r="C116">
        <v>138</v>
      </c>
      <c r="D116" t="s">
        <v>13</v>
      </c>
      <c r="E116" t="s">
        <v>11</v>
      </c>
      <c r="F116">
        <v>16</v>
      </c>
      <c r="G116">
        <v>13.66</v>
      </c>
      <c r="H116">
        <v>-30.26</v>
      </c>
      <c r="I116" t="s">
        <v>31</v>
      </c>
      <c r="J116" t="s">
        <v>31</v>
      </c>
      <c r="K116">
        <v>-100</v>
      </c>
    </row>
    <row r="117" spans="1:11" x14ac:dyDescent="0.3">
      <c r="A117">
        <v>115</v>
      </c>
      <c r="B117" t="s">
        <v>30</v>
      </c>
      <c r="C117">
        <v>138</v>
      </c>
      <c r="D117" t="s">
        <v>13</v>
      </c>
      <c r="E117" t="s">
        <v>11</v>
      </c>
      <c r="F117">
        <v>16</v>
      </c>
      <c r="G117">
        <v>13.76</v>
      </c>
      <c r="H117">
        <v>-30.37</v>
      </c>
      <c r="I117">
        <v>3.6488719999999999</v>
      </c>
      <c r="J117">
        <v>5.7141419999999998</v>
      </c>
      <c r="K117">
        <v>2.96</v>
      </c>
    </row>
    <row r="118" spans="1:11" x14ac:dyDescent="0.3">
      <c r="A118">
        <v>116</v>
      </c>
      <c r="B118" t="s">
        <v>30</v>
      </c>
      <c r="C118">
        <v>138</v>
      </c>
      <c r="D118" t="s">
        <v>13</v>
      </c>
      <c r="E118" t="s">
        <v>11</v>
      </c>
      <c r="F118">
        <v>16</v>
      </c>
      <c r="G118">
        <v>13.62</v>
      </c>
      <c r="H118">
        <v>-29.83</v>
      </c>
      <c r="I118">
        <v>2.7425540000000002</v>
      </c>
      <c r="J118">
        <v>4.9509619999999996</v>
      </c>
      <c r="K118">
        <v>7.57</v>
      </c>
    </row>
    <row r="119" spans="1:11" x14ac:dyDescent="0.3">
      <c r="A119">
        <v>117</v>
      </c>
      <c r="B119" t="s">
        <v>30</v>
      </c>
      <c r="C119">
        <v>138</v>
      </c>
      <c r="D119" t="s">
        <v>13</v>
      </c>
      <c r="E119" t="s">
        <v>11</v>
      </c>
      <c r="F119">
        <v>16</v>
      </c>
      <c r="G119">
        <v>13.54</v>
      </c>
      <c r="H119">
        <v>-30.05</v>
      </c>
      <c r="I119">
        <v>4.7711139999999999</v>
      </c>
      <c r="J119">
        <v>7.031307</v>
      </c>
      <c r="K119">
        <v>3.03</v>
      </c>
    </row>
    <row r="120" spans="1:11" x14ac:dyDescent="0.3">
      <c r="A120">
        <v>118</v>
      </c>
      <c r="B120" t="s">
        <v>30</v>
      </c>
      <c r="C120">
        <v>138</v>
      </c>
      <c r="D120" t="s">
        <v>13</v>
      </c>
      <c r="E120" t="s">
        <v>11</v>
      </c>
      <c r="F120">
        <v>16</v>
      </c>
      <c r="G120">
        <v>13.97</v>
      </c>
      <c r="H120">
        <v>-30.42</v>
      </c>
      <c r="I120">
        <v>2.3613360000000001</v>
      </c>
      <c r="J120">
        <v>4.4410590000000001</v>
      </c>
      <c r="K120">
        <v>1.22</v>
      </c>
    </row>
    <row r="121" spans="1:11" x14ac:dyDescent="0.3">
      <c r="A121">
        <v>119</v>
      </c>
      <c r="B121" t="s">
        <v>30</v>
      </c>
      <c r="C121">
        <v>138</v>
      </c>
      <c r="D121" t="s">
        <v>13</v>
      </c>
      <c r="E121" t="s">
        <v>11</v>
      </c>
      <c r="F121">
        <v>16</v>
      </c>
      <c r="G121">
        <v>13.57</v>
      </c>
      <c r="H121">
        <v>-29.77</v>
      </c>
      <c r="I121">
        <v>3.9627650000000001</v>
      </c>
      <c r="J121">
        <v>6.7027970000000003</v>
      </c>
      <c r="K121">
        <v>24.68</v>
      </c>
    </row>
    <row r="122" spans="1:11" x14ac:dyDescent="0.3">
      <c r="A122">
        <v>120</v>
      </c>
      <c r="B122" t="s">
        <v>30</v>
      </c>
      <c r="C122">
        <v>138</v>
      </c>
      <c r="D122" t="s">
        <v>13</v>
      </c>
      <c r="E122" t="s">
        <v>11</v>
      </c>
      <c r="F122">
        <v>16</v>
      </c>
      <c r="G122">
        <v>13.78</v>
      </c>
      <c r="H122">
        <v>-29.88</v>
      </c>
      <c r="I122" t="s">
        <v>31</v>
      </c>
      <c r="J122" t="s">
        <v>31</v>
      </c>
      <c r="K122">
        <v>-100</v>
      </c>
    </row>
    <row r="123" spans="1:11" x14ac:dyDescent="0.3">
      <c r="A123">
        <v>121</v>
      </c>
      <c r="B123" t="s">
        <v>30</v>
      </c>
      <c r="C123">
        <v>138</v>
      </c>
      <c r="D123" t="s">
        <v>13</v>
      </c>
      <c r="E123" t="s">
        <v>11</v>
      </c>
      <c r="F123">
        <v>16</v>
      </c>
      <c r="G123">
        <v>13.62</v>
      </c>
      <c r="H123">
        <v>-29.86</v>
      </c>
      <c r="I123">
        <v>3.7743530000000001</v>
      </c>
      <c r="J123">
        <v>6.1653979999999997</v>
      </c>
      <c r="K123">
        <v>4.67</v>
      </c>
    </row>
    <row r="167" spans="1:1" x14ac:dyDescent="0.3">
      <c r="A167" s="5"/>
    </row>
    <row r="203" spans="1:1" x14ac:dyDescent="0.3">
      <c r="A203" s="5"/>
    </row>
  </sheetData>
  <autoFilter ref="A1:U211" xr:uid="{881A0436-8AAF-4C1D-A2F5-1A8158D87C67}">
    <sortState xmlns:xlrd2="http://schemas.microsoft.com/office/spreadsheetml/2017/richdata2" ref="A2:U203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F8B-2572-44E5-AB4E-0CEAE3279126}">
  <dimension ref="A1:V123"/>
  <sheetViews>
    <sheetView zoomScaleNormal="100" workbookViewId="0">
      <selection activeCell="N1" sqref="N1:V3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121</v>
      </c>
      <c r="B2" t="s">
        <v>30</v>
      </c>
      <c r="C2" t="s">
        <v>14</v>
      </c>
      <c r="D2" t="s">
        <v>13</v>
      </c>
      <c r="E2" t="s">
        <v>11</v>
      </c>
      <c r="F2" t="s">
        <v>15</v>
      </c>
      <c r="G2">
        <v>14.23</v>
      </c>
      <c r="H2" t="s">
        <v>32</v>
      </c>
      <c r="I2">
        <v>4.0497170000000002</v>
      </c>
      <c r="J2">
        <v>6.4674529999999999</v>
      </c>
      <c r="K2" t="s">
        <v>33</v>
      </c>
      <c r="V2">
        <v>0</v>
      </c>
    </row>
    <row r="3" spans="1:22" x14ac:dyDescent="0.3">
      <c r="A3">
        <v>84</v>
      </c>
      <c r="B3" t="s">
        <v>30</v>
      </c>
      <c r="C3">
        <v>155</v>
      </c>
      <c r="D3" t="s">
        <v>13</v>
      </c>
      <c r="E3" t="s">
        <v>11</v>
      </c>
      <c r="F3">
        <v>16</v>
      </c>
      <c r="G3">
        <v>14.06</v>
      </c>
      <c r="H3">
        <v>-29.43</v>
      </c>
      <c r="I3">
        <v>3.242607</v>
      </c>
      <c r="J3">
        <v>5.4072649999999998</v>
      </c>
      <c r="K3">
        <v>2.92</v>
      </c>
      <c r="V3">
        <v>0</v>
      </c>
    </row>
    <row r="4" spans="1:22" x14ac:dyDescent="0.3">
      <c r="A4">
        <v>70</v>
      </c>
      <c r="B4" t="s">
        <v>30</v>
      </c>
      <c r="C4">
        <v>155</v>
      </c>
      <c r="D4" t="s">
        <v>13</v>
      </c>
      <c r="E4" t="s">
        <v>11</v>
      </c>
      <c r="F4">
        <v>16</v>
      </c>
      <c r="G4">
        <v>14.22</v>
      </c>
      <c r="H4">
        <v>-29.45</v>
      </c>
      <c r="I4">
        <v>2.971603</v>
      </c>
      <c r="J4">
        <v>5.2971570000000003</v>
      </c>
      <c r="K4">
        <v>7.55</v>
      </c>
    </row>
    <row r="5" spans="1:22" x14ac:dyDescent="0.3">
      <c r="A5">
        <v>67</v>
      </c>
      <c r="B5" t="s">
        <v>30</v>
      </c>
      <c r="C5">
        <v>155</v>
      </c>
      <c r="D5" t="s">
        <v>13</v>
      </c>
      <c r="E5" t="s">
        <v>11</v>
      </c>
      <c r="F5">
        <v>16</v>
      </c>
      <c r="G5">
        <v>14.32</v>
      </c>
      <c r="H5">
        <v>-29.49</v>
      </c>
      <c r="I5">
        <v>3.9498859999999998</v>
      </c>
      <c r="J5">
        <v>6.3472600000000003</v>
      </c>
      <c r="K5">
        <v>42.78</v>
      </c>
    </row>
    <row r="6" spans="1:22" x14ac:dyDescent="0.3">
      <c r="A6">
        <v>83</v>
      </c>
      <c r="B6" t="s">
        <v>30</v>
      </c>
      <c r="C6">
        <v>155</v>
      </c>
      <c r="D6" t="s">
        <v>13</v>
      </c>
      <c r="E6" t="s">
        <v>11</v>
      </c>
      <c r="F6">
        <v>16</v>
      </c>
      <c r="G6">
        <v>13.78</v>
      </c>
      <c r="H6">
        <v>-29.56</v>
      </c>
      <c r="I6">
        <v>5.7786099999999996</v>
      </c>
      <c r="J6">
        <v>8.5422419999999999</v>
      </c>
      <c r="K6">
        <v>1.47</v>
      </c>
    </row>
    <row r="7" spans="1:22" x14ac:dyDescent="0.3">
      <c r="A7">
        <v>72</v>
      </c>
      <c r="B7" t="s">
        <v>30</v>
      </c>
      <c r="C7">
        <v>155</v>
      </c>
      <c r="D7" t="s">
        <v>13</v>
      </c>
      <c r="E7" t="s">
        <v>11</v>
      </c>
      <c r="F7">
        <v>16</v>
      </c>
      <c r="G7">
        <v>14.01</v>
      </c>
      <c r="H7">
        <v>-29.69</v>
      </c>
      <c r="I7">
        <v>3.4941179999999998</v>
      </c>
      <c r="J7">
        <v>6.0287319999999998</v>
      </c>
      <c r="K7">
        <v>3.85</v>
      </c>
    </row>
    <row r="8" spans="1:22" x14ac:dyDescent="0.3">
      <c r="A8">
        <v>8</v>
      </c>
      <c r="B8" t="s">
        <v>30</v>
      </c>
      <c r="C8">
        <v>155</v>
      </c>
      <c r="D8" t="s">
        <v>13</v>
      </c>
      <c r="E8" t="s">
        <v>11</v>
      </c>
      <c r="F8">
        <v>16</v>
      </c>
      <c r="G8">
        <v>14.5</v>
      </c>
      <c r="H8">
        <v>-29.72</v>
      </c>
      <c r="I8">
        <v>3.4811709999999998</v>
      </c>
      <c r="J8">
        <v>5.7761420000000001</v>
      </c>
      <c r="K8">
        <v>4.17</v>
      </c>
    </row>
    <row r="9" spans="1:22" x14ac:dyDescent="0.3">
      <c r="A9">
        <v>119</v>
      </c>
      <c r="B9" t="s">
        <v>30</v>
      </c>
      <c r="C9">
        <v>155</v>
      </c>
      <c r="D9" t="s">
        <v>13</v>
      </c>
      <c r="E9" t="s">
        <v>11</v>
      </c>
      <c r="F9">
        <v>16</v>
      </c>
      <c r="G9">
        <v>14.24</v>
      </c>
      <c r="H9">
        <v>-29.72</v>
      </c>
      <c r="I9">
        <v>4.2893980000000003</v>
      </c>
      <c r="J9">
        <v>6.3853869999999997</v>
      </c>
      <c r="K9">
        <v>24.75</v>
      </c>
    </row>
    <row r="10" spans="1:22" x14ac:dyDescent="0.3">
      <c r="A10">
        <v>26</v>
      </c>
      <c r="B10" t="s">
        <v>30</v>
      </c>
      <c r="C10">
        <v>155</v>
      </c>
      <c r="D10" t="s">
        <v>13</v>
      </c>
      <c r="E10" t="s">
        <v>11</v>
      </c>
      <c r="F10">
        <v>16</v>
      </c>
      <c r="G10">
        <v>14.3</v>
      </c>
      <c r="H10">
        <v>-29.78</v>
      </c>
      <c r="I10">
        <v>3.0811160000000002</v>
      </c>
      <c r="J10">
        <v>5.2491190000000003</v>
      </c>
      <c r="K10">
        <v>3.59</v>
      </c>
    </row>
    <row r="11" spans="1:22" x14ac:dyDescent="0.3">
      <c r="A11">
        <v>120</v>
      </c>
      <c r="B11" t="s">
        <v>30</v>
      </c>
      <c r="C11">
        <v>155</v>
      </c>
      <c r="D11" t="s">
        <v>13</v>
      </c>
      <c r="E11" t="s">
        <v>11</v>
      </c>
      <c r="F11">
        <v>16</v>
      </c>
      <c r="G11">
        <v>14.32</v>
      </c>
      <c r="H11">
        <v>-29.8</v>
      </c>
      <c r="I11">
        <v>2.9794849999999999</v>
      </c>
      <c r="J11">
        <v>5.5274999999999999</v>
      </c>
      <c r="K11">
        <v>-0.2</v>
      </c>
    </row>
    <row r="12" spans="1:22" x14ac:dyDescent="0.3">
      <c r="A12">
        <v>116</v>
      </c>
      <c r="B12" t="s">
        <v>30</v>
      </c>
      <c r="C12">
        <v>155</v>
      </c>
      <c r="D12" t="s">
        <v>13</v>
      </c>
      <c r="E12" t="s">
        <v>11</v>
      </c>
      <c r="F12">
        <v>16</v>
      </c>
      <c r="G12">
        <v>14.08</v>
      </c>
      <c r="H12">
        <v>-29.81</v>
      </c>
      <c r="I12">
        <v>2.94252</v>
      </c>
      <c r="J12">
        <v>5.3360019999999997</v>
      </c>
      <c r="K12">
        <v>7.71</v>
      </c>
    </row>
    <row r="13" spans="1:22" x14ac:dyDescent="0.3">
      <c r="A13">
        <v>110</v>
      </c>
      <c r="B13" t="s">
        <v>30</v>
      </c>
      <c r="C13">
        <v>155</v>
      </c>
      <c r="D13" t="s">
        <v>13</v>
      </c>
      <c r="E13" t="s">
        <v>11</v>
      </c>
      <c r="F13">
        <v>16</v>
      </c>
      <c r="G13">
        <v>14.4</v>
      </c>
      <c r="H13">
        <v>-29.85</v>
      </c>
      <c r="I13">
        <v>5.0133289999999997</v>
      </c>
      <c r="J13">
        <v>7.2492830000000001</v>
      </c>
      <c r="K13">
        <v>4.24</v>
      </c>
    </row>
    <row r="14" spans="1:22" x14ac:dyDescent="0.3">
      <c r="A14">
        <v>106</v>
      </c>
      <c r="B14" t="s">
        <v>30</v>
      </c>
      <c r="C14">
        <v>155</v>
      </c>
      <c r="D14" t="s">
        <v>13</v>
      </c>
      <c r="E14" t="s">
        <v>11</v>
      </c>
      <c r="F14">
        <v>16</v>
      </c>
      <c r="G14">
        <v>14.35</v>
      </c>
      <c r="H14">
        <v>-29.89</v>
      </c>
      <c r="I14">
        <v>4.2146869999999996</v>
      </c>
      <c r="J14">
        <v>6.4306679999999998</v>
      </c>
      <c r="K14">
        <v>7.03</v>
      </c>
    </row>
    <row r="15" spans="1:22" x14ac:dyDescent="0.3">
      <c r="A15">
        <v>78</v>
      </c>
      <c r="B15" t="s">
        <v>30</v>
      </c>
      <c r="C15">
        <v>155</v>
      </c>
      <c r="D15" t="s">
        <v>13</v>
      </c>
      <c r="E15" t="s">
        <v>11</v>
      </c>
      <c r="F15">
        <v>16</v>
      </c>
      <c r="G15">
        <v>14.3</v>
      </c>
      <c r="H15">
        <v>-29.92</v>
      </c>
      <c r="I15">
        <v>5.1682319999999997</v>
      </c>
      <c r="J15">
        <v>7.6152230000000003</v>
      </c>
      <c r="K15">
        <v>0.83</v>
      </c>
    </row>
    <row r="16" spans="1:22" x14ac:dyDescent="0.3">
      <c r="A16">
        <v>108</v>
      </c>
      <c r="B16" t="s">
        <v>30</v>
      </c>
      <c r="C16">
        <v>155</v>
      </c>
      <c r="D16" t="s">
        <v>13</v>
      </c>
      <c r="E16" t="s">
        <v>11</v>
      </c>
      <c r="F16">
        <v>16</v>
      </c>
      <c r="G16">
        <v>14.52</v>
      </c>
      <c r="H16">
        <v>-29.92</v>
      </c>
      <c r="I16">
        <v>4.9222489999999999</v>
      </c>
      <c r="J16">
        <v>7.1441920000000003</v>
      </c>
      <c r="K16">
        <v>2.2799999999999998</v>
      </c>
    </row>
    <row r="17" spans="1:11" x14ac:dyDescent="0.3">
      <c r="A17">
        <v>5</v>
      </c>
      <c r="B17" t="s">
        <v>30</v>
      </c>
      <c r="C17">
        <v>155</v>
      </c>
      <c r="D17" t="s">
        <v>13</v>
      </c>
      <c r="E17" t="s">
        <v>11</v>
      </c>
      <c r="F17">
        <v>16</v>
      </c>
      <c r="G17">
        <v>14.61</v>
      </c>
      <c r="H17">
        <v>-29.93</v>
      </c>
      <c r="I17">
        <v>4.7145770000000002</v>
      </c>
      <c r="J17">
        <v>7.2095149999999997</v>
      </c>
      <c r="K17">
        <v>-0.08</v>
      </c>
    </row>
    <row r="18" spans="1:11" x14ac:dyDescent="0.3">
      <c r="A18">
        <v>7</v>
      </c>
      <c r="B18" t="s">
        <v>30</v>
      </c>
      <c r="C18">
        <v>155</v>
      </c>
      <c r="D18" t="s">
        <v>13</v>
      </c>
      <c r="E18" t="s">
        <v>11</v>
      </c>
      <c r="F18">
        <v>16</v>
      </c>
      <c r="G18">
        <v>14.57</v>
      </c>
      <c r="H18">
        <v>-29.93</v>
      </c>
      <c r="I18">
        <v>4.3164980000000002</v>
      </c>
      <c r="J18">
        <v>6.6984979999999998</v>
      </c>
      <c r="K18">
        <v>-1.65</v>
      </c>
    </row>
    <row r="19" spans="1:11" x14ac:dyDescent="0.3">
      <c r="A19">
        <v>61</v>
      </c>
      <c r="B19" t="s">
        <v>30</v>
      </c>
      <c r="C19">
        <v>155</v>
      </c>
      <c r="D19" t="s">
        <v>13</v>
      </c>
      <c r="E19" t="s">
        <v>11</v>
      </c>
      <c r="F19">
        <v>16</v>
      </c>
      <c r="G19">
        <v>13.9</v>
      </c>
      <c r="H19">
        <v>-29.96</v>
      </c>
      <c r="I19">
        <v>5.1091230000000003</v>
      </c>
      <c r="J19">
        <v>7.2895580000000004</v>
      </c>
      <c r="K19">
        <v>-0.08</v>
      </c>
    </row>
    <row r="20" spans="1:11" x14ac:dyDescent="0.3">
      <c r="A20">
        <v>82</v>
      </c>
      <c r="B20" t="s">
        <v>30</v>
      </c>
      <c r="C20">
        <v>155</v>
      </c>
      <c r="D20" t="s">
        <v>13</v>
      </c>
      <c r="E20" t="s">
        <v>11</v>
      </c>
      <c r="F20">
        <v>16</v>
      </c>
      <c r="G20">
        <v>14.3</v>
      </c>
      <c r="H20">
        <v>-29.98</v>
      </c>
      <c r="I20">
        <v>4.5715709999999996</v>
      </c>
      <c r="J20">
        <v>6.8845140000000002</v>
      </c>
      <c r="K20">
        <v>-7.0000000000000007E-2</v>
      </c>
    </row>
    <row r="21" spans="1:11" x14ac:dyDescent="0.3">
      <c r="A21">
        <v>88</v>
      </c>
      <c r="B21" t="s">
        <v>30</v>
      </c>
      <c r="C21">
        <v>155</v>
      </c>
      <c r="D21" t="s">
        <v>13</v>
      </c>
      <c r="E21" t="s">
        <v>11</v>
      </c>
      <c r="F21">
        <v>16</v>
      </c>
      <c r="G21">
        <v>14.3</v>
      </c>
      <c r="H21">
        <v>-29.98</v>
      </c>
      <c r="I21">
        <v>3.6421429999999999</v>
      </c>
      <c r="J21">
        <v>6.2911720000000004</v>
      </c>
      <c r="K21">
        <v>1.2</v>
      </c>
    </row>
    <row r="22" spans="1:11" x14ac:dyDescent="0.3">
      <c r="A22">
        <v>10</v>
      </c>
      <c r="B22" t="s">
        <v>30</v>
      </c>
      <c r="C22">
        <v>155</v>
      </c>
      <c r="D22" t="s">
        <v>13</v>
      </c>
      <c r="E22" t="s">
        <v>11</v>
      </c>
      <c r="F22">
        <v>16</v>
      </c>
      <c r="G22">
        <v>14.68</v>
      </c>
      <c r="H22">
        <v>-30.01</v>
      </c>
      <c r="I22">
        <v>3.2930030000000001</v>
      </c>
      <c r="J22">
        <v>5.6673470000000004</v>
      </c>
      <c r="K22">
        <v>2.1800000000000002</v>
      </c>
    </row>
    <row r="23" spans="1:11" x14ac:dyDescent="0.3">
      <c r="A23">
        <v>49</v>
      </c>
      <c r="B23" t="s">
        <v>30</v>
      </c>
      <c r="C23">
        <v>155</v>
      </c>
      <c r="D23" t="s">
        <v>13</v>
      </c>
      <c r="E23" t="s">
        <v>11</v>
      </c>
      <c r="F23">
        <v>16</v>
      </c>
      <c r="G23">
        <v>14.14</v>
      </c>
      <c r="H23">
        <v>-30.01</v>
      </c>
      <c r="I23">
        <v>2.885742</v>
      </c>
      <c r="J23">
        <v>5.5358729999999996</v>
      </c>
      <c r="K23">
        <v>-100</v>
      </c>
    </row>
    <row r="24" spans="1:11" x14ac:dyDescent="0.3">
      <c r="A24">
        <v>117</v>
      </c>
      <c r="B24" t="s">
        <v>30</v>
      </c>
      <c r="C24">
        <v>155</v>
      </c>
      <c r="D24" t="s">
        <v>13</v>
      </c>
      <c r="E24" t="s">
        <v>11</v>
      </c>
      <c r="F24">
        <v>16</v>
      </c>
      <c r="G24">
        <v>14.03</v>
      </c>
      <c r="H24">
        <v>-30.02</v>
      </c>
      <c r="I24">
        <v>5.5063969999999998</v>
      </c>
      <c r="J24">
        <v>7.6119120000000002</v>
      </c>
      <c r="K24">
        <v>3.07</v>
      </c>
    </row>
    <row r="25" spans="1:11" x14ac:dyDescent="0.3">
      <c r="A25">
        <v>85</v>
      </c>
      <c r="B25" t="s">
        <v>30</v>
      </c>
      <c r="C25">
        <v>155</v>
      </c>
      <c r="D25" t="s">
        <v>13</v>
      </c>
      <c r="E25" t="s">
        <v>11</v>
      </c>
      <c r="F25">
        <v>16</v>
      </c>
      <c r="G25">
        <v>14.33</v>
      </c>
      <c r="H25">
        <v>-30.05</v>
      </c>
      <c r="I25">
        <v>4.3328930000000003</v>
      </c>
      <c r="J25">
        <v>6.6327249999999998</v>
      </c>
      <c r="K25">
        <v>-0.42</v>
      </c>
    </row>
    <row r="26" spans="1:11" x14ac:dyDescent="0.3">
      <c r="A26">
        <v>100</v>
      </c>
      <c r="B26" t="s">
        <v>30</v>
      </c>
      <c r="C26">
        <v>155</v>
      </c>
      <c r="D26" t="s">
        <v>13</v>
      </c>
      <c r="E26" t="s">
        <v>11</v>
      </c>
      <c r="F26">
        <v>16</v>
      </c>
      <c r="G26">
        <v>14.47</v>
      </c>
      <c r="H26">
        <v>-30.05</v>
      </c>
      <c r="I26" t="s">
        <v>31</v>
      </c>
      <c r="J26" t="s">
        <v>31</v>
      </c>
      <c r="K26">
        <v>-100</v>
      </c>
    </row>
    <row r="27" spans="1:11" x14ac:dyDescent="0.3">
      <c r="A27">
        <v>99</v>
      </c>
      <c r="B27" t="s">
        <v>30</v>
      </c>
      <c r="C27">
        <v>155</v>
      </c>
      <c r="D27" t="s">
        <v>13</v>
      </c>
      <c r="E27" t="s">
        <v>11</v>
      </c>
      <c r="F27">
        <v>16</v>
      </c>
      <c r="G27">
        <v>14.33</v>
      </c>
      <c r="H27">
        <v>-30.06</v>
      </c>
      <c r="I27">
        <v>3.5832860000000002</v>
      </c>
      <c r="J27">
        <v>5.6845819999999998</v>
      </c>
      <c r="K27">
        <v>0.27</v>
      </c>
    </row>
    <row r="28" spans="1:11" x14ac:dyDescent="0.3">
      <c r="A28">
        <v>22</v>
      </c>
      <c r="B28" t="s">
        <v>30</v>
      </c>
      <c r="C28">
        <v>155</v>
      </c>
      <c r="D28" t="s">
        <v>13</v>
      </c>
      <c r="E28" t="s">
        <v>11</v>
      </c>
      <c r="F28">
        <v>16</v>
      </c>
      <c r="G28">
        <v>14.39</v>
      </c>
      <c r="H28">
        <v>-30.09</v>
      </c>
      <c r="I28">
        <v>3.65123</v>
      </c>
      <c r="J28">
        <v>5.8780020000000004</v>
      </c>
      <c r="K28">
        <v>-0.92</v>
      </c>
    </row>
    <row r="29" spans="1:11" x14ac:dyDescent="0.3">
      <c r="A29">
        <v>24</v>
      </c>
      <c r="B29" t="s">
        <v>30</v>
      </c>
      <c r="C29">
        <v>155</v>
      </c>
      <c r="D29" t="s">
        <v>13</v>
      </c>
      <c r="E29" t="s">
        <v>11</v>
      </c>
      <c r="F29">
        <v>16</v>
      </c>
      <c r="G29">
        <v>14.1</v>
      </c>
      <c r="H29">
        <v>-30.09</v>
      </c>
      <c r="I29">
        <v>2.6504940000000001</v>
      </c>
      <c r="J29">
        <v>4.8479999999999999</v>
      </c>
      <c r="K29">
        <v>19.04</v>
      </c>
    </row>
    <row r="30" spans="1:11" x14ac:dyDescent="0.3">
      <c r="A30">
        <v>59</v>
      </c>
      <c r="B30" t="s">
        <v>30</v>
      </c>
      <c r="C30">
        <v>155</v>
      </c>
      <c r="D30" t="s">
        <v>13</v>
      </c>
      <c r="E30" t="s">
        <v>11</v>
      </c>
      <c r="F30">
        <v>16</v>
      </c>
      <c r="G30">
        <v>13.98</v>
      </c>
      <c r="H30">
        <v>-30.1</v>
      </c>
      <c r="I30">
        <v>3.3982809999999999</v>
      </c>
      <c r="J30">
        <v>6.1412009999999997</v>
      </c>
      <c r="K30">
        <v>1.07</v>
      </c>
    </row>
    <row r="31" spans="1:11" x14ac:dyDescent="0.3">
      <c r="A31">
        <v>77</v>
      </c>
      <c r="B31" t="s">
        <v>30</v>
      </c>
      <c r="C31">
        <v>155</v>
      </c>
      <c r="D31" t="s">
        <v>13</v>
      </c>
      <c r="E31" t="s">
        <v>11</v>
      </c>
      <c r="F31">
        <v>16</v>
      </c>
      <c r="G31">
        <v>14.44</v>
      </c>
      <c r="H31">
        <v>-30.1</v>
      </c>
      <c r="I31">
        <v>5.1958690000000001</v>
      </c>
      <c r="J31">
        <v>7.3678090000000003</v>
      </c>
      <c r="K31">
        <v>1.03</v>
      </c>
    </row>
    <row r="32" spans="1:11" x14ac:dyDescent="0.3">
      <c r="A32">
        <v>112</v>
      </c>
      <c r="B32" t="s">
        <v>30</v>
      </c>
      <c r="C32">
        <v>155</v>
      </c>
      <c r="D32" t="s">
        <v>13</v>
      </c>
      <c r="E32" t="s">
        <v>11</v>
      </c>
      <c r="F32">
        <v>16</v>
      </c>
      <c r="G32">
        <v>14.35</v>
      </c>
      <c r="H32">
        <v>-30.1</v>
      </c>
      <c r="I32">
        <v>2.8886530000000001</v>
      </c>
      <c r="J32">
        <v>5.3140790000000004</v>
      </c>
      <c r="K32">
        <v>6.6</v>
      </c>
    </row>
    <row r="33" spans="1:20" x14ac:dyDescent="0.3">
      <c r="A33">
        <v>92</v>
      </c>
      <c r="B33" t="s">
        <v>30</v>
      </c>
      <c r="C33">
        <v>155</v>
      </c>
      <c r="D33" t="s">
        <v>13</v>
      </c>
      <c r="E33" t="s">
        <v>11</v>
      </c>
      <c r="F33">
        <v>16</v>
      </c>
      <c r="G33">
        <v>14.18</v>
      </c>
      <c r="H33">
        <v>-30.11</v>
      </c>
      <c r="I33">
        <v>3.0067210000000002</v>
      </c>
      <c r="J33">
        <v>5.1300160000000004</v>
      </c>
      <c r="K33">
        <v>5.2</v>
      </c>
    </row>
    <row r="34" spans="1:20" x14ac:dyDescent="0.3">
      <c r="A34">
        <v>91</v>
      </c>
      <c r="B34" t="s">
        <v>30</v>
      </c>
      <c r="C34">
        <v>155</v>
      </c>
      <c r="D34" t="s">
        <v>13</v>
      </c>
      <c r="E34" t="s">
        <v>11</v>
      </c>
      <c r="F34">
        <v>16</v>
      </c>
      <c r="G34">
        <v>14.2</v>
      </c>
      <c r="H34">
        <v>-30.12</v>
      </c>
      <c r="I34">
        <v>4.2071610000000002</v>
      </c>
      <c r="J34">
        <v>6.5108829999999998</v>
      </c>
      <c r="K34">
        <v>3.9</v>
      </c>
    </row>
    <row r="35" spans="1:20" x14ac:dyDescent="0.3">
      <c r="A35">
        <v>86</v>
      </c>
      <c r="B35" t="s">
        <v>30</v>
      </c>
      <c r="C35">
        <v>155</v>
      </c>
      <c r="D35" t="s">
        <v>13</v>
      </c>
      <c r="E35" t="s">
        <v>11</v>
      </c>
      <c r="F35">
        <v>16</v>
      </c>
      <c r="G35">
        <v>14.03</v>
      </c>
      <c r="H35">
        <v>-30.13</v>
      </c>
      <c r="I35">
        <v>4.1854250000000004</v>
      </c>
      <c r="J35">
        <v>6.1590540000000003</v>
      </c>
      <c r="K35">
        <v>-1.1499999999999999</v>
      </c>
    </row>
    <row r="36" spans="1:20" x14ac:dyDescent="0.3">
      <c r="A36">
        <v>87</v>
      </c>
      <c r="B36" t="s">
        <v>30</v>
      </c>
      <c r="C36">
        <v>155</v>
      </c>
      <c r="D36" t="s">
        <v>13</v>
      </c>
      <c r="E36" t="s">
        <v>11</v>
      </c>
      <c r="F36">
        <v>16</v>
      </c>
      <c r="G36">
        <v>14.1</v>
      </c>
      <c r="H36">
        <v>-30.14</v>
      </c>
      <c r="I36">
        <v>3.2975729999999999</v>
      </c>
      <c r="J36">
        <v>5.3687930000000001</v>
      </c>
      <c r="K36">
        <v>-1.18</v>
      </c>
    </row>
    <row r="37" spans="1:20" x14ac:dyDescent="0.3">
      <c r="A37">
        <v>9</v>
      </c>
      <c r="B37" t="s">
        <v>30</v>
      </c>
      <c r="C37">
        <v>155</v>
      </c>
      <c r="D37" t="s">
        <v>13</v>
      </c>
      <c r="E37" t="s">
        <v>11</v>
      </c>
      <c r="F37">
        <v>16</v>
      </c>
      <c r="G37">
        <v>14.83</v>
      </c>
      <c r="H37">
        <v>-30.15</v>
      </c>
      <c r="I37">
        <v>4.0008889999999999</v>
      </c>
      <c r="J37">
        <v>6.3147469999999997</v>
      </c>
      <c r="K37">
        <v>0.56999999999999995</v>
      </c>
    </row>
    <row r="38" spans="1:20" x14ac:dyDescent="0.3">
      <c r="A38">
        <v>103</v>
      </c>
      <c r="B38" t="s">
        <v>30</v>
      </c>
      <c r="C38">
        <v>155</v>
      </c>
      <c r="D38" t="s">
        <v>13</v>
      </c>
      <c r="E38" t="s">
        <v>11</v>
      </c>
      <c r="F38">
        <v>16</v>
      </c>
      <c r="G38">
        <v>14.23</v>
      </c>
      <c r="H38">
        <v>-30.15</v>
      </c>
      <c r="I38">
        <v>2.39093</v>
      </c>
      <c r="J38">
        <v>3.9241679999999999</v>
      </c>
      <c r="K38">
        <v>0.18</v>
      </c>
    </row>
    <row r="39" spans="1:20" x14ac:dyDescent="0.3">
      <c r="A39">
        <v>2</v>
      </c>
      <c r="B39" t="s">
        <v>30</v>
      </c>
      <c r="C39">
        <v>155</v>
      </c>
      <c r="D39" t="s">
        <v>13</v>
      </c>
      <c r="E39" t="s">
        <v>11</v>
      </c>
      <c r="F39">
        <v>16</v>
      </c>
      <c r="G39">
        <v>14.98</v>
      </c>
      <c r="H39">
        <v>-30.16</v>
      </c>
      <c r="I39">
        <v>3.532959</v>
      </c>
      <c r="J39">
        <v>5.2506599999999999</v>
      </c>
      <c r="K39">
        <v>0.96</v>
      </c>
      <c r="N39">
        <f>AVERAGE(H38:H549)</f>
        <v>-30.632790697674412</v>
      </c>
      <c r="O39">
        <f>STDEV(H38:H549)</f>
        <v>0.46789051299181389</v>
      </c>
      <c r="P39">
        <f>ROUND(N39 + 2, 1)</f>
        <v>-28.6</v>
      </c>
      <c r="Q39">
        <f>ROUND(N39 -2, 1)</f>
        <v>-32.6</v>
      </c>
      <c r="R39">
        <f>(P39-N39)/(3*O39)</f>
        <v>1.4481954226685907</v>
      </c>
      <c r="S39">
        <f>(N39-Q39)/(3*O39)</f>
        <v>1.4014740968257295</v>
      </c>
      <c r="T39">
        <f>MIN(R39,S39)</f>
        <v>1.4014740968257295</v>
      </c>
    </row>
    <row r="40" spans="1:20" x14ac:dyDescent="0.3">
      <c r="A40">
        <v>107</v>
      </c>
      <c r="B40" t="s">
        <v>30</v>
      </c>
      <c r="C40">
        <v>155</v>
      </c>
      <c r="D40" t="s">
        <v>13</v>
      </c>
      <c r="E40" t="s">
        <v>11</v>
      </c>
      <c r="F40">
        <v>16</v>
      </c>
      <c r="G40">
        <v>14.63</v>
      </c>
      <c r="H40">
        <v>-30.17</v>
      </c>
      <c r="I40">
        <v>2.5388600000000001</v>
      </c>
      <c r="J40">
        <v>4.4982949999999997</v>
      </c>
      <c r="K40">
        <v>0.6</v>
      </c>
    </row>
    <row r="41" spans="1:20" x14ac:dyDescent="0.3">
      <c r="A41">
        <v>17</v>
      </c>
      <c r="B41" t="s">
        <v>30</v>
      </c>
      <c r="C41">
        <v>155</v>
      </c>
      <c r="D41" t="s">
        <v>13</v>
      </c>
      <c r="E41" t="s">
        <v>11</v>
      </c>
      <c r="F41">
        <v>16</v>
      </c>
      <c r="G41">
        <v>14.76</v>
      </c>
      <c r="H41">
        <v>-30.18</v>
      </c>
      <c r="I41">
        <v>3.2397610000000001</v>
      </c>
      <c r="J41">
        <v>5.8952369999999998</v>
      </c>
      <c r="K41">
        <v>2.37</v>
      </c>
    </row>
    <row r="42" spans="1:20" x14ac:dyDescent="0.3">
      <c r="A42">
        <v>18</v>
      </c>
      <c r="B42" t="s">
        <v>30</v>
      </c>
      <c r="C42">
        <v>155</v>
      </c>
      <c r="D42" t="s">
        <v>13</v>
      </c>
      <c r="E42" t="s">
        <v>11</v>
      </c>
      <c r="F42">
        <v>16</v>
      </c>
      <c r="G42">
        <v>14.59</v>
      </c>
      <c r="H42">
        <v>-30.18</v>
      </c>
      <c r="I42">
        <v>3.0497510000000001</v>
      </c>
      <c r="J42">
        <v>5.095478</v>
      </c>
      <c r="K42">
        <v>1.53</v>
      </c>
    </row>
    <row r="43" spans="1:20" x14ac:dyDescent="0.3">
      <c r="A43">
        <v>16</v>
      </c>
      <c r="B43" t="s">
        <v>30</v>
      </c>
      <c r="C43">
        <v>155</v>
      </c>
      <c r="D43" t="s">
        <v>13</v>
      </c>
      <c r="E43" t="s">
        <v>11</v>
      </c>
      <c r="F43">
        <v>16</v>
      </c>
      <c r="G43">
        <v>14.21</v>
      </c>
      <c r="H43">
        <v>-30.19</v>
      </c>
      <c r="I43">
        <v>3.0359039999999999</v>
      </c>
      <c r="J43">
        <v>5.2218780000000002</v>
      </c>
      <c r="K43">
        <v>1.44</v>
      </c>
    </row>
    <row r="44" spans="1:20" x14ac:dyDescent="0.3">
      <c r="A44">
        <v>29</v>
      </c>
      <c r="B44" t="s">
        <v>30</v>
      </c>
      <c r="C44">
        <v>155</v>
      </c>
      <c r="D44" t="s">
        <v>13</v>
      </c>
      <c r="E44" t="s">
        <v>11</v>
      </c>
      <c r="F44">
        <v>16</v>
      </c>
      <c r="G44">
        <v>14.34</v>
      </c>
      <c r="H44">
        <v>-30.19</v>
      </c>
      <c r="I44">
        <v>3.1727370000000001</v>
      </c>
      <c r="J44">
        <v>5.6368980000000004</v>
      </c>
      <c r="K44">
        <v>4.3499999999999996</v>
      </c>
    </row>
    <row r="45" spans="1:20" x14ac:dyDescent="0.3">
      <c r="A45">
        <v>114</v>
      </c>
      <c r="B45" t="s">
        <v>30</v>
      </c>
      <c r="C45">
        <v>155</v>
      </c>
      <c r="D45" t="s">
        <v>13</v>
      </c>
      <c r="E45" t="s">
        <v>11</v>
      </c>
      <c r="F45">
        <v>16</v>
      </c>
      <c r="G45">
        <v>14.28</v>
      </c>
      <c r="H45">
        <v>-30.19</v>
      </c>
      <c r="I45">
        <v>2.5373730000000001</v>
      </c>
      <c r="J45">
        <v>5.1196140000000003</v>
      </c>
      <c r="K45">
        <v>2.23</v>
      </c>
    </row>
    <row r="46" spans="1:20" x14ac:dyDescent="0.3">
      <c r="A46">
        <v>33</v>
      </c>
      <c r="B46" t="s">
        <v>30</v>
      </c>
      <c r="C46">
        <v>155</v>
      </c>
      <c r="D46" t="s">
        <v>13</v>
      </c>
      <c r="E46" t="s">
        <v>11</v>
      </c>
      <c r="F46">
        <v>16</v>
      </c>
      <c r="G46">
        <v>14.27</v>
      </c>
      <c r="H46">
        <v>-30.2</v>
      </c>
      <c r="I46">
        <v>0.9807091</v>
      </c>
      <c r="J46">
        <v>2.9524119999999998</v>
      </c>
      <c r="K46">
        <v>2.73</v>
      </c>
    </row>
    <row r="47" spans="1:20" x14ac:dyDescent="0.3">
      <c r="A47">
        <v>80</v>
      </c>
      <c r="B47" t="s">
        <v>30</v>
      </c>
      <c r="C47">
        <v>155</v>
      </c>
      <c r="D47" t="s">
        <v>13</v>
      </c>
      <c r="E47" t="s">
        <v>11</v>
      </c>
      <c r="F47">
        <v>16</v>
      </c>
      <c r="G47">
        <v>14.39</v>
      </c>
      <c r="H47">
        <v>-30.2</v>
      </c>
      <c r="I47">
        <v>4.9979290000000001</v>
      </c>
      <c r="J47">
        <v>7.2772709999999998</v>
      </c>
      <c r="K47">
        <v>0.71</v>
      </c>
    </row>
    <row r="48" spans="1:20" x14ac:dyDescent="0.3">
      <c r="A48">
        <v>42</v>
      </c>
      <c r="B48" t="s">
        <v>30</v>
      </c>
      <c r="C48">
        <v>155</v>
      </c>
      <c r="D48" t="s">
        <v>13</v>
      </c>
      <c r="E48" t="s">
        <v>11</v>
      </c>
      <c r="F48">
        <v>16</v>
      </c>
      <c r="G48">
        <v>14.03</v>
      </c>
      <c r="H48">
        <v>-30.21</v>
      </c>
      <c r="I48">
        <v>3.4987409999999999</v>
      </c>
      <c r="J48">
        <v>5.6661149999999996</v>
      </c>
      <c r="K48">
        <v>2.0699999999999998</v>
      </c>
    </row>
    <row r="49" spans="1:11" x14ac:dyDescent="0.3">
      <c r="A49">
        <v>75</v>
      </c>
      <c r="B49" t="s">
        <v>30</v>
      </c>
      <c r="C49">
        <v>155</v>
      </c>
      <c r="D49" t="s">
        <v>13</v>
      </c>
      <c r="E49" t="s">
        <v>11</v>
      </c>
      <c r="F49">
        <v>16</v>
      </c>
      <c r="G49">
        <v>14.3</v>
      </c>
      <c r="H49">
        <v>-30.21</v>
      </c>
      <c r="I49">
        <v>4.4500500000000001</v>
      </c>
      <c r="J49">
        <v>6.821777</v>
      </c>
      <c r="K49">
        <v>-100</v>
      </c>
    </row>
    <row r="50" spans="1:11" x14ac:dyDescent="0.3">
      <c r="A50">
        <v>105</v>
      </c>
      <c r="B50" t="s">
        <v>30</v>
      </c>
      <c r="C50">
        <v>155</v>
      </c>
      <c r="D50" t="s">
        <v>13</v>
      </c>
      <c r="E50" t="s">
        <v>11</v>
      </c>
      <c r="F50">
        <v>16</v>
      </c>
      <c r="G50">
        <v>14.32</v>
      </c>
      <c r="H50">
        <v>-30.21</v>
      </c>
      <c r="I50">
        <v>3.5999490000000001</v>
      </c>
      <c r="J50">
        <v>5.8328249999999997</v>
      </c>
      <c r="K50">
        <v>0.21</v>
      </c>
    </row>
    <row r="51" spans="1:11" x14ac:dyDescent="0.3">
      <c r="A51">
        <v>14</v>
      </c>
      <c r="B51" t="s">
        <v>30</v>
      </c>
      <c r="C51">
        <v>155</v>
      </c>
      <c r="D51" t="s">
        <v>13</v>
      </c>
      <c r="E51" t="s">
        <v>11</v>
      </c>
      <c r="F51">
        <v>16</v>
      </c>
      <c r="G51">
        <v>14.28</v>
      </c>
      <c r="H51">
        <v>-30.23</v>
      </c>
      <c r="I51">
        <v>4.1980250000000003</v>
      </c>
      <c r="J51">
        <v>6.4505840000000001</v>
      </c>
      <c r="K51">
        <v>-0.17</v>
      </c>
    </row>
    <row r="52" spans="1:11" x14ac:dyDescent="0.3">
      <c r="A52">
        <v>71</v>
      </c>
      <c r="B52" t="s">
        <v>30</v>
      </c>
      <c r="C52">
        <v>155</v>
      </c>
      <c r="D52" t="s">
        <v>13</v>
      </c>
      <c r="E52" t="s">
        <v>11</v>
      </c>
      <c r="F52">
        <v>16</v>
      </c>
      <c r="G52">
        <v>13.86</v>
      </c>
      <c r="H52">
        <v>-30.24</v>
      </c>
      <c r="I52">
        <v>3.9932400000000001</v>
      </c>
      <c r="J52">
        <v>6.7457240000000001</v>
      </c>
      <c r="K52">
        <v>-1.62</v>
      </c>
    </row>
    <row r="53" spans="1:11" x14ac:dyDescent="0.3">
      <c r="A53">
        <v>89</v>
      </c>
      <c r="B53" t="s">
        <v>30</v>
      </c>
      <c r="C53">
        <v>155</v>
      </c>
      <c r="D53" t="s">
        <v>13</v>
      </c>
      <c r="E53" t="s">
        <v>11</v>
      </c>
      <c r="F53">
        <v>16</v>
      </c>
      <c r="G53">
        <v>14.17</v>
      </c>
      <c r="H53">
        <v>-30.24</v>
      </c>
      <c r="I53">
        <v>3.7043300000000001</v>
      </c>
      <c r="J53">
        <v>5.6002159999999996</v>
      </c>
      <c r="K53">
        <v>1.72</v>
      </c>
    </row>
    <row r="54" spans="1:11" x14ac:dyDescent="0.3">
      <c r="A54">
        <v>76</v>
      </c>
      <c r="B54" t="s">
        <v>30</v>
      </c>
      <c r="C54">
        <v>155</v>
      </c>
      <c r="D54" t="s">
        <v>13</v>
      </c>
      <c r="E54" t="s">
        <v>11</v>
      </c>
      <c r="F54">
        <v>16</v>
      </c>
      <c r="G54">
        <v>14.34</v>
      </c>
      <c r="H54">
        <v>-30.25</v>
      </c>
      <c r="I54">
        <v>3.6057130000000002</v>
      </c>
      <c r="J54">
        <v>6.2660830000000001</v>
      </c>
      <c r="K54">
        <v>0.3</v>
      </c>
    </row>
    <row r="55" spans="1:11" x14ac:dyDescent="0.3">
      <c r="A55">
        <v>90</v>
      </c>
      <c r="B55" t="s">
        <v>30</v>
      </c>
      <c r="C55">
        <v>155</v>
      </c>
      <c r="D55" t="s">
        <v>13</v>
      </c>
      <c r="E55" t="s">
        <v>11</v>
      </c>
      <c r="F55">
        <v>16</v>
      </c>
      <c r="G55">
        <v>14.23</v>
      </c>
      <c r="H55">
        <v>-30.25</v>
      </c>
      <c r="I55">
        <v>2.6385960000000002</v>
      </c>
      <c r="J55">
        <v>4.8891260000000001</v>
      </c>
      <c r="K55">
        <v>0.28999999999999998</v>
      </c>
    </row>
    <row r="56" spans="1:11" x14ac:dyDescent="0.3">
      <c r="A56">
        <v>94</v>
      </c>
      <c r="B56" t="s">
        <v>30</v>
      </c>
      <c r="C56">
        <v>155</v>
      </c>
      <c r="D56" t="s">
        <v>13</v>
      </c>
      <c r="E56" t="s">
        <v>11</v>
      </c>
      <c r="F56">
        <v>16</v>
      </c>
      <c r="G56">
        <v>14.34</v>
      </c>
      <c r="H56">
        <v>-30.25</v>
      </c>
      <c r="I56">
        <v>2.8845139999999998</v>
      </c>
      <c r="J56">
        <v>5.1360970000000004</v>
      </c>
      <c r="K56">
        <v>0.16</v>
      </c>
    </row>
    <row r="57" spans="1:11" x14ac:dyDescent="0.3">
      <c r="A57">
        <v>20</v>
      </c>
      <c r="B57" t="s">
        <v>30</v>
      </c>
      <c r="C57">
        <v>155</v>
      </c>
      <c r="D57" t="s">
        <v>13</v>
      </c>
      <c r="E57" t="s">
        <v>11</v>
      </c>
      <c r="F57">
        <v>16</v>
      </c>
      <c r="G57">
        <v>14.36</v>
      </c>
      <c r="H57">
        <v>-30.26</v>
      </c>
      <c r="I57">
        <v>4.6743579999999998</v>
      </c>
      <c r="J57">
        <v>6.833691</v>
      </c>
      <c r="K57">
        <v>0.45</v>
      </c>
    </row>
    <row r="58" spans="1:11" x14ac:dyDescent="0.3">
      <c r="A58">
        <v>73</v>
      </c>
      <c r="B58" t="s">
        <v>30</v>
      </c>
      <c r="C58">
        <v>155</v>
      </c>
      <c r="D58" t="s">
        <v>13</v>
      </c>
      <c r="E58" t="s">
        <v>11</v>
      </c>
      <c r="F58">
        <v>16</v>
      </c>
      <c r="G58">
        <v>14.5</v>
      </c>
      <c r="H58">
        <v>-30.26</v>
      </c>
      <c r="I58">
        <v>3.187824</v>
      </c>
      <c r="J58">
        <v>5.2947389999999999</v>
      </c>
      <c r="K58">
        <v>0.55000000000000004</v>
      </c>
    </row>
    <row r="59" spans="1:11" x14ac:dyDescent="0.3">
      <c r="A59">
        <v>79</v>
      </c>
      <c r="B59" t="s">
        <v>30</v>
      </c>
      <c r="C59">
        <v>155</v>
      </c>
      <c r="D59" t="s">
        <v>13</v>
      </c>
      <c r="E59" t="s">
        <v>11</v>
      </c>
      <c r="F59">
        <v>16</v>
      </c>
      <c r="G59">
        <v>14.3</v>
      </c>
      <c r="H59">
        <v>-30.26</v>
      </c>
      <c r="I59">
        <v>3.863537</v>
      </c>
      <c r="J59">
        <v>5.9812510000000003</v>
      </c>
      <c r="K59">
        <v>1.32</v>
      </c>
    </row>
    <row r="60" spans="1:11" x14ac:dyDescent="0.3">
      <c r="A60">
        <v>81</v>
      </c>
      <c r="B60" t="s">
        <v>30</v>
      </c>
      <c r="C60">
        <v>155</v>
      </c>
      <c r="D60" t="s">
        <v>13</v>
      </c>
      <c r="E60" t="s">
        <v>11</v>
      </c>
      <c r="F60">
        <v>16</v>
      </c>
      <c r="G60">
        <v>14.31</v>
      </c>
      <c r="H60">
        <v>-30.26</v>
      </c>
      <c r="I60">
        <v>2.6706919999999998</v>
      </c>
      <c r="J60">
        <v>4.8037609999999997</v>
      </c>
      <c r="K60">
        <v>0.41</v>
      </c>
    </row>
    <row r="61" spans="1:11" x14ac:dyDescent="0.3">
      <c r="A61">
        <v>60</v>
      </c>
      <c r="B61" t="s">
        <v>30</v>
      </c>
      <c r="C61">
        <v>155</v>
      </c>
      <c r="D61" t="s">
        <v>13</v>
      </c>
      <c r="E61" t="s">
        <v>11</v>
      </c>
      <c r="F61">
        <v>16</v>
      </c>
      <c r="G61">
        <v>14.01</v>
      </c>
      <c r="H61">
        <v>-30.27</v>
      </c>
      <c r="I61" t="s">
        <v>31</v>
      </c>
      <c r="J61" t="s">
        <v>31</v>
      </c>
      <c r="K61">
        <v>-100</v>
      </c>
    </row>
    <row r="62" spans="1:11" x14ac:dyDescent="0.3">
      <c r="A62">
        <v>109</v>
      </c>
      <c r="B62" t="s">
        <v>30</v>
      </c>
      <c r="C62">
        <v>155</v>
      </c>
      <c r="D62" t="s">
        <v>13</v>
      </c>
      <c r="E62" t="s">
        <v>11</v>
      </c>
      <c r="F62">
        <v>16</v>
      </c>
      <c r="G62">
        <v>14.36</v>
      </c>
      <c r="H62">
        <v>-30.27</v>
      </c>
      <c r="I62">
        <v>4.0230940000000004</v>
      </c>
      <c r="J62">
        <v>6.6693530000000001</v>
      </c>
      <c r="K62">
        <v>1.28</v>
      </c>
    </row>
    <row r="63" spans="1:11" x14ac:dyDescent="0.3">
      <c r="A63">
        <v>104</v>
      </c>
      <c r="B63" t="s">
        <v>30</v>
      </c>
      <c r="C63">
        <v>155</v>
      </c>
      <c r="D63" t="s">
        <v>13</v>
      </c>
      <c r="E63" t="s">
        <v>11</v>
      </c>
      <c r="F63">
        <v>16</v>
      </c>
      <c r="G63">
        <v>14.51</v>
      </c>
      <c r="H63">
        <v>-30.29</v>
      </c>
      <c r="I63">
        <v>4.8081589999999998</v>
      </c>
      <c r="J63">
        <v>4.8081589999999998</v>
      </c>
      <c r="K63">
        <v>32.43</v>
      </c>
    </row>
    <row r="64" spans="1:11" x14ac:dyDescent="0.3">
      <c r="A64">
        <v>48</v>
      </c>
      <c r="B64" t="s">
        <v>30</v>
      </c>
      <c r="C64">
        <v>155</v>
      </c>
      <c r="D64" t="s">
        <v>13</v>
      </c>
      <c r="E64" t="s">
        <v>11</v>
      </c>
      <c r="F64">
        <v>16</v>
      </c>
      <c r="G64">
        <v>14.34</v>
      </c>
      <c r="H64">
        <v>-30.3</v>
      </c>
      <c r="I64">
        <v>3.4552649999999998</v>
      </c>
      <c r="J64">
        <v>5.5781210000000003</v>
      </c>
      <c r="K64">
        <v>12.01</v>
      </c>
    </row>
    <row r="65" spans="1:11" x14ac:dyDescent="0.3">
      <c r="A65">
        <v>58</v>
      </c>
      <c r="B65" t="s">
        <v>30</v>
      </c>
      <c r="C65">
        <v>155</v>
      </c>
      <c r="D65" t="s">
        <v>13</v>
      </c>
      <c r="E65" t="s">
        <v>11</v>
      </c>
      <c r="F65">
        <v>16</v>
      </c>
      <c r="G65">
        <v>14.17</v>
      </c>
      <c r="H65">
        <v>-30.31</v>
      </c>
      <c r="I65">
        <v>3.4704969999999999</v>
      </c>
      <c r="J65">
        <v>5.5244330000000001</v>
      </c>
      <c r="K65">
        <v>3.23</v>
      </c>
    </row>
    <row r="66" spans="1:11" x14ac:dyDescent="0.3">
      <c r="A66">
        <v>6</v>
      </c>
      <c r="B66" t="s">
        <v>30</v>
      </c>
      <c r="C66">
        <v>155</v>
      </c>
      <c r="D66" t="s">
        <v>13</v>
      </c>
      <c r="E66" t="s">
        <v>11</v>
      </c>
      <c r="F66">
        <v>16</v>
      </c>
      <c r="G66">
        <v>14.48</v>
      </c>
      <c r="H66">
        <v>-30.32</v>
      </c>
      <c r="I66">
        <v>3.280052</v>
      </c>
      <c r="J66">
        <v>5.7742420000000001</v>
      </c>
      <c r="K66">
        <v>-0.4</v>
      </c>
    </row>
    <row r="67" spans="1:11" x14ac:dyDescent="0.3">
      <c r="A67">
        <v>57</v>
      </c>
      <c r="B67" t="s">
        <v>30</v>
      </c>
      <c r="C67">
        <v>155</v>
      </c>
      <c r="D67" t="s">
        <v>13</v>
      </c>
      <c r="E67" t="s">
        <v>11</v>
      </c>
      <c r="F67">
        <v>16</v>
      </c>
      <c r="G67">
        <v>14.16</v>
      </c>
      <c r="H67">
        <v>-30.32</v>
      </c>
      <c r="I67">
        <v>3.214245</v>
      </c>
      <c r="J67">
        <v>5.6098819999999998</v>
      </c>
      <c r="K67">
        <v>-0.32</v>
      </c>
    </row>
    <row r="68" spans="1:11" x14ac:dyDescent="0.3">
      <c r="A68">
        <v>21</v>
      </c>
      <c r="B68" t="s">
        <v>30</v>
      </c>
      <c r="C68">
        <v>155</v>
      </c>
      <c r="D68" t="s">
        <v>13</v>
      </c>
      <c r="E68" t="s">
        <v>11</v>
      </c>
      <c r="F68">
        <v>16</v>
      </c>
      <c r="G68">
        <v>14.69</v>
      </c>
      <c r="H68">
        <v>-30.33</v>
      </c>
      <c r="I68">
        <v>3.468235</v>
      </c>
      <c r="J68">
        <v>5.9403759999999997</v>
      </c>
      <c r="K68">
        <v>0.52</v>
      </c>
    </row>
    <row r="69" spans="1:11" x14ac:dyDescent="0.3">
      <c r="A69">
        <v>64</v>
      </c>
      <c r="B69" t="s">
        <v>30</v>
      </c>
      <c r="C69">
        <v>155</v>
      </c>
      <c r="D69" t="s">
        <v>13</v>
      </c>
      <c r="E69" t="s">
        <v>11</v>
      </c>
      <c r="F69">
        <v>16</v>
      </c>
      <c r="G69">
        <v>14.12</v>
      </c>
      <c r="H69">
        <v>-30.33</v>
      </c>
      <c r="I69">
        <v>2.4928210000000002</v>
      </c>
      <c r="J69">
        <v>4.5619930000000002</v>
      </c>
      <c r="K69">
        <v>0.24</v>
      </c>
    </row>
    <row r="70" spans="1:11" x14ac:dyDescent="0.3">
      <c r="A70">
        <v>95</v>
      </c>
      <c r="B70" t="s">
        <v>30</v>
      </c>
      <c r="C70">
        <v>155</v>
      </c>
      <c r="D70" t="s">
        <v>13</v>
      </c>
      <c r="E70" t="s">
        <v>11</v>
      </c>
      <c r="F70">
        <v>16</v>
      </c>
      <c r="G70">
        <v>14.31</v>
      </c>
      <c r="H70">
        <v>-30.37</v>
      </c>
      <c r="I70">
        <v>3.7020420000000001</v>
      </c>
      <c r="J70">
        <v>5.9295809999999998</v>
      </c>
      <c r="K70">
        <v>0.21</v>
      </c>
    </row>
    <row r="71" spans="1:11" x14ac:dyDescent="0.3">
      <c r="A71">
        <v>96</v>
      </c>
      <c r="B71" t="s">
        <v>30</v>
      </c>
      <c r="C71">
        <v>155</v>
      </c>
      <c r="D71" t="s">
        <v>13</v>
      </c>
      <c r="E71" t="s">
        <v>11</v>
      </c>
      <c r="F71">
        <v>16</v>
      </c>
      <c r="G71">
        <v>14.43</v>
      </c>
      <c r="H71">
        <v>-30.37</v>
      </c>
      <c r="I71">
        <v>2.65889</v>
      </c>
      <c r="J71">
        <v>4.8853989999999996</v>
      </c>
      <c r="K71">
        <v>0.54</v>
      </c>
    </row>
    <row r="72" spans="1:11" x14ac:dyDescent="0.3">
      <c r="A72">
        <v>102</v>
      </c>
      <c r="B72" t="s">
        <v>30</v>
      </c>
      <c r="C72">
        <v>155</v>
      </c>
      <c r="D72" t="s">
        <v>13</v>
      </c>
      <c r="E72" t="s">
        <v>11</v>
      </c>
      <c r="F72">
        <v>16</v>
      </c>
      <c r="G72">
        <v>14.23</v>
      </c>
      <c r="H72">
        <v>-30.37</v>
      </c>
      <c r="I72">
        <v>1.6219710000000001</v>
      </c>
      <c r="J72">
        <v>4.1501429999999999</v>
      </c>
      <c r="K72">
        <v>0.56000000000000005</v>
      </c>
    </row>
    <row r="73" spans="1:11" x14ac:dyDescent="0.3">
      <c r="A73">
        <v>115</v>
      </c>
      <c r="B73" t="s">
        <v>30</v>
      </c>
      <c r="C73">
        <v>155</v>
      </c>
      <c r="D73" t="s">
        <v>13</v>
      </c>
      <c r="E73" t="s">
        <v>11</v>
      </c>
      <c r="F73">
        <v>16</v>
      </c>
      <c r="G73">
        <v>14.21</v>
      </c>
      <c r="H73">
        <v>-30.38</v>
      </c>
      <c r="I73">
        <v>4.0315019999999997</v>
      </c>
      <c r="J73">
        <v>6.1259160000000001</v>
      </c>
      <c r="K73">
        <v>3.03</v>
      </c>
    </row>
    <row r="74" spans="1:11" x14ac:dyDescent="0.3">
      <c r="A74">
        <v>111</v>
      </c>
      <c r="B74" t="s">
        <v>30</v>
      </c>
      <c r="C74">
        <v>155</v>
      </c>
      <c r="D74" t="s">
        <v>13</v>
      </c>
      <c r="E74" t="s">
        <v>11</v>
      </c>
      <c r="F74">
        <v>16</v>
      </c>
      <c r="G74">
        <v>14.59</v>
      </c>
      <c r="H74">
        <v>-30.39</v>
      </c>
      <c r="I74">
        <v>1.904037</v>
      </c>
      <c r="J74">
        <v>4.3254510000000002</v>
      </c>
      <c r="K74">
        <v>4.25</v>
      </c>
    </row>
    <row r="75" spans="1:11" x14ac:dyDescent="0.3">
      <c r="A75">
        <v>66</v>
      </c>
      <c r="B75" t="s">
        <v>30</v>
      </c>
      <c r="C75">
        <v>155</v>
      </c>
      <c r="D75" t="s">
        <v>13</v>
      </c>
      <c r="E75" t="s">
        <v>11</v>
      </c>
      <c r="F75">
        <v>16</v>
      </c>
      <c r="G75">
        <v>13.93</v>
      </c>
      <c r="H75">
        <v>-30.4</v>
      </c>
      <c r="I75">
        <v>2.1601219999999999</v>
      </c>
      <c r="J75">
        <v>4.4605829999999997</v>
      </c>
      <c r="K75">
        <v>0.41</v>
      </c>
    </row>
    <row r="76" spans="1:11" x14ac:dyDescent="0.3">
      <c r="A76">
        <v>113</v>
      </c>
      <c r="B76" t="s">
        <v>30</v>
      </c>
      <c r="C76">
        <v>155</v>
      </c>
      <c r="D76" t="s">
        <v>13</v>
      </c>
      <c r="E76" t="s">
        <v>11</v>
      </c>
      <c r="F76">
        <v>16</v>
      </c>
      <c r="G76">
        <v>14.3</v>
      </c>
      <c r="H76">
        <v>-30.42</v>
      </c>
      <c r="I76">
        <v>3.0624690000000001</v>
      </c>
      <c r="J76">
        <v>5.7808909999999996</v>
      </c>
      <c r="K76">
        <v>0.39</v>
      </c>
    </row>
    <row r="77" spans="1:11" x14ac:dyDescent="0.3">
      <c r="A77">
        <v>118</v>
      </c>
      <c r="B77" t="s">
        <v>30</v>
      </c>
      <c r="C77">
        <v>155</v>
      </c>
      <c r="D77" t="s">
        <v>13</v>
      </c>
      <c r="E77" t="s">
        <v>11</v>
      </c>
      <c r="F77">
        <v>16</v>
      </c>
      <c r="G77">
        <v>14.56</v>
      </c>
      <c r="H77">
        <v>-30.42</v>
      </c>
      <c r="I77">
        <v>2.7491340000000002</v>
      </c>
      <c r="J77">
        <v>4.9229510000000003</v>
      </c>
      <c r="K77">
        <v>1.19</v>
      </c>
    </row>
    <row r="78" spans="1:11" x14ac:dyDescent="0.3">
      <c r="A78">
        <v>53</v>
      </c>
      <c r="B78" t="s">
        <v>30</v>
      </c>
      <c r="C78">
        <v>155</v>
      </c>
      <c r="D78" t="s">
        <v>13</v>
      </c>
      <c r="E78" t="s">
        <v>11</v>
      </c>
      <c r="F78">
        <v>16</v>
      </c>
      <c r="G78">
        <v>13.94</v>
      </c>
      <c r="H78">
        <v>-30.43</v>
      </c>
      <c r="I78">
        <v>2.5592769999999998</v>
      </c>
      <c r="J78">
        <v>5.0630230000000003</v>
      </c>
      <c r="K78">
        <v>10.61</v>
      </c>
    </row>
    <row r="79" spans="1:11" x14ac:dyDescent="0.3">
      <c r="A79">
        <v>23</v>
      </c>
      <c r="B79" t="s">
        <v>30</v>
      </c>
      <c r="C79">
        <v>155</v>
      </c>
      <c r="D79" t="s">
        <v>13</v>
      </c>
      <c r="E79" t="s">
        <v>11</v>
      </c>
      <c r="F79">
        <v>16</v>
      </c>
      <c r="G79">
        <v>14.71</v>
      </c>
      <c r="H79">
        <v>-30.48</v>
      </c>
      <c r="I79">
        <v>2.5657839999999998</v>
      </c>
      <c r="J79">
        <v>5.0431790000000003</v>
      </c>
      <c r="K79">
        <v>1.64</v>
      </c>
    </row>
    <row r="80" spans="1:11" x14ac:dyDescent="0.3">
      <c r="A80">
        <v>74</v>
      </c>
      <c r="B80" t="s">
        <v>30</v>
      </c>
      <c r="C80">
        <v>155</v>
      </c>
      <c r="D80" t="s">
        <v>13</v>
      </c>
      <c r="E80" t="s">
        <v>11</v>
      </c>
      <c r="F80">
        <v>16</v>
      </c>
      <c r="G80">
        <v>14.34</v>
      </c>
      <c r="H80">
        <v>-30.48</v>
      </c>
      <c r="I80">
        <v>4.020988</v>
      </c>
      <c r="J80">
        <v>6.4906309999999996</v>
      </c>
      <c r="K80">
        <v>5.27</v>
      </c>
    </row>
    <row r="81" spans="1:11" x14ac:dyDescent="0.3">
      <c r="A81">
        <v>27</v>
      </c>
      <c r="B81" t="s">
        <v>30</v>
      </c>
      <c r="C81">
        <v>155</v>
      </c>
      <c r="D81" t="s">
        <v>13</v>
      </c>
      <c r="E81" t="s">
        <v>11</v>
      </c>
      <c r="F81">
        <v>16</v>
      </c>
      <c r="G81">
        <v>14.29</v>
      </c>
      <c r="H81">
        <v>-30.49</v>
      </c>
      <c r="I81">
        <v>1.9840739999999999</v>
      </c>
      <c r="J81">
        <v>4.6793139999999998</v>
      </c>
      <c r="K81">
        <v>3.08</v>
      </c>
    </row>
    <row r="82" spans="1:11" x14ac:dyDescent="0.3">
      <c r="A82">
        <v>65</v>
      </c>
      <c r="B82" t="s">
        <v>30</v>
      </c>
      <c r="C82">
        <v>155</v>
      </c>
      <c r="D82" t="s">
        <v>13</v>
      </c>
      <c r="E82" t="s">
        <v>11</v>
      </c>
      <c r="F82">
        <v>16</v>
      </c>
      <c r="G82">
        <v>13.96</v>
      </c>
      <c r="H82">
        <v>-30.49</v>
      </c>
      <c r="I82">
        <v>3.5835189999999999</v>
      </c>
      <c r="J82">
        <v>6.0018880000000001</v>
      </c>
      <c r="K82">
        <v>-0.74</v>
      </c>
    </row>
    <row r="83" spans="1:11" x14ac:dyDescent="0.3">
      <c r="A83">
        <v>93</v>
      </c>
      <c r="B83" t="s">
        <v>30</v>
      </c>
      <c r="C83">
        <v>155</v>
      </c>
      <c r="D83" t="s">
        <v>13</v>
      </c>
      <c r="E83" t="s">
        <v>11</v>
      </c>
      <c r="F83">
        <v>16</v>
      </c>
      <c r="G83">
        <v>14.19</v>
      </c>
      <c r="H83">
        <v>-30.49</v>
      </c>
      <c r="I83">
        <v>2.7876210000000001</v>
      </c>
      <c r="J83">
        <v>5.3555339999999996</v>
      </c>
      <c r="K83">
        <v>-0.88</v>
      </c>
    </row>
    <row r="84" spans="1:11" x14ac:dyDescent="0.3">
      <c r="A84">
        <v>12</v>
      </c>
      <c r="B84" t="s">
        <v>30</v>
      </c>
      <c r="C84">
        <v>155</v>
      </c>
      <c r="D84" t="s">
        <v>13</v>
      </c>
      <c r="E84" t="s">
        <v>11</v>
      </c>
      <c r="F84">
        <v>16</v>
      </c>
      <c r="G84">
        <v>14.59</v>
      </c>
      <c r="H84">
        <v>-30.52</v>
      </c>
      <c r="I84" t="s">
        <v>31</v>
      </c>
      <c r="J84" t="s">
        <v>31</v>
      </c>
      <c r="K84">
        <v>-100</v>
      </c>
    </row>
    <row r="85" spans="1:11" x14ac:dyDescent="0.3">
      <c r="A85">
        <v>37</v>
      </c>
      <c r="B85" t="s">
        <v>30</v>
      </c>
      <c r="C85">
        <v>155</v>
      </c>
      <c r="D85" t="s">
        <v>13</v>
      </c>
      <c r="E85" t="s">
        <v>11</v>
      </c>
      <c r="F85">
        <v>16</v>
      </c>
      <c r="G85">
        <v>14.45</v>
      </c>
      <c r="H85">
        <v>-30.54</v>
      </c>
      <c r="I85">
        <v>2.143532</v>
      </c>
      <c r="J85">
        <v>4.5070040000000002</v>
      </c>
      <c r="K85">
        <v>0.31</v>
      </c>
    </row>
    <row r="86" spans="1:11" x14ac:dyDescent="0.3">
      <c r="A86">
        <v>41</v>
      </c>
      <c r="B86" t="s">
        <v>30</v>
      </c>
      <c r="C86">
        <v>155</v>
      </c>
      <c r="D86" t="s">
        <v>13</v>
      </c>
      <c r="E86" t="s">
        <v>11</v>
      </c>
      <c r="F86">
        <v>16</v>
      </c>
      <c r="G86">
        <v>14.43</v>
      </c>
      <c r="H86">
        <v>-30.55</v>
      </c>
      <c r="I86" t="s">
        <v>31</v>
      </c>
      <c r="J86" t="s">
        <v>31</v>
      </c>
      <c r="K86">
        <v>-100</v>
      </c>
    </row>
    <row r="87" spans="1:11" x14ac:dyDescent="0.3">
      <c r="A87">
        <v>97</v>
      </c>
      <c r="B87" t="s">
        <v>30</v>
      </c>
      <c r="C87">
        <v>155</v>
      </c>
      <c r="D87" t="s">
        <v>13</v>
      </c>
      <c r="E87" t="s">
        <v>11</v>
      </c>
      <c r="F87">
        <v>16</v>
      </c>
      <c r="G87">
        <v>13.72</v>
      </c>
      <c r="H87">
        <v>-30.55</v>
      </c>
      <c r="I87">
        <v>2.7993199999999998</v>
      </c>
      <c r="J87">
        <v>4.8627820000000002</v>
      </c>
      <c r="K87">
        <v>0.7</v>
      </c>
    </row>
    <row r="88" spans="1:11" x14ac:dyDescent="0.3">
      <c r="A88">
        <v>7</v>
      </c>
      <c r="B88" t="s">
        <v>30</v>
      </c>
      <c r="C88">
        <v>155</v>
      </c>
      <c r="D88" t="s">
        <v>13</v>
      </c>
      <c r="E88" t="s">
        <v>11</v>
      </c>
      <c r="F88">
        <v>16</v>
      </c>
      <c r="G88">
        <v>14.85</v>
      </c>
      <c r="H88">
        <v>-30.56</v>
      </c>
      <c r="I88">
        <v>2.7428050000000002</v>
      </c>
      <c r="J88">
        <v>5.2084429999999999</v>
      </c>
      <c r="K88">
        <v>-0.37</v>
      </c>
    </row>
    <row r="89" spans="1:11" x14ac:dyDescent="0.3">
      <c r="A89">
        <v>28</v>
      </c>
      <c r="B89" t="s">
        <v>30</v>
      </c>
      <c r="C89">
        <v>155</v>
      </c>
      <c r="D89" t="s">
        <v>13</v>
      </c>
      <c r="E89" t="s">
        <v>11</v>
      </c>
      <c r="F89">
        <v>16</v>
      </c>
      <c r="G89">
        <v>14.15</v>
      </c>
      <c r="H89">
        <v>-30.56</v>
      </c>
      <c r="I89">
        <v>2.2572860000000001</v>
      </c>
      <c r="J89">
        <v>4.578201</v>
      </c>
      <c r="K89">
        <v>-0.4</v>
      </c>
    </row>
    <row r="90" spans="1:11" x14ac:dyDescent="0.3">
      <c r="A90">
        <v>63</v>
      </c>
      <c r="B90" t="s">
        <v>30</v>
      </c>
      <c r="C90">
        <v>155</v>
      </c>
      <c r="D90" t="s">
        <v>13</v>
      </c>
      <c r="E90" t="s">
        <v>11</v>
      </c>
      <c r="F90">
        <v>16</v>
      </c>
      <c r="G90">
        <v>14.23</v>
      </c>
      <c r="H90">
        <v>-30.57</v>
      </c>
      <c r="I90">
        <v>2.8096160000000001</v>
      </c>
      <c r="J90">
        <v>5.0950930000000003</v>
      </c>
      <c r="K90">
        <v>0.97</v>
      </c>
    </row>
    <row r="91" spans="1:11" x14ac:dyDescent="0.3">
      <c r="A91">
        <v>98</v>
      </c>
      <c r="B91" t="s">
        <v>30</v>
      </c>
      <c r="C91">
        <v>155</v>
      </c>
      <c r="D91" t="s">
        <v>13</v>
      </c>
      <c r="E91" t="s">
        <v>11</v>
      </c>
      <c r="F91">
        <v>16</v>
      </c>
      <c r="G91">
        <v>14.1</v>
      </c>
      <c r="H91">
        <v>-30.61</v>
      </c>
      <c r="I91">
        <v>2.3196219999999999</v>
      </c>
      <c r="J91">
        <v>4.2909930000000003</v>
      </c>
      <c r="K91">
        <v>1.04</v>
      </c>
    </row>
    <row r="92" spans="1:11" x14ac:dyDescent="0.3">
      <c r="A92">
        <v>47</v>
      </c>
      <c r="B92" t="s">
        <v>30</v>
      </c>
      <c r="C92">
        <v>155</v>
      </c>
      <c r="D92" t="s">
        <v>13</v>
      </c>
      <c r="E92" t="s">
        <v>11</v>
      </c>
      <c r="F92">
        <v>16</v>
      </c>
      <c r="G92">
        <v>14.29</v>
      </c>
      <c r="H92">
        <v>-30.62</v>
      </c>
      <c r="I92">
        <v>1.6280669999999999</v>
      </c>
      <c r="J92">
        <v>3.7765620000000002</v>
      </c>
      <c r="K92">
        <v>0.66</v>
      </c>
    </row>
    <row r="93" spans="1:11" x14ac:dyDescent="0.3">
      <c r="A93">
        <v>101</v>
      </c>
      <c r="B93" t="s">
        <v>30</v>
      </c>
      <c r="C93">
        <v>155</v>
      </c>
      <c r="D93" t="s">
        <v>13</v>
      </c>
      <c r="E93" t="s">
        <v>11</v>
      </c>
      <c r="F93">
        <v>16</v>
      </c>
      <c r="G93">
        <v>14.41</v>
      </c>
      <c r="H93">
        <v>-30.62</v>
      </c>
      <c r="I93">
        <v>2.1929699999999999</v>
      </c>
      <c r="J93">
        <v>4.5885160000000003</v>
      </c>
      <c r="K93">
        <v>-0.51</v>
      </c>
    </row>
    <row r="94" spans="1:11" x14ac:dyDescent="0.3">
      <c r="A94">
        <v>62</v>
      </c>
      <c r="B94" t="s">
        <v>30</v>
      </c>
      <c r="C94">
        <v>155</v>
      </c>
      <c r="D94" t="s">
        <v>13</v>
      </c>
      <c r="E94" t="s">
        <v>11</v>
      </c>
      <c r="F94">
        <v>16</v>
      </c>
      <c r="G94">
        <v>13.82</v>
      </c>
      <c r="H94">
        <v>-30.63</v>
      </c>
      <c r="I94">
        <v>2.6056629999999998</v>
      </c>
      <c r="J94">
        <v>4.930504</v>
      </c>
      <c r="K94">
        <v>-2.08</v>
      </c>
    </row>
    <row r="95" spans="1:11" x14ac:dyDescent="0.3">
      <c r="A95">
        <v>11</v>
      </c>
      <c r="B95" t="s">
        <v>30</v>
      </c>
      <c r="C95">
        <v>155</v>
      </c>
      <c r="D95" t="s">
        <v>13</v>
      </c>
      <c r="E95" t="s">
        <v>11</v>
      </c>
      <c r="F95">
        <v>16</v>
      </c>
      <c r="G95">
        <v>14.75</v>
      </c>
      <c r="H95">
        <v>-30.69</v>
      </c>
      <c r="I95">
        <v>3.2013820000000002</v>
      </c>
      <c r="J95">
        <v>5.1949310000000004</v>
      </c>
      <c r="K95">
        <v>1.26</v>
      </c>
    </row>
    <row r="96" spans="1:11" x14ac:dyDescent="0.3">
      <c r="A96">
        <v>15</v>
      </c>
      <c r="B96" t="s">
        <v>30</v>
      </c>
      <c r="C96">
        <v>155</v>
      </c>
      <c r="D96" t="s">
        <v>13</v>
      </c>
      <c r="E96" t="s">
        <v>11</v>
      </c>
      <c r="F96">
        <v>16</v>
      </c>
      <c r="G96">
        <v>14.06</v>
      </c>
      <c r="H96">
        <v>-30.72</v>
      </c>
      <c r="I96">
        <v>3.191837</v>
      </c>
      <c r="J96">
        <v>5.3494529999999996</v>
      </c>
      <c r="K96">
        <v>0.67</v>
      </c>
    </row>
    <row r="97" spans="1:20" x14ac:dyDescent="0.3">
      <c r="A97">
        <v>19</v>
      </c>
      <c r="B97" t="s">
        <v>30</v>
      </c>
      <c r="C97">
        <v>155</v>
      </c>
      <c r="D97" t="s">
        <v>13</v>
      </c>
      <c r="E97" t="s">
        <v>11</v>
      </c>
      <c r="F97">
        <v>16</v>
      </c>
      <c r="G97">
        <v>14.83</v>
      </c>
      <c r="H97">
        <v>-30.78</v>
      </c>
      <c r="I97">
        <v>2.4551509999999999</v>
      </c>
      <c r="J97">
        <v>4.6135900000000003</v>
      </c>
      <c r="K97">
        <v>1.99</v>
      </c>
    </row>
    <row r="98" spans="1:20" x14ac:dyDescent="0.3">
      <c r="A98">
        <v>13</v>
      </c>
      <c r="B98" t="s">
        <v>30</v>
      </c>
      <c r="C98">
        <v>155</v>
      </c>
      <c r="D98" t="s">
        <v>13</v>
      </c>
      <c r="E98" t="s">
        <v>11</v>
      </c>
      <c r="F98">
        <v>16</v>
      </c>
      <c r="G98">
        <v>14.57</v>
      </c>
      <c r="H98">
        <v>-30.79</v>
      </c>
      <c r="I98">
        <v>2.1760329999999999</v>
      </c>
      <c r="J98">
        <v>4.3314130000000004</v>
      </c>
      <c r="K98">
        <v>-0.23</v>
      </c>
    </row>
    <row r="99" spans="1:20" x14ac:dyDescent="0.3">
      <c r="A99">
        <v>38</v>
      </c>
      <c r="B99" t="s">
        <v>30</v>
      </c>
      <c r="C99">
        <v>155</v>
      </c>
      <c r="D99" t="s">
        <v>13</v>
      </c>
      <c r="E99" t="s">
        <v>11</v>
      </c>
      <c r="F99">
        <v>16</v>
      </c>
      <c r="G99">
        <v>14.53</v>
      </c>
      <c r="H99">
        <v>-30.84</v>
      </c>
      <c r="I99">
        <v>2.895702</v>
      </c>
      <c r="J99">
        <v>5.3375320000000004</v>
      </c>
      <c r="K99">
        <v>0.85</v>
      </c>
    </row>
    <row r="100" spans="1:20" x14ac:dyDescent="0.3">
      <c r="A100">
        <v>46</v>
      </c>
      <c r="B100" t="s">
        <v>30</v>
      </c>
      <c r="C100">
        <v>155</v>
      </c>
      <c r="D100" t="s">
        <v>13</v>
      </c>
      <c r="E100" t="s">
        <v>11</v>
      </c>
      <c r="F100">
        <v>16</v>
      </c>
      <c r="G100">
        <v>14.43</v>
      </c>
      <c r="H100">
        <v>-30.87</v>
      </c>
      <c r="I100" t="s">
        <v>31</v>
      </c>
      <c r="J100" t="s">
        <v>31</v>
      </c>
      <c r="K100">
        <v>-100</v>
      </c>
    </row>
    <row r="101" spans="1:20" x14ac:dyDescent="0.3">
      <c r="A101">
        <v>56</v>
      </c>
      <c r="B101" t="s">
        <v>30</v>
      </c>
      <c r="C101">
        <v>155</v>
      </c>
      <c r="D101" t="s">
        <v>13</v>
      </c>
      <c r="E101" t="s">
        <v>11</v>
      </c>
      <c r="F101">
        <v>16</v>
      </c>
      <c r="G101">
        <v>13.77</v>
      </c>
      <c r="H101">
        <v>-30.9</v>
      </c>
      <c r="I101">
        <v>1.6019399999999999</v>
      </c>
      <c r="J101">
        <v>4.0854150000000002</v>
      </c>
      <c r="K101">
        <v>-2.42</v>
      </c>
    </row>
    <row r="102" spans="1:20" x14ac:dyDescent="0.3">
      <c r="A102">
        <v>54</v>
      </c>
      <c r="B102" t="s">
        <v>30</v>
      </c>
      <c r="C102">
        <v>155</v>
      </c>
      <c r="D102" t="s">
        <v>13</v>
      </c>
      <c r="E102" t="s">
        <v>11</v>
      </c>
      <c r="F102">
        <v>16</v>
      </c>
      <c r="G102">
        <v>14.17</v>
      </c>
      <c r="H102">
        <v>-30.93</v>
      </c>
      <c r="I102">
        <v>2.1396480000000002</v>
      </c>
      <c r="J102">
        <v>4.4676090000000004</v>
      </c>
      <c r="K102">
        <v>-1.98</v>
      </c>
    </row>
    <row r="103" spans="1:20" x14ac:dyDescent="0.3">
      <c r="A103">
        <v>1</v>
      </c>
      <c r="B103" t="s">
        <v>30</v>
      </c>
      <c r="C103">
        <v>155</v>
      </c>
      <c r="D103" t="s">
        <v>13</v>
      </c>
      <c r="E103" t="s">
        <v>11</v>
      </c>
      <c r="F103">
        <v>16</v>
      </c>
      <c r="G103">
        <v>14.74</v>
      </c>
      <c r="H103">
        <v>-30.97</v>
      </c>
      <c r="I103">
        <v>2.9925229999999998</v>
      </c>
      <c r="J103">
        <v>5.3552780000000002</v>
      </c>
      <c r="K103">
        <v>-0.08</v>
      </c>
      <c r="L103" s="4"/>
      <c r="N103">
        <f>AVERAGE(G103:G614)</f>
        <v>14.354285714285714</v>
      </c>
      <c r="O103">
        <f>STDEV(G103:G614)</f>
        <v>0.18880072639085455</v>
      </c>
      <c r="P103">
        <f>ROUND(N103 + 2, 1)</f>
        <v>16.399999999999999</v>
      </c>
      <c r="Q103">
        <f>ROUND(N103 -2, 1)</f>
        <v>12.4</v>
      </c>
      <c r="R103">
        <f>(P103-N103)/(3*O103)</f>
        <v>3.6117698005731445</v>
      </c>
      <c r="S103">
        <f>(N103-Q103)/(3*O103)</f>
        <v>3.4503499212179212</v>
      </c>
      <c r="T103">
        <f>MIN(R103,S103)</f>
        <v>3.4503499212179212</v>
      </c>
    </row>
    <row r="104" spans="1:20" x14ac:dyDescent="0.3">
      <c r="A104">
        <v>25</v>
      </c>
      <c r="B104" t="s">
        <v>30</v>
      </c>
      <c r="C104">
        <v>155</v>
      </c>
      <c r="D104" t="s">
        <v>13</v>
      </c>
      <c r="E104" t="s">
        <v>11</v>
      </c>
      <c r="F104">
        <v>16</v>
      </c>
      <c r="G104">
        <v>14.32</v>
      </c>
      <c r="H104">
        <v>-30.97</v>
      </c>
      <c r="I104">
        <v>0.36279679999999997</v>
      </c>
      <c r="J104">
        <v>2.6087799999999999</v>
      </c>
      <c r="K104">
        <v>-0.24</v>
      </c>
    </row>
    <row r="105" spans="1:20" x14ac:dyDescent="0.3">
      <c r="A105">
        <v>55</v>
      </c>
      <c r="B105" t="s">
        <v>30</v>
      </c>
      <c r="C105">
        <v>155</v>
      </c>
      <c r="D105" t="s">
        <v>13</v>
      </c>
      <c r="E105" t="s">
        <v>11</v>
      </c>
      <c r="F105">
        <v>16</v>
      </c>
      <c r="G105">
        <v>14.17</v>
      </c>
      <c r="H105">
        <v>-31</v>
      </c>
      <c r="I105">
        <v>2.0807570000000002</v>
      </c>
      <c r="J105">
        <v>4.4311449999999999</v>
      </c>
      <c r="K105">
        <v>-1.72</v>
      </c>
    </row>
    <row r="106" spans="1:20" x14ac:dyDescent="0.3">
      <c r="A106">
        <v>35</v>
      </c>
      <c r="B106" t="s">
        <v>30</v>
      </c>
      <c r="C106">
        <v>155</v>
      </c>
      <c r="D106" t="s">
        <v>13</v>
      </c>
      <c r="E106" t="s">
        <v>11</v>
      </c>
      <c r="F106">
        <v>16</v>
      </c>
      <c r="G106">
        <v>14.52</v>
      </c>
      <c r="H106">
        <v>-31.07</v>
      </c>
      <c r="I106">
        <v>1.943962</v>
      </c>
      <c r="J106">
        <v>4.3259119999999998</v>
      </c>
      <c r="K106">
        <v>0.3</v>
      </c>
    </row>
    <row r="107" spans="1:20" x14ac:dyDescent="0.3">
      <c r="A107">
        <v>34</v>
      </c>
      <c r="B107" t="s">
        <v>30</v>
      </c>
      <c r="C107">
        <v>155</v>
      </c>
      <c r="D107" t="s">
        <v>13</v>
      </c>
      <c r="E107" t="s">
        <v>11</v>
      </c>
      <c r="F107">
        <v>16</v>
      </c>
      <c r="G107">
        <v>14.56</v>
      </c>
      <c r="H107">
        <v>-31.08</v>
      </c>
      <c r="I107">
        <v>1.92337</v>
      </c>
      <c r="J107">
        <v>4.3418349999999997</v>
      </c>
      <c r="K107">
        <v>0.76</v>
      </c>
    </row>
    <row r="108" spans="1:20" x14ac:dyDescent="0.3">
      <c r="A108">
        <v>50</v>
      </c>
      <c r="B108" t="s">
        <v>30</v>
      </c>
      <c r="C108">
        <v>155</v>
      </c>
      <c r="D108" t="s">
        <v>13</v>
      </c>
      <c r="E108" t="s">
        <v>11</v>
      </c>
      <c r="F108">
        <v>16</v>
      </c>
      <c r="G108">
        <v>14.16</v>
      </c>
      <c r="H108">
        <v>-31.12</v>
      </c>
      <c r="I108">
        <v>1.1609229999999999</v>
      </c>
      <c r="J108">
        <v>3.533855</v>
      </c>
      <c r="K108">
        <v>0.03</v>
      </c>
    </row>
    <row r="109" spans="1:20" x14ac:dyDescent="0.3">
      <c r="A109">
        <v>32</v>
      </c>
      <c r="B109" t="s">
        <v>30</v>
      </c>
      <c r="C109">
        <v>155</v>
      </c>
      <c r="D109" t="s">
        <v>13</v>
      </c>
      <c r="E109" t="s">
        <v>11</v>
      </c>
      <c r="F109">
        <v>16</v>
      </c>
      <c r="G109">
        <v>14.47</v>
      </c>
      <c r="H109">
        <v>-31.14</v>
      </c>
      <c r="I109">
        <v>2.7705799999999998</v>
      </c>
      <c r="J109">
        <v>4.6702349999999999</v>
      </c>
      <c r="K109">
        <v>0.22</v>
      </c>
    </row>
    <row r="110" spans="1:20" x14ac:dyDescent="0.3">
      <c r="A110">
        <v>52</v>
      </c>
      <c r="B110" t="s">
        <v>30</v>
      </c>
      <c r="C110">
        <v>155</v>
      </c>
      <c r="D110" t="s">
        <v>13</v>
      </c>
      <c r="E110" t="s">
        <v>11</v>
      </c>
      <c r="F110">
        <v>16</v>
      </c>
      <c r="G110">
        <v>14.4</v>
      </c>
      <c r="H110">
        <v>-31.15</v>
      </c>
      <c r="I110">
        <v>2.2381289999999998</v>
      </c>
      <c r="J110">
        <v>4.6588060000000002</v>
      </c>
      <c r="K110">
        <v>-1.63</v>
      </c>
    </row>
    <row r="111" spans="1:20" x14ac:dyDescent="0.3">
      <c r="A111">
        <v>36</v>
      </c>
      <c r="B111" t="s">
        <v>30</v>
      </c>
      <c r="C111">
        <v>155</v>
      </c>
      <c r="D111" t="s">
        <v>13</v>
      </c>
      <c r="E111" t="s">
        <v>11</v>
      </c>
      <c r="F111">
        <v>16</v>
      </c>
      <c r="G111">
        <v>14.49</v>
      </c>
      <c r="H111">
        <v>-31.16</v>
      </c>
      <c r="I111" t="s">
        <v>31</v>
      </c>
      <c r="J111" t="s">
        <v>31</v>
      </c>
      <c r="K111">
        <v>-100</v>
      </c>
    </row>
    <row r="112" spans="1:20" x14ac:dyDescent="0.3">
      <c r="A112">
        <v>4</v>
      </c>
      <c r="B112" t="s">
        <v>30</v>
      </c>
      <c r="C112">
        <v>155</v>
      </c>
      <c r="D112" t="s">
        <v>13</v>
      </c>
      <c r="E112" t="s">
        <v>11</v>
      </c>
      <c r="F112">
        <v>16</v>
      </c>
      <c r="G112">
        <v>14.29</v>
      </c>
      <c r="H112">
        <v>-31.18</v>
      </c>
      <c r="I112">
        <v>1.8591500000000001</v>
      </c>
      <c r="J112">
        <v>4.3596570000000003</v>
      </c>
      <c r="K112">
        <v>-0.32</v>
      </c>
      <c r="M112" s="4"/>
    </row>
    <row r="113" spans="1:12" x14ac:dyDescent="0.3">
      <c r="A113">
        <v>40</v>
      </c>
      <c r="B113" t="s">
        <v>30</v>
      </c>
      <c r="C113">
        <v>155</v>
      </c>
      <c r="D113" t="s">
        <v>13</v>
      </c>
      <c r="E113" t="s">
        <v>11</v>
      </c>
      <c r="F113">
        <v>16</v>
      </c>
      <c r="G113">
        <v>14.08</v>
      </c>
      <c r="H113">
        <v>-31.19</v>
      </c>
      <c r="I113">
        <v>1.7498739999999999</v>
      </c>
      <c r="J113">
        <v>3.899448</v>
      </c>
      <c r="K113">
        <v>-1.36</v>
      </c>
    </row>
    <row r="114" spans="1:12" x14ac:dyDescent="0.3">
      <c r="A114">
        <v>45</v>
      </c>
      <c r="B114" t="s">
        <v>30</v>
      </c>
      <c r="C114">
        <v>155</v>
      </c>
      <c r="D114" t="s">
        <v>13</v>
      </c>
      <c r="E114" t="s">
        <v>11</v>
      </c>
      <c r="F114">
        <v>16</v>
      </c>
      <c r="G114">
        <v>14.3</v>
      </c>
      <c r="H114">
        <v>-31.19</v>
      </c>
      <c r="I114">
        <v>2.3674659999999998</v>
      </c>
      <c r="J114">
        <v>4.6800379999999997</v>
      </c>
      <c r="K114">
        <v>2.44</v>
      </c>
    </row>
    <row r="115" spans="1:12" x14ac:dyDescent="0.3">
      <c r="A115">
        <v>68</v>
      </c>
      <c r="B115" t="s">
        <v>30</v>
      </c>
      <c r="C115">
        <v>155</v>
      </c>
      <c r="D115" t="s">
        <v>13</v>
      </c>
      <c r="E115" t="s">
        <v>11</v>
      </c>
      <c r="F115">
        <v>16</v>
      </c>
      <c r="G115">
        <v>14.21</v>
      </c>
      <c r="H115">
        <v>-31.26</v>
      </c>
      <c r="I115">
        <v>1.848007</v>
      </c>
      <c r="J115">
        <v>4.5561290000000003</v>
      </c>
      <c r="K115">
        <v>1.66</v>
      </c>
    </row>
    <row r="116" spans="1:12" x14ac:dyDescent="0.3">
      <c r="A116">
        <v>69</v>
      </c>
      <c r="B116" t="s">
        <v>30</v>
      </c>
      <c r="C116">
        <v>155</v>
      </c>
      <c r="D116" t="s">
        <v>13</v>
      </c>
      <c r="E116" t="s">
        <v>11</v>
      </c>
      <c r="F116">
        <v>16</v>
      </c>
      <c r="G116">
        <v>14.2</v>
      </c>
      <c r="H116">
        <v>-31.31</v>
      </c>
      <c r="I116">
        <v>1.205711</v>
      </c>
      <c r="J116">
        <v>3.2913739999999998</v>
      </c>
      <c r="K116">
        <v>-0.15</v>
      </c>
    </row>
    <row r="117" spans="1:12" x14ac:dyDescent="0.3">
      <c r="A117">
        <v>31</v>
      </c>
      <c r="B117" t="s">
        <v>30</v>
      </c>
      <c r="C117">
        <v>155</v>
      </c>
      <c r="D117" t="s">
        <v>13</v>
      </c>
      <c r="E117" t="s">
        <v>11</v>
      </c>
      <c r="F117">
        <v>16</v>
      </c>
      <c r="G117">
        <v>14.32</v>
      </c>
      <c r="H117">
        <v>-31.43</v>
      </c>
      <c r="I117">
        <v>1.369267</v>
      </c>
      <c r="J117">
        <v>3.472702</v>
      </c>
      <c r="K117">
        <v>0.44</v>
      </c>
    </row>
    <row r="118" spans="1:12" x14ac:dyDescent="0.3">
      <c r="A118">
        <v>3</v>
      </c>
      <c r="B118" t="s">
        <v>30</v>
      </c>
      <c r="C118">
        <v>155</v>
      </c>
      <c r="D118" t="s">
        <v>13</v>
      </c>
      <c r="E118" t="s">
        <v>11</v>
      </c>
      <c r="F118">
        <v>16</v>
      </c>
      <c r="G118">
        <v>14.58</v>
      </c>
      <c r="H118">
        <v>-31.44</v>
      </c>
      <c r="I118">
        <v>-1.210602</v>
      </c>
      <c r="J118">
        <v>0.92958070000000004</v>
      </c>
      <c r="K118">
        <v>-0.74</v>
      </c>
      <c r="L118" s="4"/>
    </row>
    <row r="119" spans="1:12" x14ac:dyDescent="0.3">
      <c r="A119">
        <v>39</v>
      </c>
      <c r="B119" t="s">
        <v>30</v>
      </c>
      <c r="C119">
        <v>155</v>
      </c>
      <c r="D119" t="s">
        <v>13</v>
      </c>
      <c r="E119" t="s">
        <v>11</v>
      </c>
      <c r="F119">
        <v>16</v>
      </c>
      <c r="G119">
        <v>14.09</v>
      </c>
      <c r="H119">
        <v>-31.49</v>
      </c>
      <c r="I119">
        <v>2.3824649999999998</v>
      </c>
      <c r="J119">
        <v>4.7505649999999999</v>
      </c>
      <c r="K119">
        <v>-0.17</v>
      </c>
    </row>
    <row r="120" spans="1:12" x14ac:dyDescent="0.3">
      <c r="A120">
        <v>30</v>
      </c>
      <c r="B120" t="s">
        <v>30</v>
      </c>
      <c r="C120">
        <v>155</v>
      </c>
      <c r="D120" t="s">
        <v>13</v>
      </c>
      <c r="E120" t="s">
        <v>11</v>
      </c>
      <c r="F120">
        <v>16</v>
      </c>
      <c r="G120">
        <v>14.57</v>
      </c>
      <c r="H120">
        <v>-31.73</v>
      </c>
      <c r="I120" t="s">
        <v>31</v>
      </c>
      <c r="J120" t="s">
        <v>31</v>
      </c>
      <c r="K120">
        <v>-100</v>
      </c>
    </row>
    <row r="121" spans="1:12" x14ac:dyDescent="0.3">
      <c r="A121">
        <v>51</v>
      </c>
      <c r="B121" t="s">
        <v>30</v>
      </c>
      <c r="C121">
        <v>155</v>
      </c>
      <c r="D121" t="s">
        <v>13</v>
      </c>
      <c r="E121" t="s">
        <v>11</v>
      </c>
      <c r="F121">
        <v>16</v>
      </c>
      <c r="G121">
        <v>14.08</v>
      </c>
      <c r="H121">
        <v>-31.77</v>
      </c>
      <c r="I121">
        <v>0.16695019999999999</v>
      </c>
      <c r="J121">
        <v>2.1675339999999998</v>
      </c>
      <c r="K121">
        <v>-1.2</v>
      </c>
    </row>
    <row r="122" spans="1:12" x14ac:dyDescent="0.3">
      <c r="A122">
        <v>43</v>
      </c>
      <c r="B122" t="s">
        <v>30</v>
      </c>
      <c r="C122">
        <v>155</v>
      </c>
      <c r="D122" t="s">
        <v>13</v>
      </c>
      <c r="E122" t="s">
        <v>11</v>
      </c>
      <c r="F122">
        <v>16</v>
      </c>
      <c r="G122">
        <v>14.43</v>
      </c>
      <c r="H122">
        <v>-32.01</v>
      </c>
      <c r="I122">
        <v>0.91460799999999998</v>
      </c>
      <c r="J122">
        <v>3.3164669999999998</v>
      </c>
      <c r="K122">
        <v>0.78</v>
      </c>
    </row>
    <row r="123" spans="1:12" x14ac:dyDescent="0.3">
      <c r="A123">
        <v>44</v>
      </c>
      <c r="B123" t="s">
        <v>30</v>
      </c>
      <c r="C123">
        <v>155</v>
      </c>
      <c r="D123" t="s">
        <v>13</v>
      </c>
      <c r="E123" t="s">
        <v>11</v>
      </c>
      <c r="F123">
        <v>16</v>
      </c>
      <c r="G123">
        <v>14.46</v>
      </c>
      <c r="H123">
        <v>-32.25</v>
      </c>
      <c r="I123">
        <v>1.970688</v>
      </c>
      <c r="J123">
        <v>4.596203</v>
      </c>
      <c r="K123">
        <v>0.36</v>
      </c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F04B-D63C-4ADD-A101-67F656BCBB61}">
  <dimension ref="A1:V123"/>
  <sheetViews>
    <sheetView zoomScale="115" zoomScaleNormal="115" workbookViewId="0">
      <selection activeCell="C3" sqref="C3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>
        <v>83</v>
      </c>
      <c r="B2" t="s">
        <v>30</v>
      </c>
      <c r="C2">
        <v>7</v>
      </c>
      <c r="D2" t="s">
        <v>10</v>
      </c>
      <c r="E2" t="s">
        <v>11</v>
      </c>
      <c r="F2">
        <v>16</v>
      </c>
      <c r="G2">
        <v>15.19</v>
      </c>
      <c r="H2">
        <v>4.6500000000000004</v>
      </c>
      <c r="I2">
        <v>8.4915500000000002</v>
      </c>
      <c r="J2">
        <v>11.767620000000001</v>
      </c>
      <c r="K2">
        <v>1.29</v>
      </c>
      <c r="V2">
        <v>0</v>
      </c>
    </row>
    <row r="3" spans="1:22" x14ac:dyDescent="0.3">
      <c r="A3">
        <v>70</v>
      </c>
      <c r="B3" t="s">
        <v>30</v>
      </c>
      <c r="C3">
        <v>7</v>
      </c>
      <c r="D3" t="s">
        <v>10</v>
      </c>
      <c r="E3" t="s">
        <v>11</v>
      </c>
      <c r="F3">
        <v>16</v>
      </c>
      <c r="G3">
        <v>15.39</v>
      </c>
      <c r="H3">
        <v>4.46</v>
      </c>
      <c r="I3">
        <v>4.8330190000000002</v>
      </c>
      <c r="J3">
        <v>8.3342700000000001</v>
      </c>
      <c r="K3">
        <v>7.97</v>
      </c>
      <c r="V3">
        <v>0</v>
      </c>
    </row>
    <row r="4" spans="1:22" x14ac:dyDescent="0.3">
      <c r="A4">
        <v>84</v>
      </c>
      <c r="B4" t="s">
        <v>30</v>
      </c>
      <c r="C4">
        <v>7</v>
      </c>
      <c r="D4" t="s">
        <v>10</v>
      </c>
      <c r="E4" t="s">
        <v>11</v>
      </c>
      <c r="F4">
        <v>16</v>
      </c>
      <c r="G4">
        <v>14.75</v>
      </c>
      <c r="H4">
        <v>4.45</v>
      </c>
      <c r="I4">
        <v>4.8860659999999996</v>
      </c>
      <c r="J4">
        <v>8.8227770000000003</v>
      </c>
      <c r="K4">
        <v>2.5</v>
      </c>
    </row>
    <row r="5" spans="1:22" x14ac:dyDescent="0.3">
      <c r="A5">
        <v>23</v>
      </c>
      <c r="B5" t="s">
        <v>30</v>
      </c>
      <c r="C5">
        <v>7</v>
      </c>
      <c r="D5" t="s">
        <v>10</v>
      </c>
      <c r="E5" t="s">
        <v>11</v>
      </c>
      <c r="F5">
        <v>16</v>
      </c>
      <c r="G5">
        <v>16.36</v>
      </c>
      <c r="H5">
        <v>4.4400000000000004</v>
      </c>
      <c r="I5">
        <v>2.0896149999999998</v>
      </c>
      <c r="J5">
        <v>6.2048569999999996</v>
      </c>
      <c r="K5">
        <v>1.49</v>
      </c>
    </row>
    <row r="6" spans="1:22" x14ac:dyDescent="0.3">
      <c r="A6">
        <v>26</v>
      </c>
      <c r="B6" t="s">
        <v>30</v>
      </c>
      <c r="C6">
        <v>7</v>
      </c>
      <c r="D6" t="s">
        <v>10</v>
      </c>
      <c r="E6" t="s">
        <v>11</v>
      </c>
      <c r="F6">
        <v>16</v>
      </c>
      <c r="G6">
        <v>15.31</v>
      </c>
      <c r="H6">
        <v>4.42</v>
      </c>
      <c r="I6">
        <v>3.5029140000000001</v>
      </c>
      <c r="J6">
        <v>7.6222459999999996</v>
      </c>
      <c r="K6">
        <v>3.91</v>
      </c>
    </row>
    <row r="7" spans="1:22" x14ac:dyDescent="0.3">
      <c r="A7">
        <v>24</v>
      </c>
      <c r="B7" t="s">
        <v>30</v>
      </c>
      <c r="C7">
        <v>7</v>
      </c>
      <c r="D7" t="s">
        <v>10</v>
      </c>
      <c r="E7" t="s">
        <v>11</v>
      </c>
      <c r="F7">
        <v>16</v>
      </c>
      <c r="G7">
        <v>15.84</v>
      </c>
      <c r="H7">
        <v>4.38</v>
      </c>
      <c r="I7">
        <v>2.9640849999999999</v>
      </c>
      <c r="J7">
        <v>6.6306989999999999</v>
      </c>
      <c r="K7">
        <v>3.51</v>
      </c>
    </row>
    <row r="8" spans="1:22" x14ac:dyDescent="0.3">
      <c r="A8">
        <v>110</v>
      </c>
      <c r="B8" t="s">
        <v>30</v>
      </c>
      <c r="C8">
        <v>7</v>
      </c>
      <c r="D8" t="s">
        <v>10</v>
      </c>
      <c r="E8" t="s">
        <v>11</v>
      </c>
      <c r="F8">
        <v>16</v>
      </c>
      <c r="G8">
        <v>15.57</v>
      </c>
      <c r="H8">
        <v>4.3499999999999996</v>
      </c>
      <c r="I8">
        <v>4.8999980000000001</v>
      </c>
      <c r="J8">
        <v>9.4650230000000004</v>
      </c>
      <c r="K8">
        <v>4.05</v>
      </c>
    </row>
    <row r="9" spans="1:22" x14ac:dyDescent="0.3">
      <c r="A9">
        <v>121</v>
      </c>
      <c r="B9" t="s">
        <v>30</v>
      </c>
      <c r="C9">
        <v>7</v>
      </c>
      <c r="D9" t="s">
        <v>10</v>
      </c>
      <c r="E9" t="s">
        <v>11</v>
      </c>
      <c r="F9">
        <v>16</v>
      </c>
      <c r="G9">
        <v>16.47</v>
      </c>
      <c r="H9">
        <v>4.29</v>
      </c>
      <c r="I9">
        <v>4.1586650000000001</v>
      </c>
      <c r="J9">
        <v>8.0444259999999996</v>
      </c>
      <c r="K9">
        <v>5.73</v>
      </c>
    </row>
    <row r="10" spans="1:22" x14ac:dyDescent="0.3">
      <c r="A10">
        <v>117</v>
      </c>
      <c r="B10" t="s">
        <v>30</v>
      </c>
      <c r="C10">
        <v>7</v>
      </c>
      <c r="D10" t="s">
        <v>10</v>
      </c>
      <c r="E10" t="s">
        <v>11</v>
      </c>
      <c r="F10">
        <v>16</v>
      </c>
      <c r="G10">
        <v>15.55</v>
      </c>
      <c r="H10">
        <v>4.26</v>
      </c>
      <c r="I10">
        <v>6.8809659999999999</v>
      </c>
      <c r="J10">
        <v>10.463900000000001</v>
      </c>
      <c r="K10">
        <v>2.74</v>
      </c>
    </row>
    <row r="11" spans="1:22" x14ac:dyDescent="0.3">
      <c r="A11">
        <v>61</v>
      </c>
      <c r="B11" t="s">
        <v>30</v>
      </c>
      <c r="C11">
        <v>7</v>
      </c>
      <c r="D11" t="s">
        <v>10</v>
      </c>
      <c r="E11" t="s">
        <v>11</v>
      </c>
      <c r="F11">
        <v>16</v>
      </c>
      <c r="G11">
        <v>14.6</v>
      </c>
      <c r="H11">
        <v>4.25</v>
      </c>
      <c r="I11">
        <v>6.4388050000000003</v>
      </c>
      <c r="J11">
        <v>10.06376</v>
      </c>
      <c r="K11">
        <v>0.55000000000000004</v>
      </c>
    </row>
    <row r="12" spans="1:22" x14ac:dyDescent="0.3">
      <c r="A12">
        <v>67</v>
      </c>
      <c r="B12" t="s">
        <v>30</v>
      </c>
      <c r="C12">
        <v>7</v>
      </c>
      <c r="D12" t="s">
        <v>10</v>
      </c>
      <c r="E12" t="s">
        <v>11</v>
      </c>
      <c r="F12">
        <v>16</v>
      </c>
      <c r="G12">
        <v>16.38</v>
      </c>
      <c r="H12">
        <v>4.2300000000000004</v>
      </c>
      <c r="I12">
        <v>4.0827830000000001</v>
      </c>
      <c r="J12">
        <v>8.0213999999999999</v>
      </c>
      <c r="K12">
        <v>33.67</v>
      </c>
    </row>
    <row r="13" spans="1:22" x14ac:dyDescent="0.3">
      <c r="A13">
        <v>8</v>
      </c>
      <c r="B13" t="s">
        <v>30</v>
      </c>
      <c r="C13">
        <v>7</v>
      </c>
      <c r="D13" t="s">
        <v>10</v>
      </c>
      <c r="E13" t="s">
        <v>11</v>
      </c>
      <c r="F13">
        <v>16</v>
      </c>
      <c r="G13">
        <v>15.23</v>
      </c>
      <c r="H13">
        <v>4.21</v>
      </c>
      <c r="I13">
        <v>3.288815</v>
      </c>
      <c r="J13">
        <v>7.310219</v>
      </c>
      <c r="K13">
        <v>3.87</v>
      </c>
    </row>
    <row r="14" spans="1:22" x14ac:dyDescent="0.3">
      <c r="A14">
        <v>33</v>
      </c>
      <c r="B14" t="s">
        <v>30</v>
      </c>
      <c r="C14">
        <v>7</v>
      </c>
      <c r="D14" t="s">
        <v>10</v>
      </c>
      <c r="E14" t="s">
        <v>11</v>
      </c>
      <c r="F14">
        <v>16</v>
      </c>
      <c r="G14">
        <v>15.48</v>
      </c>
      <c r="H14">
        <v>4.1900000000000004</v>
      </c>
      <c r="I14">
        <v>0.49149320000000002</v>
      </c>
      <c r="J14">
        <v>6.0040889999999996</v>
      </c>
      <c r="K14">
        <v>3.09</v>
      </c>
    </row>
    <row r="15" spans="1:22" x14ac:dyDescent="0.3">
      <c r="A15">
        <v>17</v>
      </c>
      <c r="B15" t="s">
        <v>30</v>
      </c>
      <c r="C15">
        <v>7</v>
      </c>
      <c r="D15" t="s">
        <v>10</v>
      </c>
      <c r="E15" t="s">
        <v>11</v>
      </c>
      <c r="F15">
        <v>16</v>
      </c>
      <c r="G15">
        <v>16.39</v>
      </c>
      <c r="H15">
        <v>4.17</v>
      </c>
      <c r="I15">
        <v>3.2043149999999998</v>
      </c>
      <c r="J15">
        <v>7.4481200000000003</v>
      </c>
      <c r="K15">
        <v>2.23</v>
      </c>
    </row>
    <row r="16" spans="1:22" x14ac:dyDescent="0.3">
      <c r="A16">
        <v>7</v>
      </c>
      <c r="B16" t="s">
        <v>30</v>
      </c>
      <c r="C16">
        <v>7</v>
      </c>
      <c r="D16" t="s">
        <v>10</v>
      </c>
      <c r="E16" t="s">
        <v>11</v>
      </c>
      <c r="F16">
        <v>16</v>
      </c>
      <c r="G16">
        <v>16.010000000000002</v>
      </c>
      <c r="H16">
        <v>4.1500000000000004</v>
      </c>
      <c r="I16">
        <v>5.085464</v>
      </c>
      <c r="J16">
        <v>9.1611180000000001</v>
      </c>
      <c r="K16">
        <v>-2.23</v>
      </c>
    </row>
    <row r="17" spans="1:11" x14ac:dyDescent="0.3">
      <c r="A17">
        <v>79</v>
      </c>
      <c r="B17" t="s">
        <v>30</v>
      </c>
      <c r="C17">
        <v>7</v>
      </c>
      <c r="D17" t="s">
        <v>10</v>
      </c>
      <c r="E17" t="s">
        <v>11</v>
      </c>
      <c r="F17">
        <v>16</v>
      </c>
      <c r="G17">
        <v>15.6</v>
      </c>
      <c r="H17">
        <v>4.1500000000000004</v>
      </c>
      <c r="I17">
        <v>4.0679819999999998</v>
      </c>
      <c r="J17">
        <v>7.7911000000000001</v>
      </c>
      <c r="K17">
        <v>1</v>
      </c>
    </row>
    <row r="18" spans="1:11" x14ac:dyDescent="0.3">
      <c r="A18">
        <v>5</v>
      </c>
      <c r="B18" t="s">
        <v>30</v>
      </c>
      <c r="C18">
        <v>7</v>
      </c>
      <c r="D18" t="s">
        <v>10</v>
      </c>
      <c r="E18" t="s">
        <v>11</v>
      </c>
      <c r="F18">
        <v>16</v>
      </c>
      <c r="G18">
        <v>15.74</v>
      </c>
      <c r="H18">
        <v>4.1399999999999997</v>
      </c>
      <c r="I18">
        <v>4.8437000000000001</v>
      </c>
      <c r="J18">
        <v>8.4388199999999998</v>
      </c>
      <c r="K18">
        <v>-0.41</v>
      </c>
    </row>
    <row r="19" spans="1:11" x14ac:dyDescent="0.3">
      <c r="A19">
        <v>92</v>
      </c>
      <c r="B19" t="s">
        <v>30</v>
      </c>
      <c r="C19">
        <v>7</v>
      </c>
      <c r="D19" t="s">
        <v>10</v>
      </c>
      <c r="E19" t="s">
        <v>11</v>
      </c>
      <c r="F19">
        <v>16</v>
      </c>
      <c r="G19">
        <v>15.98</v>
      </c>
      <c r="H19">
        <v>4.1399999999999997</v>
      </c>
      <c r="I19">
        <v>3.270416</v>
      </c>
      <c r="J19">
        <v>6.7248150000000004</v>
      </c>
      <c r="K19">
        <v>8.09</v>
      </c>
    </row>
    <row r="20" spans="1:11" x14ac:dyDescent="0.3">
      <c r="A20">
        <v>96</v>
      </c>
      <c r="B20" t="s">
        <v>30</v>
      </c>
      <c r="C20">
        <v>7</v>
      </c>
      <c r="D20" t="s">
        <v>10</v>
      </c>
      <c r="E20" t="s">
        <v>11</v>
      </c>
      <c r="F20">
        <v>16</v>
      </c>
      <c r="G20">
        <v>15.93</v>
      </c>
      <c r="H20">
        <v>4.1399999999999997</v>
      </c>
      <c r="I20">
        <v>1.874889</v>
      </c>
      <c r="J20">
        <v>5.9839669999999998</v>
      </c>
      <c r="K20">
        <v>1.88</v>
      </c>
    </row>
    <row r="21" spans="1:11" x14ac:dyDescent="0.3">
      <c r="A21">
        <v>64</v>
      </c>
      <c r="B21" t="s">
        <v>30</v>
      </c>
      <c r="C21">
        <v>7</v>
      </c>
      <c r="D21" t="s">
        <v>10</v>
      </c>
      <c r="E21" t="s">
        <v>11</v>
      </c>
      <c r="F21">
        <v>16</v>
      </c>
      <c r="G21">
        <v>15.19</v>
      </c>
      <c r="H21">
        <v>4.13</v>
      </c>
      <c r="I21">
        <v>4.1613920000000002</v>
      </c>
      <c r="J21">
        <v>8.1555479999999996</v>
      </c>
      <c r="K21">
        <v>-0.22</v>
      </c>
    </row>
    <row r="22" spans="1:11" x14ac:dyDescent="0.3">
      <c r="A22">
        <v>105</v>
      </c>
      <c r="B22" t="s">
        <v>30</v>
      </c>
      <c r="C22">
        <v>7</v>
      </c>
      <c r="D22" t="s">
        <v>10</v>
      </c>
      <c r="E22" t="s">
        <v>11</v>
      </c>
      <c r="F22">
        <v>16</v>
      </c>
      <c r="G22">
        <v>15.48</v>
      </c>
      <c r="H22">
        <v>4.12</v>
      </c>
      <c r="I22">
        <v>3.2702100000000001</v>
      </c>
      <c r="J22">
        <v>7.9604419999999996</v>
      </c>
      <c r="K22">
        <v>-0.26</v>
      </c>
    </row>
    <row r="23" spans="1:11" x14ac:dyDescent="0.3">
      <c r="A23">
        <v>37</v>
      </c>
      <c r="B23" t="s">
        <v>30</v>
      </c>
      <c r="C23">
        <v>7</v>
      </c>
      <c r="D23" t="s">
        <v>10</v>
      </c>
      <c r="E23" t="s">
        <v>11</v>
      </c>
      <c r="F23">
        <v>16</v>
      </c>
      <c r="G23">
        <v>16.07</v>
      </c>
      <c r="H23">
        <v>4.1100000000000003</v>
      </c>
      <c r="I23">
        <v>1.881721</v>
      </c>
      <c r="J23">
        <v>5.4859349999999996</v>
      </c>
      <c r="K23">
        <v>-0.05</v>
      </c>
    </row>
    <row r="24" spans="1:11" x14ac:dyDescent="0.3">
      <c r="A24">
        <v>42</v>
      </c>
      <c r="B24" t="s">
        <v>30</v>
      </c>
      <c r="C24">
        <v>7</v>
      </c>
      <c r="D24" t="s">
        <v>10</v>
      </c>
      <c r="E24" t="s">
        <v>11</v>
      </c>
      <c r="F24">
        <v>16</v>
      </c>
      <c r="G24">
        <v>15.8</v>
      </c>
      <c r="H24">
        <v>4.1100000000000003</v>
      </c>
      <c r="I24">
        <v>4.0871959999999996</v>
      </c>
      <c r="J24">
        <v>8.4468379999999996</v>
      </c>
      <c r="K24">
        <v>1.46</v>
      </c>
    </row>
    <row r="25" spans="1:11" x14ac:dyDescent="0.3">
      <c r="A25">
        <v>60</v>
      </c>
      <c r="B25" t="s">
        <v>30</v>
      </c>
      <c r="C25">
        <v>7</v>
      </c>
      <c r="D25" t="s">
        <v>10</v>
      </c>
      <c r="E25" t="s">
        <v>11</v>
      </c>
      <c r="F25">
        <v>16</v>
      </c>
      <c r="G25">
        <v>15.37</v>
      </c>
      <c r="H25">
        <v>4.1100000000000003</v>
      </c>
      <c r="I25">
        <v>4.8566929999999999</v>
      </c>
      <c r="J25">
        <v>8.8458439999999996</v>
      </c>
      <c r="K25">
        <v>1.5</v>
      </c>
    </row>
    <row r="26" spans="1:11" x14ac:dyDescent="0.3">
      <c r="A26">
        <v>120</v>
      </c>
      <c r="B26" t="s">
        <v>30</v>
      </c>
      <c r="C26">
        <v>7</v>
      </c>
      <c r="D26" t="s">
        <v>10</v>
      </c>
      <c r="E26" t="s">
        <v>11</v>
      </c>
      <c r="F26">
        <v>16</v>
      </c>
      <c r="G26">
        <v>15.61</v>
      </c>
      <c r="H26">
        <v>4.1100000000000003</v>
      </c>
      <c r="I26">
        <v>3.0931280000000001</v>
      </c>
      <c r="J26">
        <v>7.9367070000000002</v>
      </c>
      <c r="K26">
        <v>-0.63</v>
      </c>
    </row>
    <row r="27" spans="1:11" x14ac:dyDescent="0.3">
      <c r="A27">
        <v>100</v>
      </c>
      <c r="B27" t="s">
        <v>30</v>
      </c>
      <c r="C27">
        <v>7</v>
      </c>
      <c r="D27" t="s">
        <v>10</v>
      </c>
      <c r="E27" t="s">
        <v>11</v>
      </c>
      <c r="F27">
        <v>16</v>
      </c>
      <c r="G27">
        <v>16.21</v>
      </c>
      <c r="H27">
        <v>4.0999999999999996</v>
      </c>
      <c r="I27">
        <v>3.9309229999999999</v>
      </c>
      <c r="J27">
        <v>8.1796679999999995</v>
      </c>
      <c r="K27">
        <v>3.75</v>
      </c>
    </row>
    <row r="28" spans="1:11" x14ac:dyDescent="0.3">
      <c r="A28">
        <v>29</v>
      </c>
      <c r="B28" t="s">
        <v>30</v>
      </c>
      <c r="C28">
        <v>7</v>
      </c>
      <c r="D28" t="s">
        <v>10</v>
      </c>
      <c r="E28" t="s">
        <v>11</v>
      </c>
      <c r="F28">
        <v>16</v>
      </c>
      <c r="G28">
        <v>15.65</v>
      </c>
      <c r="H28">
        <v>4.09</v>
      </c>
      <c r="I28">
        <v>2.7463000000000002</v>
      </c>
      <c r="J28">
        <v>6.8617319999999999</v>
      </c>
      <c r="K28">
        <v>5.03</v>
      </c>
    </row>
    <row r="29" spans="1:11" x14ac:dyDescent="0.3">
      <c r="A29">
        <v>53</v>
      </c>
      <c r="B29" t="s">
        <v>30</v>
      </c>
      <c r="C29">
        <v>7</v>
      </c>
      <c r="D29" t="s">
        <v>10</v>
      </c>
      <c r="E29" t="s">
        <v>11</v>
      </c>
      <c r="F29">
        <v>16</v>
      </c>
      <c r="G29">
        <v>15.29</v>
      </c>
      <c r="H29">
        <v>4.09</v>
      </c>
      <c r="I29">
        <v>2.1547200000000002</v>
      </c>
      <c r="J29">
        <v>6.2206989999999998</v>
      </c>
      <c r="K29">
        <v>6.1</v>
      </c>
    </row>
    <row r="30" spans="1:11" x14ac:dyDescent="0.3">
      <c r="A30">
        <v>78</v>
      </c>
      <c r="B30" t="s">
        <v>30</v>
      </c>
      <c r="C30">
        <v>7</v>
      </c>
      <c r="D30" t="s">
        <v>10</v>
      </c>
      <c r="E30" t="s">
        <v>11</v>
      </c>
      <c r="F30">
        <v>16</v>
      </c>
      <c r="G30">
        <v>15.39</v>
      </c>
      <c r="H30">
        <v>4.09</v>
      </c>
      <c r="I30">
        <v>5.3026309999999999</v>
      </c>
      <c r="J30">
        <v>8.9984660000000005</v>
      </c>
      <c r="K30">
        <v>0.33</v>
      </c>
    </row>
    <row r="31" spans="1:11" x14ac:dyDescent="0.3">
      <c r="A31">
        <v>118</v>
      </c>
      <c r="B31" t="s">
        <v>30</v>
      </c>
      <c r="C31">
        <v>7</v>
      </c>
      <c r="D31" t="s">
        <v>10</v>
      </c>
      <c r="E31" t="s">
        <v>11</v>
      </c>
      <c r="F31">
        <v>16</v>
      </c>
      <c r="G31">
        <v>15.83</v>
      </c>
      <c r="H31">
        <v>4.09</v>
      </c>
      <c r="I31">
        <v>3.3093189999999999</v>
      </c>
      <c r="J31">
        <v>6.4898069999999999</v>
      </c>
      <c r="K31">
        <v>0.79</v>
      </c>
    </row>
    <row r="32" spans="1:11" x14ac:dyDescent="0.3">
      <c r="A32">
        <v>47</v>
      </c>
      <c r="B32" t="s">
        <v>30</v>
      </c>
      <c r="C32">
        <v>7</v>
      </c>
      <c r="D32" t="s">
        <v>10</v>
      </c>
      <c r="E32" t="s">
        <v>11</v>
      </c>
      <c r="F32">
        <v>16</v>
      </c>
      <c r="G32">
        <v>15.77</v>
      </c>
      <c r="H32">
        <v>4.08</v>
      </c>
      <c r="I32">
        <v>1.081528</v>
      </c>
      <c r="J32">
        <v>5.2045440000000003</v>
      </c>
      <c r="K32">
        <v>0.63</v>
      </c>
    </row>
    <row r="33" spans="1:20" x14ac:dyDescent="0.3">
      <c r="A33">
        <v>65</v>
      </c>
      <c r="B33" t="s">
        <v>30</v>
      </c>
      <c r="C33">
        <v>7</v>
      </c>
      <c r="D33" t="s">
        <v>10</v>
      </c>
      <c r="E33" t="s">
        <v>11</v>
      </c>
      <c r="F33">
        <v>16</v>
      </c>
      <c r="G33">
        <v>15.37</v>
      </c>
      <c r="H33">
        <v>4.08</v>
      </c>
      <c r="I33">
        <v>5.0354999999999999</v>
      </c>
      <c r="J33">
        <v>9.3697130000000008</v>
      </c>
      <c r="K33">
        <v>-1.51</v>
      </c>
    </row>
    <row r="34" spans="1:20" x14ac:dyDescent="0.3">
      <c r="A34">
        <v>66</v>
      </c>
      <c r="B34" t="s">
        <v>30</v>
      </c>
      <c r="C34">
        <v>7</v>
      </c>
      <c r="D34" t="s">
        <v>10</v>
      </c>
      <c r="E34" t="s">
        <v>11</v>
      </c>
      <c r="F34">
        <v>16</v>
      </c>
      <c r="G34">
        <v>14.95</v>
      </c>
      <c r="H34">
        <v>4.08</v>
      </c>
      <c r="I34">
        <v>3.121178</v>
      </c>
      <c r="J34">
        <v>6.7948000000000004</v>
      </c>
      <c r="K34">
        <v>3.31</v>
      </c>
    </row>
    <row r="35" spans="1:20" x14ac:dyDescent="0.3">
      <c r="A35">
        <v>104</v>
      </c>
      <c r="B35" t="s">
        <v>30</v>
      </c>
      <c r="C35">
        <v>7</v>
      </c>
      <c r="D35" t="s">
        <v>10</v>
      </c>
      <c r="E35" t="s">
        <v>11</v>
      </c>
      <c r="F35">
        <v>16</v>
      </c>
      <c r="G35">
        <v>16.21</v>
      </c>
      <c r="H35">
        <v>4.07</v>
      </c>
      <c r="I35">
        <v>3.724777</v>
      </c>
      <c r="J35">
        <v>7.5506359999999999</v>
      </c>
      <c r="K35">
        <v>8.39</v>
      </c>
    </row>
    <row r="36" spans="1:20" x14ac:dyDescent="0.3">
      <c r="A36">
        <v>114</v>
      </c>
      <c r="B36" t="s">
        <v>30</v>
      </c>
      <c r="C36">
        <v>7</v>
      </c>
      <c r="D36" t="s">
        <v>10</v>
      </c>
      <c r="E36" t="s">
        <v>11</v>
      </c>
      <c r="F36">
        <v>16</v>
      </c>
      <c r="G36">
        <v>15.43</v>
      </c>
      <c r="H36">
        <v>4.07</v>
      </c>
      <c r="I36">
        <v>3.1855199999999999</v>
      </c>
      <c r="J36">
        <v>7.0557059999999998</v>
      </c>
      <c r="K36">
        <v>3.35</v>
      </c>
    </row>
    <row r="37" spans="1:20" x14ac:dyDescent="0.3">
      <c r="A37">
        <v>12</v>
      </c>
      <c r="B37" t="s">
        <v>30</v>
      </c>
      <c r="C37">
        <v>7</v>
      </c>
      <c r="D37" t="s">
        <v>10</v>
      </c>
      <c r="E37" t="s">
        <v>11</v>
      </c>
      <c r="F37">
        <v>16</v>
      </c>
      <c r="G37">
        <v>16.260000000000002</v>
      </c>
      <c r="H37">
        <v>4.0599999999999996</v>
      </c>
      <c r="I37">
        <v>2.183853</v>
      </c>
      <c r="J37">
        <v>6.8614810000000004</v>
      </c>
      <c r="K37">
        <v>1.07</v>
      </c>
    </row>
    <row r="38" spans="1:20" x14ac:dyDescent="0.3">
      <c r="A38">
        <v>62</v>
      </c>
      <c r="B38" t="s">
        <v>30</v>
      </c>
      <c r="C38">
        <v>7</v>
      </c>
      <c r="D38" t="s">
        <v>10</v>
      </c>
      <c r="E38" t="s">
        <v>11</v>
      </c>
      <c r="F38">
        <v>16</v>
      </c>
      <c r="G38">
        <v>15.29</v>
      </c>
      <c r="H38">
        <v>4.0599999999999996</v>
      </c>
      <c r="I38">
        <v>4.1608770000000002</v>
      </c>
      <c r="J38">
        <v>7.6806950000000001</v>
      </c>
      <c r="K38">
        <v>-2.62</v>
      </c>
    </row>
    <row r="39" spans="1:20" x14ac:dyDescent="0.3">
      <c r="A39">
        <v>63</v>
      </c>
      <c r="B39" t="s">
        <v>30</v>
      </c>
      <c r="C39">
        <v>7</v>
      </c>
      <c r="D39" t="s">
        <v>10</v>
      </c>
      <c r="E39" t="s">
        <v>11</v>
      </c>
      <c r="F39">
        <v>16</v>
      </c>
      <c r="G39">
        <v>16.14</v>
      </c>
      <c r="H39">
        <v>4.0599999999999996</v>
      </c>
      <c r="I39">
        <v>3.935997</v>
      </c>
      <c r="J39">
        <v>7.9127539999999996</v>
      </c>
      <c r="K39">
        <v>0.48</v>
      </c>
    </row>
    <row r="40" spans="1:20" x14ac:dyDescent="0.3">
      <c r="A40">
        <v>81</v>
      </c>
      <c r="B40" t="s">
        <v>30</v>
      </c>
      <c r="C40">
        <v>7</v>
      </c>
      <c r="D40" t="s">
        <v>10</v>
      </c>
      <c r="E40" t="s">
        <v>11</v>
      </c>
      <c r="F40">
        <v>16</v>
      </c>
      <c r="G40">
        <v>15.81</v>
      </c>
      <c r="H40">
        <v>4.0599999999999996</v>
      </c>
      <c r="I40">
        <v>3.0419160000000001</v>
      </c>
      <c r="J40">
        <v>6.9647139999999998</v>
      </c>
      <c r="K40">
        <v>-0.32</v>
      </c>
    </row>
    <row r="41" spans="1:20" x14ac:dyDescent="0.3">
      <c r="A41">
        <v>1</v>
      </c>
      <c r="B41" t="s">
        <v>30</v>
      </c>
      <c r="C41">
        <v>7</v>
      </c>
      <c r="D41" t="s">
        <v>10</v>
      </c>
      <c r="E41" t="s">
        <v>11</v>
      </c>
      <c r="F41">
        <v>16</v>
      </c>
      <c r="G41">
        <v>15.82</v>
      </c>
      <c r="H41">
        <v>4.05</v>
      </c>
      <c r="I41">
        <v>3.137257</v>
      </c>
      <c r="J41">
        <v>7.5385439999999999</v>
      </c>
      <c r="K41">
        <v>-0.66</v>
      </c>
      <c r="N41">
        <f>AVERAGE(G41:G552)</f>
        <v>15.815180722891565</v>
      </c>
      <c r="O41">
        <f>STDEV(G41:G552)</f>
        <v>0.34972589073194388</v>
      </c>
      <c r="P41">
        <f>ROUND(N41 + 2, 1)</f>
        <v>17.8</v>
      </c>
      <c r="Q41">
        <f>ROUND(N41 -2, 1)</f>
        <v>13.8</v>
      </c>
      <c r="R41">
        <f>(P41-N41)/(3*O41)</f>
        <v>1.8917856619598021</v>
      </c>
      <c r="S41">
        <f>(N41-Q41)/(3*O41)</f>
        <v>1.9207239882202007</v>
      </c>
      <c r="T41">
        <f>MIN(R41,S41)</f>
        <v>1.8917856619598021</v>
      </c>
    </row>
    <row r="42" spans="1:20" x14ac:dyDescent="0.3">
      <c r="A42">
        <v>21</v>
      </c>
      <c r="B42" t="s">
        <v>30</v>
      </c>
      <c r="C42">
        <v>7</v>
      </c>
      <c r="D42" t="s">
        <v>10</v>
      </c>
      <c r="E42" t="s">
        <v>11</v>
      </c>
      <c r="F42">
        <v>16</v>
      </c>
      <c r="G42">
        <v>16.13</v>
      </c>
      <c r="H42">
        <v>4.05</v>
      </c>
      <c r="I42">
        <v>2.9506990000000002</v>
      </c>
      <c r="J42">
        <v>6.6163860000000003</v>
      </c>
      <c r="K42">
        <v>0.25</v>
      </c>
    </row>
    <row r="43" spans="1:20" x14ac:dyDescent="0.3">
      <c r="A43">
        <v>22</v>
      </c>
      <c r="B43" t="s">
        <v>30</v>
      </c>
      <c r="C43">
        <v>7</v>
      </c>
      <c r="D43" t="s">
        <v>10</v>
      </c>
      <c r="E43" t="s">
        <v>11</v>
      </c>
      <c r="F43">
        <v>16</v>
      </c>
      <c r="G43">
        <v>15.13</v>
      </c>
      <c r="H43">
        <v>4.05</v>
      </c>
      <c r="I43">
        <v>3.1217269999999999</v>
      </c>
      <c r="J43">
        <v>7.3477329999999998</v>
      </c>
      <c r="K43">
        <v>-1.33</v>
      </c>
    </row>
    <row r="44" spans="1:20" x14ac:dyDescent="0.3">
      <c r="A44">
        <v>102</v>
      </c>
      <c r="B44" t="s">
        <v>30</v>
      </c>
      <c r="C44">
        <v>7</v>
      </c>
      <c r="D44" t="s">
        <v>10</v>
      </c>
      <c r="E44" t="s">
        <v>11</v>
      </c>
      <c r="F44">
        <v>16</v>
      </c>
      <c r="G44">
        <v>16.18</v>
      </c>
      <c r="H44">
        <v>4.05</v>
      </c>
      <c r="I44">
        <v>2.959225</v>
      </c>
      <c r="J44">
        <v>6.9444119999999998</v>
      </c>
      <c r="K44">
        <v>0.54</v>
      </c>
    </row>
    <row r="45" spans="1:20" x14ac:dyDescent="0.3">
      <c r="A45">
        <v>103</v>
      </c>
      <c r="B45" t="s">
        <v>30</v>
      </c>
      <c r="C45">
        <v>7</v>
      </c>
      <c r="D45" t="s">
        <v>10</v>
      </c>
      <c r="E45" t="s">
        <v>11</v>
      </c>
      <c r="F45">
        <v>16</v>
      </c>
      <c r="G45">
        <v>15.43</v>
      </c>
      <c r="H45">
        <v>4.05</v>
      </c>
      <c r="I45">
        <v>3.5412219999999999</v>
      </c>
      <c r="J45">
        <v>7.2070689999999997</v>
      </c>
      <c r="K45">
        <v>0.87</v>
      </c>
    </row>
    <row r="46" spans="1:20" x14ac:dyDescent="0.3">
      <c r="A46">
        <v>35</v>
      </c>
      <c r="B46" t="s">
        <v>30</v>
      </c>
      <c r="C46">
        <v>7</v>
      </c>
      <c r="D46" t="s">
        <v>10</v>
      </c>
      <c r="E46" t="s">
        <v>11</v>
      </c>
      <c r="F46">
        <v>16</v>
      </c>
      <c r="G46">
        <v>16.170000000000002</v>
      </c>
      <c r="H46">
        <v>4.04</v>
      </c>
      <c r="I46">
        <v>1.5826260000000001</v>
      </c>
      <c r="J46">
        <v>5.5070839999999999</v>
      </c>
      <c r="K46">
        <v>0.05</v>
      </c>
    </row>
    <row r="47" spans="1:20" x14ac:dyDescent="0.3">
      <c r="A47">
        <v>58</v>
      </c>
      <c r="B47" t="s">
        <v>30</v>
      </c>
      <c r="C47">
        <v>7</v>
      </c>
      <c r="D47" t="s">
        <v>10</v>
      </c>
      <c r="E47" t="s">
        <v>11</v>
      </c>
      <c r="F47">
        <v>16</v>
      </c>
      <c r="G47">
        <v>15.66</v>
      </c>
      <c r="H47">
        <v>4.04</v>
      </c>
      <c r="I47">
        <v>3.5665209999999998</v>
      </c>
      <c r="J47">
        <v>7.4962309999999999</v>
      </c>
      <c r="K47">
        <v>2.64</v>
      </c>
    </row>
    <row r="48" spans="1:20" x14ac:dyDescent="0.3">
      <c r="A48">
        <v>87</v>
      </c>
      <c r="B48" t="s">
        <v>30</v>
      </c>
      <c r="C48">
        <v>7</v>
      </c>
      <c r="D48" t="s">
        <v>10</v>
      </c>
      <c r="E48" t="s">
        <v>11</v>
      </c>
      <c r="F48">
        <v>16</v>
      </c>
      <c r="G48">
        <v>15.68</v>
      </c>
      <c r="H48">
        <v>4.04</v>
      </c>
      <c r="I48">
        <v>3.6830059999999998</v>
      </c>
      <c r="J48">
        <v>7.1596679999999999</v>
      </c>
      <c r="K48">
        <v>0.06</v>
      </c>
    </row>
    <row r="49" spans="1:11" x14ac:dyDescent="0.3">
      <c r="A49">
        <v>94</v>
      </c>
      <c r="B49" t="s">
        <v>30</v>
      </c>
      <c r="C49">
        <v>7</v>
      </c>
      <c r="D49" t="s">
        <v>10</v>
      </c>
      <c r="E49" t="s">
        <v>11</v>
      </c>
      <c r="F49">
        <v>16</v>
      </c>
      <c r="G49">
        <v>16.25</v>
      </c>
      <c r="H49">
        <v>4.04</v>
      </c>
      <c r="I49">
        <v>2.6950340000000002</v>
      </c>
      <c r="J49">
        <v>7.0669519999999997</v>
      </c>
      <c r="K49">
        <v>1.45</v>
      </c>
    </row>
    <row r="50" spans="1:11" x14ac:dyDescent="0.3">
      <c r="A50">
        <v>6</v>
      </c>
      <c r="B50" t="s">
        <v>30</v>
      </c>
      <c r="C50">
        <v>7</v>
      </c>
      <c r="D50" t="s">
        <v>10</v>
      </c>
      <c r="E50" t="s">
        <v>11</v>
      </c>
      <c r="F50">
        <v>16</v>
      </c>
      <c r="G50">
        <v>15.92</v>
      </c>
      <c r="H50">
        <v>4.03</v>
      </c>
      <c r="I50">
        <v>3.1524999999999999</v>
      </c>
      <c r="J50">
        <v>6.9985390000000001</v>
      </c>
      <c r="K50">
        <v>-0.88</v>
      </c>
    </row>
    <row r="51" spans="1:11" x14ac:dyDescent="0.3">
      <c r="A51">
        <v>88</v>
      </c>
      <c r="B51" t="s">
        <v>30</v>
      </c>
      <c r="C51">
        <v>7</v>
      </c>
      <c r="D51" t="s">
        <v>10</v>
      </c>
      <c r="E51" t="s">
        <v>11</v>
      </c>
      <c r="F51">
        <v>16</v>
      </c>
      <c r="G51">
        <v>15.66</v>
      </c>
      <c r="H51">
        <v>4.03</v>
      </c>
      <c r="I51">
        <v>4.2939259999999999</v>
      </c>
      <c r="J51">
        <v>7.9330749999999997</v>
      </c>
      <c r="K51">
        <v>2.46</v>
      </c>
    </row>
    <row r="52" spans="1:11" x14ac:dyDescent="0.3">
      <c r="A52">
        <v>9</v>
      </c>
      <c r="B52" t="s">
        <v>30</v>
      </c>
      <c r="C52">
        <v>7</v>
      </c>
      <c r="D52" t="s">
        <v>10</v>
      </c>
      <c r="E52" t="s">
        <v>11</v>
      </c>
      <c r="F52">
        <v>16</v>
      </c>
      <c r="G52">
        <v>16.18</v>
      </c>
      <c r="H52">
        <v>4.0199999999999996</v>
      </c>
      <c r="I52">
        <v>2.8418049999999999</v>
      </c>
      <c r="J52">
        <v>7.0791820000000003</v>
      </c>
      <c r="K52">
        <v>0.16</v>
      </c>
    </row>
    <row r="53" spans="1:11" x14ac:dyDescent="0.3">
      <c r="A53">
        <v>18</v>
      </c>
      <c r="B53" t="s">
        <v>30</v>
      </c>
      <c r="C53">
        <v>7</v>
      </c>
      <c r="D53" t="s">
        <v>10</v>
      </c>
      <c r="E53" t="s">
        <v>11</v>
      </c>
      <c r="F53">
        <v>16</v>
      </c>
      <c r="G53">
        <v>16.170000000000002</v>
      </c>
      <c r="H53">
        <v>4.0199999999999996</v>
      </c>
      <c r="I53">
        <v>2.3852769999999999</v>
      </c>
      <c r="J53">
        <v>6.7466280000000003</v>
      </c>
      <c r="K53">
        <v>0.91</v>
      </c>
    </row>
    <row r="54" spans="1:11" x14ac:dyDescent="0.3">
      <c r="A54">
        <v>25</v>
      </c>
      <c r="B54" t="s">
        <v>30</v>
      </c>
      <c r="C54">
        <v>7</v>
      </c>
      <c r="D54" t="s">
        <v>10</v>
      </c>
      <c r="E54" t="s">
        <v>11</v>
      </c>
      <c r="F54">
        <v>16</v>
      </c>
      <c r="G54">
        <v>15.29</v>
      </c>
      <c r="H54">
        <v>4.0199999999999996</v>
      </c>
      <c r="I54">
        <v>1.3202739999999999</v>
      </c>
      <c r="J54">
        <v>4.66256</v>
      </c>
      <c r="K54">
        <v>-0.73</v>
      </c>
    </row>
    <row r="55" spans="1:11" x14ac:dyDescent="0.3">
      <c r="A55">
        <v>95</v>
      </c>
      <c r="B55" t="s">
        <v>30</v>
      </c>
      <c r="C55">
        <v>7</v>
      </c>
      <c r="D55" t="s">
        <v>10</v>
      </c>
      <c r="E55" t="s">
        <v>11</v>
      </c>
      <c r="F55">
        <v>16</v>
      </c>
      <c r="G55">
        <v>15.84</v>
      </c>
      <c r="H55">
        <v>4.0199999999999996</v>
      </c>
      <c r="I55">
        <v>2.9645459999999999</v>
      </c>
      <c r="J55">
        <v>7.2743529999999996</v>
      </c>
      <c r="K55">
        <v>1.68</v>
      </c>
    </row>
    <row r="56" spans="1:11" x14ac:dyDescent="0.3">
      <c r="A56">
        <v>107</v>
      </c>
      <c r="B56" t="s">
        <v>30</v>
      </c>
      <c r="C56">
        <v>7</v>
      </c>
      <c r="D56" t="s">
        <v>10</v>
      </c>
      <c r="E56" t="s">
        <v>11</v>
      </c>
      <c r="F56">
        <v>16</v>
      </c>
      <c r="G56">
        <v>16.45</v>
      </c>
      <c r="H56">
        <v>4.0199999999999996</v>
      </c>
      <c r="I56">
        <v>2.5884969999999998</v>
      </c>
      <c r="J56">
        <v>6.5241550000000004</v>
      </c>
      <c r="K56">
        <v>1.6</v>
      </c>
    </row>
    <row r="57" spans="1:11" x14ac:dyDescent="0.3">
      <c r="A57">
        <v>16</v>
      </c>
      <c r="B57" t="s">
        <v>30</v>
      </c>
      <c r="C57">
        <v>7</v>
      </c>
      <c r="D57" t="s">
        <v>10</v>
      </c>
      <c r="E57" t="s">
        <v>11</v>
      </c>
      <c r="F57">
        <v>16</v>
      </c>
      <c r="G57">
        <v>15.63</v>
      </c>
      <c r="H57">
        <v>4.01</v>
      </c>
      <c r="I57">
        <v>2.6605449999999999</v>
      </c>
      <c r="J57">
        <v>6.7214130000000001</v>
      </c>
      <c r="K57">
        <v>1.38</v>
      </c>
    </row>
    <row r="58" spans="1:11" x14ac:dyDescent="0.3">
      <c r="A58">
        <v>49</v>
      </c>
      <c r="B58" t="s">
        <v>30</v>
      </c>
      <c r="C58">
        <v>7</v>
      </c>
      <c r="D58" t="s">
        <v>10</v>
      </c>
      <c r="E58" t="s">
        <v>11</v>
      </c>
      <c r="F58">
        <v>16</v>
      </c>
      <c r="G58">
        <v>15.37</v>
      </c>
      <c r="H58">
        <v>4.01</v>
      </c>
      <c r="I58">
        <v>2.92395</v>
      </c>
      <c r="J58">
        <v>6.8298719999999999</v>
      </c>
      <c r="K58">
        <v>3.22</v>
      </c>
    </row>
    <row r="59" spans="1:11" x14ac:dyDescent="0.3">
      <c r="A59">
        <v>72</v>
      </c>
      <c r="B59" t="s">
        <v>30</v>
      </c>
      <c r="C59">
        <v>7</v>
      </c>
      <c r="D59" t="s">
        <v>10</v>
      </c>
      <c r="E59" t="s">
        <v>11</v>
      </c>
      <c r="F59">
        <v>16</v>
      </c>
      <c r="G59">
        <v>15.73</v>
      </c>
      <c r="H59">
        <v>4.01</v>
      </c>
      <c r="I59">
        <v>5.2614099999999997</v>
      </c>
      <c r="J59">
        <v>8.6595610000000001</v>
      </c>
      <c r="K59">
        <v>10.89</v>
      </c>
    </row>
    <row r="60" spans="1:11" x14ac:dyDescent="0.3">
      <c r="A60">
        <v>10</v>
      </c>
      <c r="B60" t="s">
        <v>30</v>
      </c>
      <c r="C60">
        <v>7</v>
      </c>
      <c r="D60" t="s">
        <v>10</v>
      </c>
      <c r="E60" t="s">
        <v>11</v>
      </c>
      <c r="F60">
        <v>16</v>
      </c>
      <c r="G60">
        <v>16.260000000000002</v>
      </c>
      <c r="H60">
        <v>4</v>
      </c>
      <c r="I60">
        <v>2.303909</v>
      </c>
      <c r="J60">
        <v>6.7668379999999999</v>
      </c>
      <c r="K60">
        <v>6.22</v>
      </c>
    </row>
    <row r="61" spans="1:11" x14ac:dyDescent="0.3">
      <c r="A61">
        <v>74</v>
      </c>
      <c r="B61" t="s">
        <v>30</v>
      </c>
      <c r="C61">
        <v>7</v>
      </c>
      <c r="D61" t="s">
        <v>10</v>
      </c>
      <c r="E61" t="s">
        <v>11</v>
      </c>
      <c r="F61">
        <v>16</v>
      </c>
      <c r="G61">
        <v>15.57</v>
      </c>
      <c r="H61">
        <v>4</v>
      </c>
      <c r="I61">
        <v>3.2751049999999999</v>
      </c>
      <c r="J61">
        <v>7.5228840000000003</v>
      </c>
      <c r="K61">
        <v>6.67</v>
      </c>
    </row>
    <row r="62" spans="1:11" x14ac:dyDescent="0.3">
      <c r="A62">
        <v>11</v>
      </c>
      <c r="B62" t="s">
        <v>30</v>
      </c>
      <c r="C62">
        <v>7</v>
      </c>
      <c r="D62" t="s">
        <v>10</v>
      </c>
      <c r="E62" t="s">
        <v>11</v>
      </c>
      <c r="F62">
        <v>16</v>
      </c>
      <c r="G62">
        <v>16.440000000000001</v>
      </c>
      <c r="H62">
        <v>3.99</v>
      </c>
      <c r="I62">
        <v>2.2701449999999999</v>
      </c>
      <c r="J62">
        <v>6.3164670000000003</v>
      </c>
      <c r="K62">
        <v>0.84</v>
      </c>
    </row>
    <row r="63" spans="1:11" x14ac:dyDescent="0.3">
      <c r="A63">
        <v>27</v>
      </c>
      <c r="B63" t="s">
        <v>30</v>
      </c>
      <c r="C63">
        <v>7</v>
      </c>
      <c r="D63" t="s">
        <v>10</v>
      </c>
      <c r="E63" t="s">
        <v>11</v>
      </c>
      <c r="F63">
        <v>16</v>
      </c>
      <c r="G63">
        <v>16.68</v>
      </c>
      <c r="H63">
        <v>3.99</v>
      </c>
      <c r="I63">
        <v>2.202061</v>
      </c>
      <c r="J63">
        <v>6.9120369999999998</v>
      </c>
      <c r="K63">
        <v>2.86</v>
      </c>
    </row>
    <row r="64" spans="1:11" x14ac:dyDescent="0.3">
      <c r="A64">
        <v>41</v>
      </c>
      <c r="B64" t="s">
        <v>30</v>
      </c>
      <c r="C64">
        <v>7</v>
      </c>
      <c r="D64" t="s">
        <v>10</v>
      </c>
      <c r="E64" t="s">
        <v>11</v>
      </c>
      <c r="F64">
        <v>16</v>
      </c>
      <c r="G64">
        <v>15.59</v>
      </c>
      <c r="H64">
        <v>3.99</v>
      </c>
      <c r="I64">
        <v>2.3245429999999998</v>
      </c>
      <c r="J64">
        <v>5.8613590000000002</v>
      </c>
      <c r="K64">
        <v>-2.2999999999999998</v>
      </c>
    </row>
    <row r="65" spans="1:11" x14ac:dyDescent="0.3">
      <c r="A65">
        <v>46</v>
      </c>
      <c r="B65" t="s">
        <v>30</v>
      </c>
      <c r="C65">
        <v>7</v>
      </c>
      <c r="D65" t="s">
        <v>10</v>
      </c>
      <c r="E65" t="s">
        <v>11</v>
      </c>
      <c r="F65">
        <v>16</v>
      </c>
      <c r="G65">
        <v>15.95</v>
      </c>
      <c r="H65">
        <v>3.99</v>
      </c>
      <c r="I65">
        <v>3.3951760000000002</v>
      </c>
      <c r="J65">
        <v>7.3830720000000003</v>
      </c>
      <c r="K65">
        <v>-0.4</v>
      </c>
    </row>
    <row r="66" spans="1:11" x14ac:dyDescent="0.3">
      <c r="A66">
        <v>56</v>
      </c>
      <c r="B66" t="s">
        <v>30</v>
      </c>
      <c r="C66">
        <v>7</v>
      </c>
      <c r="D66" t="s">
        <v>10</v>
      </c>
      <c r="E66" t="s">
        <v>11</v>
      </c>
      <c r="F66">
        <v>16</v>
      </c>
      <c r="G66">
        <v>14.97</v>
      </c>
      <c r="H66">
        <v>3.99</v>
      </c>
      <c r="I66">
        <v>2.320236</v>
      </c>
      <c r="J66">
        <v>6.255852</v>
      </c>
      <c r="K66">
        <v>-2.74</v>
      </c>
    </row>
    <row r="67" spans="1:11" x14ac:dyDescent="0.3">
      <c r="A67">
        <v>91</v>
      </c>
      <c r="B67" t="s">
        <v>30</v>
      </c>
      <c r="C67">
        <v>7</v>
      </c>
      <c r="D67" t="s">
        <v>10</v>
      </c>
      <c r="E67" t="s">
        <v>11</v>
      </c>
      <c r="F67">
        <v>16</v>
      </c>
      <c r="G67">
        <v>15.81</v>
      </c>
      <c r="H67">
        <v>3.99</v>
      </c>
      <c r="I67">
        <v>4.0696719999999997</v>
      </c>
      <c r="J67">
        <v>7.6045069999999999</v>
      </c>
      <c r="K67">
        <v>7.25</v>
      </c>
    </row>
    <row r="68" spans="1:11" x14ac:dyDescent="0.3">
      <c r="A68">
        <v>93</v>
      </c>
      <c r="B68" t="s">
        <v>30</v>
      </c>
      <c r="C68">
        <v>7</v>
      </c>
      <c r="D68" t="s">
        <v>10</v>
      </c>
      <c r="E68" t="s">
        <v>11</v>
      </c>
      <c r="F68">
        <v>16</v>
      </c>
      <c r="G68">
        <v>15.48</v>
      </c>
      <c r="H68">
        <v>3.99</v>
      </c>
      <c r="I68">
        <v>2.4265400000000001</v>
      </c>
      <c r="J68">
        <v>6.6837730000000004</v>
      </c>
      <c r="K68">
        <v>-1.37</v>
      </c>
    </row>
    <row r="69" spans="1:11" x14ac:dyDescent="0.3">
      <c r="A69">
        <v>14</v>
      </c>
      <c r="B69" t="s">
        <v>30</v>
      </c>
      <c r="C69">
        <v>7</v>
      </c>
      <c r="D69" t="s">
        <v>10</v>
      </c>
      <c r="E69" t="s">
        <v>11</v>
      </c>
      <c r="F69">
        <v>16</v>
      </c>
      <c r="G69">
        <v>15.7</v>
      </c>
      <c r="H69">
        <v>3.98</v>
      </c>
      <c r="I69">
        <v>4.0048680000000001</v>
      </c>
      <c r="J69">
        <v>8.6525879999999997</v>
      </c>
      <c r="K69">
        <v>-0.76</v>
      </c>
    </row>
    <row r="70" spans="1:11" x14ac:dyDescent="0.3">
      <c r="A70">
        <v>15</v>
      </c>
      <c r="B70" t="s">
        <v>30</v>
      </c>
      <c r="C70">
        <v>7</v>
      </c>
      <c r="D70" t="s">
        <v>10</v>
      </c>
      <c r="E70" t="s">
        <v>11</v>
      </c>
      <c r="F70">
        <v>16</v>
      </c>
      <c r="G70">
        <v>15.87</v>
      </c>
      <c r="H70">
        <v>3.98</v>
      </c>
      <c r="I70">
        <v>3.2361300000000002</v>
      </c>
      <c r="J70">
        <v>6.446815</v>
      </c>
      <c r="K70">
        <v>0.11</v>
      </c>
    </row>
    <row r="71" spans="1:11" x14ac:dyDescent="0.3">
      <c r="A71">
        <v>57</v>
      </c>
      <c r="B71" t="s">
        <v>30</v>
      </c>
      <c r="C71">
        <v>7</v>
      </c>
      <c r="D71" t="s">
        <v>10</v>
      </c>
      <c r="E71" t="s">
        <v>11</v>
      </c>
      <c r="F71">
        <v>16</v>
      </c>
      <c r="G71">
        <v>15.76</v>
      </c>
      <c r="H71">
        <v>3.98</v>
      </c>
      <c r="I71">
        <v>3.557693</v>
      </c>
      <c r="J71">
        <v>8.3835789999999992</v>
      </c>
      <c r="K71">
        <v>-0.63</v>
      </c>
    </row>
    <row r="72" spans="1:11" x14ac:dyDescent="0.3">
      <c r="A72">
        <v>90</v>
      </c>
      <c r="B72" t="s">
        <v>30</v>
      </c>
      <c r="C72">
        <v>7</v>
      </c>
      <c r="D72" t="s">
        <v>10</v>
      </c>
      <c r="E72" t="s">
        <v>11</v>
      </c>
      <c r="F72">
        <v>16</v>
      </c>
      <c r="G72">
        <v>15.44</v>
      </c>
      <c r="H72">
        <v>3.98</v>
      </c>
      <c r="I72">
        <v>2.4339789999999999</v>
      </c>
      <c r="J72">
        <v>6.0847280000000001</v>
      </c>
      <c r="K72">
        <v>0.2</v>
      </c>
    </row>
    <row r="73" spans="1:11" x14ac:dyDescent="0.3">
      <c r="A73">
        <v>50</v>
      </c>
      <c r="B73" t="s">
        <v>30</v>
      </c>
      <c r="C73">
        <v>7</v>
      </c>
      <c r="D73" t="s">
        <v>10</v>
      </c>
      <c r="E73" t="s">
        <v>11</v>
      </c>
      <c r="F73">
        <v>16</v>
      </c>
      <c r="G73">
        <v>15.91</v>
      </c>
      <c r="H73">
        <v>3.97</v>
      </c>
      <c r="I73">
        <v>0.89231110000000002</v>
      </c>
      <c r="J73">
        <v>5.1436200000000003</v>
      </c>
      <c r="K73">
        <v>-0.06</v>
      </c>
    </row>
    <row r="74" spans="1:11" x14ac:dyDescent="0.3">
      <c r="A74">
        <v>75</v>
      </c>
      <c r="B74" t="s">
        <v>30</v>
      </c>
      <c r="C74">
        <v>7</v>
      </c>
      <c r="D74" t="s">
        <v>10</v>
      </c>
      <c r="E74" t="s">
        <v>11</v>
      </c>
      <c r="F74">
        <v>16</v>
      </c>
      <c r="G74">
        <v>15.4</v>
      </c>
      <c r="H74">
        <v>3.97</v>
      </c>
      <c r="I74">
        <v>4.0728030000000004</v>
      </c>
      <c r="J74">
        <v>8.2974429999999995</v>
      </c>
      <c r="K74">
        <v>0.37</v>
      </c>
    </row>
    <row r="75" spans="1:11" x14ac:dyDescent="0.3">
      <c r="A75">
        <v>97</v>
      </c>
      <c r="B75" t="s">
        <v>30</v>
      </c>
      <c r="C75">
        <v>7</v>
      </c>
      <c r="D75" t="s">
        <v>10</v>
      </c>
      <c r="E75" t="s">
        <v>11</v>
      </c>
      <c r="F75">
        <v>16</v>
      </c>
      <c r="G75">
        <v>15.82</v>
      </c>
      <c r="H75">
        <v>3.97</v>
      </c>
      <c r="I75">
        <v>1.404598</v>
      </c>
      <c r="J75">
        <v>5.6056020000000002</v>
      </c>
      <c r="K75">
        <v>1.76</v>
      </c>
    </row>
    <row r="76" spans="1:11" x14ac:dyDescent="0.3">
      <c r="A76">
        <v>113</v>
      </c>
      <c r="B76" t="s">
        <v>30</v>
      </c>
      <c r="C76">
        <v>7</v>
      </c>
      <c r="D76" t="s">
        <v>10</v>
      </c>
      <c r="E76" t="s">
        <v>11</v>
      </c>
      <c r="F76">
        <v>16</v>
      </c>
      <c r="G76">
        <v>15.96</v>
      </c>
      <c r="H76">
        <v>3.97</v>
      </c>
      <c r="I76">
        <v>3.2027209999999999</v>
      </c>
      <c r="J76">
        <v>6.7020569999999999</v>
      </c>
      <c r="K76">
        <v>7.0000000000000007E-2</v>
      </c>
    </row>
    <row r="77" spans="1:11" x14ac:dyDescent="0.3">
      <c r="A77">
        <v>115</v>
      </c>
      <c r="B77" t="s">
        <v>30</v>
      </c>
      <c r="C77">
        <v>7</v>
      </c>
      <c r="D77" t="s">
        <v>10</v>
      </c>
      <c r="E77" t="s">
        <v>11</v>
      </c>
      <c r="F77">
        <v>16</v>
      </c>
      <c r="G77">
        <v>16.28</v>
      </c>
      <c r="H77">
        <v>3.97</v>
      </c>
      <c r="I77">
        <v>5.578938</v>
      </c>
      <c r="J77">
        <v>9.4482990000000004</v>
      </c>
      <c r="K77">
        <v>3.13</v>
      </c>
    </row>
    <row r="78" spans="1:11" x14ac:dyDescent="0.3">
      <c r="A78">
        <v>48</v>
      </c>
      <c r="B78" t="s">
        <v>30</v>
      </c>
      <c r="C78">
        <v>7</v>
      </c>
      <c r="D78" t="s">
        <v>10</v>
      </c>
      <c r="E78" t="s">
        <v>11</v>
      </c>
      <c r="F78">
        <v>16</v>
      </c>
      <c r="G78">
        <v>16.04</v>
      </c>
      <c r="H78">
        <v>3.96</v>
      </c>
      <c r="I78">
        <v>3.1370619999999998</v>
      </c>
      <c r="J78">
        <v>7.3179819999999998</v>
      </c>
      <c r="K78">
        <v>9.33</v>
      </c>
    </row>
    <row r="79" spans="1:11" x14ac:dyDescent="0.3">
      <c r="A79">
        <v>51</v>
      </c>
      <c r="B79" t="s">
        <v>30</v>
      </c>
      <c r="C79">
        <v>7</v>
      </c>
      <c r="D79" t="s">
        <v>10</v>
      </c>
      <c r="E79" t="s">
        <v>11</v>
      </c>
      <c r="F79">
        <v>16</v>
      </c>
      <c r="G79">
        <v>15.46</v>
      </c>
      <c r="H79">
        <v>3.96</v>
      </c>
      <c r="I79">
        <v>0.87838360000000004</v>
      </c>
      <c r="J79">
        <v>4.4910129999999997</v>
      </c>
      <c r="K79">
        <v>-1.55</v>
      </c>
    </row>
    <row r="80" spans="1:11" x14ac:dyDescent="0.3">
      <c r="A80">
        <v>20</v>
      </c>
      <c r="B80" t="s">
        <v>30</v>
      </c>
      <c r="C80">
        <v>7</v>
      </c>
      <c r="D80" t="s">
        <v>10</v>
      </c>
      <c r="E80" t="s">
        <v>11</v>
      </c>
      <c r="F80">
        <v>16</v>
      </c>
      <c r="G80">
        <v>15.46</v>
      </c>
      <c r="H80">
        <v>3.95</v>
      </c>
      <c r="I80">
        <v>4.7818370000000003</v>
      </c>
      <c r="J80">
        <v>9.0963290000000008</v>
      </c>
      <c r="K80">
        <v>-0.41</v>
      </c>
    </row>
    <row r="81" spans="1:13" x14ac:dyDescent="0.3">
      <c r="A81">
        <v>28</v>
      </c>
      <c r="B81" t="s">
        <v>30</v>
      </c>
      <c r="C81">
        <v>7</v>
      </c>
      <c r="D81" t="s">
        <v>10</v>
      </c>
      <c r="E81" t="s">
        <v>11</v>
      </c>
      <c r="F81">
        <v>16</v>
      </c>
      <c r="G81">
        <v>15.02</v>
      </c>
      <c r="H81">
        <v>3.95</v>
      </c>
      <c r="I81">
        <v>1.6780889999999999</v>
      </c>
      <c r="J81">
        <v>5.4168130000000003</v>
      </c>
      <c r="K81">
        <v>-0.97</v>
      </c>
    </row>
    <row r="82" spans="1:13" x14ac:dyDescent="0.3">
      <c r="A82">
        <v>36</v>
      </c>
      <c r="B82" t="s">
        <v>30</v>
      </c>
      <c r="C82">
        <v>7</v>
      </c>
      <c r="D82" t="s">
        <v>10</v>
      </c>
      <c r="E82" t="s">
        <v>11</v>
      </c>
      <c r="F82">
        <v>16</v>
      </c>
      <c r="G82">
        <v>16.010000000000002</v>
      </c>
      <c r="H82">
        <v>3.95</v>
      </c>
      <c r="I82">
        <v>0.8863335</v>
      </c>
      <c r="J82">
        <v>5.2995380000000001</v>
      </c>
      <c r="K82">
        <v>-0.51</v>
      </c>
    </row>
    <row r="83" spans="1:13" x14ac:dyDescent="0.3">
      <c r="A83">
        <v>45</v>
      </c>
      <c r="B83" t="s">
        <v>30</v>
      </c>
      <c r="C83">
        <v>7</v>
      </c>
      <c r="D83" t="s">
        <v>10</v>
      </c>
      <c r="E83" t="s">
        <v>11</v>
      </c>
      <c r="F83">
        <v>16</v>
      </c>
      <c r="G83">
        <v>15.81</v>
      </c>
      <c r="H83">
        <v>3.95</v>
      </c>
      <c r="I83">
        <v>1.149303</v>
      </c>
      <c r="J83">
        <v>5.814838</v>
      </c>
      <c r="K83">
        <v>1.88</v>
      </c>
    </row>
    <row r="84" spans="1:13" x14ac:dyDescent="0.3">
      <c r="A84">
        <v>77</v>
      </c>
      <c r="B84" t="s">
        <v>30</v>
      </c>
      <c r="C84">
        <v>7</v>
      </c>
      <c r="D84" t="s">
        <v>10</v>
      </c>
      <c r="E84" t="s">
        <v>11</v>
      </c>
      <c r="F84">
        <v>16</v>
      </c>
      <c r="G84">
        <v>16.62</v>
      </c>
      <c r="H84">
        <v>3.94</v>
      </c>
      <c r="I84">
        <v>5.1763880000000002</v>
      </c>
      <c r="J84">
        <v>9.1389689999999995</v>
      </c>
      <c r="K84">
        <v>1.71</v>
      </c>
    </row>
    <row r="85" spans="1:13" x14ac:dyDescent="0.3">
      <c r="A85">
        <v>109</v>
      </c>
      <c r="B85" t="s">
        <v>30</v>
      </c>
      <c r="C85">
        <v>7</v>
      </c>
      <c r="D85" t="s">
        <v>10</v>
      </c>
      <c r="E85" t="s">
        <v>11</v>
      </c>
      <c r="F85">
        <v>16</v>
      </c>
      <c r="G85">
        <v>15.56</v>
      </c>
      <c r="H85">
        <v>3.94</v>
      </c>
      <c r="I85">
        <v>4.1003569999999998</v>
      </c>
      <c r="J85">
        <v>8.1695709999999995</v>
      </c>
      <c r="K85">
        <v>1.0900000000000001</v>
      </c>
    </row>
    <row r="86" spans="1:13" x14ac:dyDescent="0.3">
      <c r="A86">
        <v>68</v>
      </c>
      <c r="B86" t="s">
        <v>30</v>
      </c>
      <c r="C86">
        <v>7</v>
      </c>
      <c r="D86" t="s">
        <v>10</v>
      </c>
      <c r="E86" t="s">
        <v>11</v>
      </c>
      <c r="F86">
        <v>16</v>
      </c>
      <c r="G86">
        <v>16.059999999999999</v>
      </c>
      <c r="H86">
        <v>3.93</v>
      </c>
      <c r="I86">
        <v>1.6565780000000001</v>
      </c>
      <c r="J86">
        <v>5.3586919999999996</v>
      </c>
      <c r="K86">
        <v>1.21</v>
      </c>
    </row>
    <row r="87" spans="1:13" x14ac:dyDescent="0.3">
      <c r="A87">
        <v>106</v>
      </c>
      <c r="B87" t="s">
        <v>30</v>
      </c>
      <c r="C87">
        <v>7</v>
      </c>
      <c r="D87" t="s">
        <v>10</v>
      </c>
      <c r="E87" t="s">
        <v>11</v>
      </c>
      <c r="F87">
        <v>16</v>
      </c>
      <c r="G87">
        <v>16.13</v>
      </c>
      <c r="H87">
        <v>3.93</v>
      </c>
      <c r="I87">
        <v>4.4804570000000004</v>
      </c>
      <c r="J87">
        <v>8.412331</v>
      </c>
      <c r="K87">
        <v>11.79</v>
      </c>
    </row>
    <row r="88" spans="1:13" x14ac:dyDescent="0.3">
      <c r="A88">
        <v>31</v>
      </c>
      <c r="B88" t="s">
        <v>30</v>
      </c>
      <c r="C88">
        <v>7</v>
      </c>
      <c r="D88" t="s">
        <v>10</v>
      </c>
      <c r="E88" t="s">
        <v>11</v>
      </c>
      <c r="F88">
        <v>16</v>
      </c>
      <c r="G88">
        <v>15.89</v>
      </c>
      <c r="H88">
        <v>3.92</v>
      </c>
      <c r="I88">
        <v>1.0151600000000001</v>
      </c>
      <c r="J88">
        <v>5.2365259999999996</v>
      </c>
      <c r="K88">
        <v>1.1200000000000001</v>
      </c>
    </row>
    <row r="89" spans="1:13" x14ac:dyDescent="0.3">
      <c r="A89">
        <v>4</v>
      </c>
      <c r="B89" t="s">
        <v>30</v>
      </c>
      <c r="C89">
        <v>7</v>
      </c>
      <c r="D89" t="s">
        <v>10</v>
      </c>
      <c r="E89" t="s">
        <v>11</v>
      </c>
      <c r="F89">
        <v>16</v>
      </c>
      <c r="G89">
        <v>15.79</v>
      </c>
      <c r="H89">
        <v>3.91</v>
      </c>
      <c r="I89">
        <v>1.404755</v>
      </c>
      <c r="J89">
        <v>6.037064</v>
      </c>
      <c r="K89">
        <v>-0.85</v>
      </c>
      <c r="M89" s="4"/>
    </row>
    <row r="90" spans="1:13" x14ac:dyDescent="0.3">
      <c r="A90">
        <v>30</v>
      </c>
      <c r="B90" t="s">
        <v>30</v>
      </c>
      <c r="C90">
        <v>7</v>
      </c>
      <c r="D90" t="s">
        <v>10</v>
      </c>
      <c r="E90" t="s">
        <v>11</v>
      </c>
      <c r="F90">
        <v>16</v>
      </c>
      <c r="G90">
        <v>16.07</v>
      </c>
      <c r="H90">
        <v>3.91</v>
      </c>
      <c r="I90">
        <v>-1.2661249999999999</v>
      </c>
      <c r="J90">
        <v>3.2227709999999998</v>
      </c>
      <c r="K90">
        <v>0.83</v>
      </c>
    </row>
    <row r="91" spans="1:13" x14ac:dyDescent="0.3">
      <c r="A91">
        <v>43</v>
      </c>
      <c r="B91" t="s">
        <v>30</v>
      </c>
      <c r="C91">
        <v>7</v>
      </c>
      <c r="D91" t="s">
        <v>10</v>
      </c>
      <c r="E91" t="s">
        <v>11</v>
      </c>
      <c r="F91">
        <v>16</v>
      </c>
      <c r="G91">
        <v>16.079999999999998</v>
      </c>
      <c r="H91">
        <v>3.91</v>
      </c>
      <c r="I91">
        <v>0.70515819999999996</v>
      </c>
      <c r="J91">
        <v>4.5369760000000001</v>
      </c>
      <c r="K91">
        <v>0.42</v>
      </c>
    </row>
    <row r="92" spans="1:13" x14ac:dyDescent="0.3">
      <c r="A92">
        <v>99</v>
      </c>
      <c r="B92" t="s">
        <v>30</v>
      </c>
      <c r="C92">
        <v>7</v>
      </c>
      <c r="D92" t="s">
        <v>10</v>
      </c>
      <c r="E92" t="s">
        <v>11</v>
      </c>
      <c r="F92">
        <v>16</v>
      </c>
      <c r="G92">
        <v>16.45</v>
      </c>
      <c r="H92">
        <v>3.91</v>
      </c>
      <c r="I92">
        <v>2.9026719999999999</v>
      </c>
      <c r="J92">
        <v>7.0224989999999998</v>
      </c>
      <c r="K92">
        <v>-0.04</v>
      </c>
    </row>
    <row r="93" spans="1:13" x14ac:dyDescent="0.3">
      <c r="A93">
        <v>38</v>
      </c>
      <c r="B93" t="s">
        <v>30</v>
      </c>
      <c r="C93">
        <v>7</v>
      </c>
      <c r="D93" t="s">
        <v>10</v>
      </c>
      <c r="E93" t="s">
        <v>11</v>
      </c>
      <c r="F93">
        <v>16</v>
      </c>
      <c r="G93">
        <v>16.03</v>
      </c>
      <c r="H93">
        <v>3.9</v>
      </c>
      <c r="I93">
        <v>1.6362989999999999</v>
      </c>
      <c r="J93">
        <v>5.8287430000000002</v>
      </c>
      <c r="K93">
        <v>0.56999999999999995</v>
      </c>
    </row>
    <row r="94" spans="1:13" x14ac:dyDescent="0.3">
      <c r="A94">
        <v>59</v>
      </c>
      <c r="B94" t="s">
        <v>30</v>
      </c>
      <c r="C94">
        <v>7</v>
      </c>
      <c r="D94" t="s">
        <v>10</v>
      </c>
      <c r="E94" t="s">
        <v>11</v>
      </c>
      <c r="F94">
        <v>16</v>
      </c>
      <c r="G94">
        <v>15.72</v>
      </c>
      <c r="H94">
        <v>3.9</v>
      </c>
      <c r="I94">
        <v>3.6169850000000001</v>
      </c>
      <c r="J94">
        <v>7.9727329999999998</v>
      </c>
      <c r="K94">
        <v>2.33</v>
      </c>
    </row>
    <row r="95" spans="1:13" x14ac:dyDescent="0.3">
      <c r="A95">
        <v>76</v>
      </c>
      <c r="B95" t="s">
        <v>30</v>
      </c>
      <c r="C95">
        <v>7</v>
      </c>
      <c r="D95" t="s">
        <v>10</v>
      </c>
      <c r="E95" t="s">
        <v>11</v>
      </c>
      <c r="F95">
        <v>16</v>
      </c>
      <c r="G95">
        <v>16.16</v>
      </c>
      <c r="H95">
        <v>3.9</v>
      </c>
      <c r="I95">
        <v>3.3528479999999998</v>
      </c>
      <c r="J95">
        <v>7.5595889999999999</v>
      </c>
      <c r="K95">
        <v>1.36</v>
      </c>
    </row>
    <row r="96" spans="1:13" x14ac:dyDescent="0.3">
      <c r="A96">
        <v>32</v>
      </c>
      <c r="B96" t="s">
        <v>30</v>
      </c>
      <c r="C96">
        <v>7</v>
      </c>
      <c r="D96" t="s">
        <v>10</v>
      </c>
      <c r="E96" t="s">
        <v>11</v>
      </c>
      <c r="F96">
        <v>16</v>
      </c>
      <c r="G96">
        <v>15.96</v>
      </c>
      <c r="H96">
        <v>3.89</v>
      </c>
      <c r="I96">
        <v>1.892239</v>
      </c>
      <c r="J96">
        <v>6.0363199999999999</v>
      </c>
      <c r="K96">
        <v>-0.1</v>
      </c>
    </row>
    <row r="97" spans="1:20" x14ac:dyDescent="0.3">
      <c r="A97">
        <v>71</v>
      </c>
      <c r="B97" t="s">
        <v>30</v>
      </c>
      <c r="C97">
        <v>7</v>
      </c>
      <c r="D97" t="s">
        <v>10</v>
      </c>
      <c r="E97" t="s">
        <v>11</v>
      </c>
      <c r="F97">
        <v>16</v>
      </c>
      <c r="G97">
        <v>15.52</v>
      </c>
      <c r="H97">
        <v>3.89</v>
      </c>
      <c r="I97">
        <v>4.9513740000000004</v>
      </c>
      <c r="J97">
        <v>8.9526409999999998</v>
      </c>
      <c r="K97">
        <v>-0.35</v>
      </c>
    </row>
    <row r="98" spans="1:20" x14ac:dyDescent="0.3">
      <c r="A98">
        <v>54</v>
      </c>
      <c r="B98" t="s">
        <v>30</v>
      </c>
      <c r="C98">
        <v>7</v>
      </c>
      <c r="D98" t="s">
        <v>10</v>
      </c>
      <c r="E98" t="s">
        <v>11</v>
      </c>
      <c r="F98">
        <v>16</v>
      </c>
      <c r="G98">
        <v>15.98</v>
      </c>
      <c r="H98">
        <v>3.88</v>
      </c>
      <c r="I98">
        <v>1.740772</v>
      </c>
      <c r="J98">
        <v>5.3467520000000004</v>
      </c>
      <c r="K98">
        <v>-2.4700000000000002</v>
      </c>
    </row>
    <row r="99" spans="1:20" x14ac:dyDescent="0.3">
      <c r="A99">
        <v>82</v>
      </c>
      <c r="B99" t="s">
        <v>30</v>
      </c>
      <c r="C99">
        <v>7</v>
      </c>
      <c r="D99" t="s">
        <v>10</v>
      </c>
      <c r="E99" t="s">
        <v>11</v>
      </c>
      <c r="F99">
        <v>16</v>
      </c>
      <c r="G99">
        <v>15.62</v>
      </c>
      <c r="H99">
        <v>3.88</v>
      </c>
      <c r="I99">
        <v>6.0362090000000004</v>
      </c>
      <c r="J99">
        <v>10.683960000000001</v>
      </c>
      <c r="K99">
        <v>-0.56999999999999995</v>
      </c>
    </row>
    <row r="100" spans="1:20" x14ac:dyDescent="0.3">
      <c r="A100">
        <v>86</v>
      </c>
      <c r="B100" t="s">
        <v>30</v>
      </c>
      <c r="C100">
        <v>7</v>
      </c>
      <c r="D100" t="s">
        <v>10</v>
      </c>
      <c r="E100" t="s">
        <v>11</v>
      </c>
      <c r="F100">
        <v>16</v>
      </c>
      <c r="G100">
        <v>15.55</v>
      </c>
      <c r="H100">
        <v>3.88</v>
      </c>
      <c r="I100">
        <v>3.8989940000000001</v>
      </c>
      <c r="J100">
        <v>7.5528680000000001</v>
      </c>
      <c r="K100">
        <v>0.05</v>
      </c>
    </row>
    <row r="101" spans="1:20" x14ac:dyDescent="0.3">
      <c r="A101">
        <v>69</v>
      </c>
      <c r="B101" t="s">
        <v>30</v>
      </c>
      <c r="C101">
        <v>7</v>
      </c>
      <c r="D101" t="s">
        <v>10</v>
      </c>
      <c r="E101" t="s">
        <v>11</v>
      </c>
      <c r="F101">
        <v>16</v>
      </c>
      <c r="G101">
        <v>15.31</v>
      </c>
      <c r="H101">
        <v>3.87</v>
      </c>
      <c r="I101">
        <v>1.25248</v>
      </c>
      <c r="J101">
        <v>5.3287469999999999</v>
      </c>
      <c r="K101">
        <v>-0.4</v>
      </c>
    </row>
    <row r="102" spans="1:20" x14ac:dyDescent="0.3">
      <c r="A102">
        <v>119</v>
      </c>
      <c r="B102" t="s">
        <v>30</v>
      </c>
      <c r="C102">
        <v>7</v>
      </c>
      <c r="D102" t="s">
        <v>10</v>
      </c>
      <c r="E102" t="s">
        <v>11</v>
      </c>
      <c r="F102">
        <v>16</v>
      </c>
      <c r="G102">
        <v>15.36</v>
      </c>
      <c r="H102">
        <v>3.87</v>
      </c>
      <c r="I102">
        <v>5.4268720000000004</v>
      </c>
      <c r="J102">
        <v>9.4432530000000003</v>
      </c>
      <c r="K102">
        <v>23.88</v>
      </c>
    </row>
    <row r="103" spans="1:20" x14ac:dyDescent="0.3">
      <c r="A103">
        <v>116</v>
      </c>
      <c r="B103" t="s">
        <v>30</v>
      </c>
      <c r="C103">
        <v>7</v>
      </c>
      <c r="D103" t="s">
        <v>10</v>
      </c>
      <c r="E103" t="s">
        <v>11</v>
      </c>
      <c r="F103">
        <v>16</v>
      </c>
      <c r="G103">
        <v>15.72</v>
      </c>
      <c r="H103">
        <v>3.86</v>
      </c>
      <c r="I103">
        <v>4.810467</v>
      </c>
      <c r="J103">
        <v>8.2014659999999999</v>
      </c>
      <c r="K103">
        <v>8.44</v>
      </c>
    </row>
    <row r="104" spans="1:20" x14ac:dyDescent="0.3">
      <c r="A104">
        <v>108</v>
      </c>
      <c r="B104" t="s">
        <v>30</v>
      </c>
      <c r="C104">
        <v>7</v>
      </c>
      <c r="D104" t="s">
        <v>10</v>
      </c>
      <c r="E104" t="s">
        <v>11</v>
      </c>
      <c r="F104">
        <v>16</v>
      </c>
      <c r="G104">
        <v>15.55</v>
      </c>
      <c r="H104">
        <v>3.85</v>
      </c>
      <c r="I104">
        <v>4.554405</v>
      </c>
      <c r="J104">
        <v>8.8613660000000003</v>
      </c>
      <c r="K104">
        <v>1.9</v>
      </c>
    </row>
    <row r="105" spans="1:20" x14ac:dyDescent="0.3">
      <c r="A105">
        <v>19</v>
      </c>
      <c r="B105" t="s">
        <v>30</v>
      </c>
      <c r="C105">
        <v>7</v>
      </c>
      <c r="D105" t="s">
        <v>10</v>
      </c>
      <c r="E105" t="s">
        <v>11</v>
      </c>
      <c r="F105">
        <v>16</v>
      </c>
      <c r="G105">
        <v>16.32</v>
      </c>
      <c r="H105">
        <v>3.84</v>
      </c>
      <c r="I105">
        <v>1.8701779999999999</v>
      </c>
      <c r="J105">
        <v>6.3320309999999997</v>
      </c>
      <c r="K105">
        <v>1.51</v>
      </c>
    </row>
    <row r="106" spans="1:20" x14ac:dyDescent="0.3">
      <c r="A106">
        <v>55</v>
      </c>
      <c r="B106" t="s">
        <v>30</v>
      </c>
      <c r="C106">
        <v>7</v>
      </c>
      <c r="D106" t="s">
        <v>10</v>
      </c>
      <c r="E106" t="s">
        <v>11</v>
      </c>
      <c r="F106">
        <v>16</v>
      </c>
      <c r="G106">
        <v>15.83</v>
      </c>
      <c r="H106">
        <v>3.84</v>
      </c>
      <c r="I106">
        <v>2.0478320000000001</v>
      </c>
      <c r="J106">
        <v>6.7359999999999998</v>
      </c>
      <c r="K106">
        <v>-1.94</v>
      </c>
    </row>
    <row r="107" spans="1:20" x14ac:dyDescent="0.3">
      <c r="A107">
        <v>98</v>
      </c>
      <c r="B107" t="s">
        <v>30</v>
      </c>
      <c r="C107">
        <v>7</v>
      </c>
      <c r="D107" t="s">
        <v>10</v>
      </c>
      <c r="E107" t="s">
        <v>11</v>
      </c>
      <c r="F107">
        <v>16</v>
      </c>
      <c r="G107">
        <v>15.21</v>
      </c>
      <c r="H107">
        <v>3.82</v>
      </c>
      <c r="I107">
        <v>2.1142080000000001</v>
      </c>
      <c r="J107">
        <v>6.0219649999999998</v>
      </c>
      <c r="K107">
        <v>0.87</v>
      </c>
    </row>
    <row r="108" spans="1:20" x14ac:dyDescent="0.3">
      <c r="A108">
        <v>112</v>
      </c>
      <c r="B108" t="s">
        <v>30</v>
      </c>
      <c r="C108">
        <v>7</v>
      </c>
      <c r="D108" t="s">
        <v>10</v>
      </c>
      <c r="E108" t="s">
        <v>11</v>
      </c>
      <c r="F108">
        <v>16</v>
      </c>
      <c r="G108">
        <v>15.46</v>
      </c>
      <c r="H108">
        <v>3.82</v>
      </c>
      <c r="I108">
        <v>2.3149030000000002</v>
      </c>
      <c r="J108">
        <v>5.952267</v>
      </c>
      <c r="K108">
        <v>6.58</v>
      </c>
    </row>
    <row r="109" spans="1:20" x14ac:dyDescent="0.3">
      <c r="A109">
        <v>44</v>
      </c>
      <c r="B109" t="s">
        <v>30</v>
      </c>
      <c r="C109">
        <v>7</v>
      </c>
      <c r="D109" t="s">
        <v>10</v>
      </c>
      <c r="E109" t="s">
        <v>11</v>
      </c>
      <c r="F109">
        <v>16</v>
      </c>
      <c r="G109">
        <v>15.71</v>
      </c>
      <c r="H109">
        <v>3.81</v>
      </c>
      <c r="I109">
        <v>1.1770970000000001</v>
      </c>
      <c r="J109">
        <v>6.3131370000000002</v>
      </c>
      <c r="K109">
        <v>-0.46</v>
      </c>
    </row>
    <row r="110" spans="1:20" x14ac:dyDescent="0.3">
      <c r="A110">
        <v>85</v>
      </c>
      <c r="B110" t="s">
        <v>30</v>
      </c>
      <c r="C110">
        <v>7</v>
      </c>
      <c r="D110" t="s">
        <v>10</v>
      </c>
      <c r="E110" t="s">
        <v>11</v>
      </c>
      <c r="F110">
        <v>16</v>
      </c>
      <c r="G110">
        <v>15.73</v>
      </c>
      <c r="H110">
        <v>3.81</v>
      </c>
      <c r="I110">
        <v>4.5734019999999997</v>
      </c>
      <c r="J110">
        <v>8.569839</v>
      </c>
      <c r="K110">
        <v>-0.52</v>
      </c>
    </row>
    <row r="111" spans="1:20" x14ac:dyDescent="0.3">
      <c r="A111">
        <v>2</v>
      </c>
      <c r="B111" t="s">
        <v>30</v>
      </c>
      <c r="C111">
        <v>7</v>
      </c>
      <c r="D111" t="s">
        <v>10</v>
      </c>
      <c r="E111" t="s">
        <v>11</v>
      </c>
      <c r="F111">
        <v>16</v>
      </c>
      <c r="G111">
        <v>15.76</v>
      </c>
      <c r="H111">
        <v>3.79</v>
      </c>
      <c r="I111">
        <v>4.512848</v>
      </c>
      <c r="J111">
        <v>8.7425379999999997</v>
      </c>
      <c r="K111">
        <v>-0.46</v>
      </c>
      <c r="N111">
        <f>AVERAGE(H110:H621)</f>
        <v>3.7221428571428574</v>
      </c>
      <c r="O111">
        <f>STDEV(H110:H621)</f>
        <v>6.9301856055572264E-2</v>
      </c>
      <c r="P111">
        <f>ROUND(N111 + 2, 1)</f>
        <v>5.7</v>
      </c>
      <c r="Q111">
        <f>ROUND(N111 -2, 1)</f>
        <v>1.7</v>
      </c>
      <c r="R111">
        <f>(P111-N111)/(3*O111)</f>
        <v>9.5132475782039876</v>
      </c>
      <c r="S111">
        <f>(N111-Q111)/(3*O111)</f>
        <v>9.7262563719377031</v>
      </c>
      <c r="T111">
        <f>MIN(R111,S111)</f>
        <v>9.5132475782039876</v>
      </c>
    </row>
    <row r="112" spans="1:20" x14ac:dyDescent="0.3">
      <c r="A112">
        <v>80</v>
      </c>
      <c r="B112" t="s">
        <v>30</v>
      </c>
      <c r="C112">
        <v>7</v>
      </c>
      <c r="D112" t="s">
        <v>10</v>
      </c>
      <c r="E112" t="s">
        <v>11</v>
      </c>
      <c r="F112">
        <v>16</v>
      </c>
      <c r="G112">
        <v>15.85</v>
      </c>
      <c r="H112">
        <v>3.79</v>
      </c>
      <c r="I112">
        <v>5.5093839999999998</v>
      </c>
      <c r="J112">
        <v>10.27318</v>
      </c>
      <c r="K112">
        <v>0.18</v>
      </c>
    </row>
    <row r="113" spans="1:11" x14ac:dyDescent="0.3">
      <c r="A113">
        <v>111</v>
      </c>
      <c r="B113" t="s">
        <v>30</v>
      </c>
      <c r="C113">
        <v>7</v>
      </c>
      <c r="D113" t="s">
        <v>10</v>
      </c>
      <c r="E113" t="s">
        <v>11</v>
      </c>
      <c r="F113">
        <v>16</v>
      </c>
      <c r="G113">
        <v>15.78</v>
      </c>
      <c r="H113">
        <v>3.78</v>
      </c>
      <c r="I113">
        <v>2.5922239999999999</v>
      </c>
      <c r="J113">
        <v>6.4709510000000003</v>
      </c>
      <c r="K113">
        <v>3.65</v>
      </c>
    </row>
    <row r="114" spans="1:11" x14ac:dyDescent="0.3">
      <c r="A114">
        <v>89</v>
      </c>
      <c r="B114" t="s">
        <v>30</v>
      </c>
      <c r="C114">
        <v>7</v>
      </c>
      <c r="D114" t="s">
        <v>10</v>
      </c>
      <c r="E114" t="s">
        <v>11</v>
      </c>
      <c r="F114">
        <v>16</v>
      </c>
      <c r="G114">
        <v>15.86</v>
      </c>
      <c r="H114">
        <v>3.76</v>
      </c>
      <c r="I114">
        <v>4.4020200000000003</v>
      </c>
      <c r="J114">
        <v>8.7121049999999993</v>
      </c>
      <c r="K114">
        <v>1.19</v>
      </c>
    </row>
    <row r="115" spans="1:11" x14ac:dyDescent="0.3">
      <c r="A115">
        <v>40</v>
      </c>
      <c r="B115" t="s">
        <v>30</v>
      </c>
      <c r="C115">
        <v>7</v>
      </c>
      <c r="D115" t="s">
        <v>10</v>
      </c>
      <c r="E115" t="s">
        <v>11</v>
      </c>
      <c r="F115">
        <v>16</v>
      </c>
      <c r="G115">
        <v>16.47</v>
      </c>
      <c r="H115">
        <v>3.75</v>
      </c>
      <c r="I115">
        <v>1.7543949999999999</v>
      </c>
      <c r="J115">
        <v>5.5801540000000003</v>
      </c>
      <c r="K115">
        <v>-1.65</v>
      </c>
    </row>
    <row r="116" spans="1:11" x14ac:dyDescent="0.3">
      <c r="A116">
        <v>7</v>
      </c>
      <c r="B116" t="s">
        <v>30</v>
      </c>
      <c r="C116">
        <v>7</v>
      </c>
      <c r="D116" t="s">
        <v>10</v>
      </c>
      <c r="E116" t="s">
        <v>11</v>
      </c>
      <c r="F116">
        <v>16</v>
      </c>
      <c r="G116">
        <v>15.76</v>
      </c>
      <c r="H116">
        <v>3.74</v>
      </c>
      <c r="I116">
        <v>1.87138</v>
      </c>
      <c r="J116">
        <v>5.6606829999999997</v>
      </c>
      <c r="K116">
        <v>0.46</v>
      </c>
    </row>
    <row r="117" spans="1:11" x14ac:dyDescent="0.3">
      <c r="A117">
        <v>39</v>
      </c>
      <c r="B117" t="s">
        <v>30</v>
      </c>
      <c r="C117">
        <v>7</v>
      </c>
      <c r="D117" t="s">
        <v>10</v>
      </c>
      <c r="E117" t="s">
        <v>11</v>
      </c>
      <c r="F117">
        <v>16</v>
      </c>
      <c r="G117">
        <v>15.84</v>
      </c>
      <c r="H117">
        <v>3.73</v>
      </c>
      <c r="I117">
        <v>2.4390260000000001</v>
      </c>
      <c r="J117">
        <v>5.9268000000000001</v>
      </c>
      <c r="K117">
        <v>-0.76</v>
      </c>
    </row>
    <row r="118" spans="1:11" x14ac:dyDescent="0.3">
      <c r="A118">
        <v>101</v>
      </c>
      <c r="B118" t="s">
        <v>30</v>
      </c>
      <c r="C118">
        <v>7</v>
      </c>
      <c r="D118" t="s">
        <v>10</v>
      </c>
      <c r="E118" t="s">
        <v>11</v>
      </c>
      <c r="F118">
        <v>16</v>
      </c>
      <c r="G118">
        <v>15.42</v>
      </c>
      <c r="H118">
        <v>3.72</v>
      </c>
      <c r="I118">
        <v>2.0239029999999998</v>
      </c>
      <c r="J118">
        <v>6.587898</v>
      </c>
      <c r="K118">
        <v>-0.92</v>
      </c>
    </row>
    <row r="119" spans="1:11" x14ac:dyDescent="0.3">
      <c r="A119">
        <v>73</v>
      </c>
      <c r="B119" t="s">
        <v>30</v>
      </c>
      <c r="C119">
        <v>7</v>
      </c>
      <c r="D119" t="s">
        <v>10</v>
      </c>
      <c r="E119" t="s">
        <v>11</v>
      </c>
      <c r="F119">
        <v>16</v>
      </c>
      <c r="G119">
        <v>15.72</v>
      </c>
      <c r="H119">
        <v>3.68</v>
      </c>
      <c r="I119">
        <v>3.2734990000000002</v>
      </c>
      <c r="J119">
        <v>7.4488789999999998</v>
      </c>
      <c r="K119">
        <v>0.17</v>
      </c>
    </row>
    <row r="120" spans="1:11" x14ac:dyDescent="0.3">
      <c r="A120">
        <v>13</v>
      </c>
      <c r="B120" t="s">
        <v>30</v>
      </c>
      <c r="C120">
        <v>7</v>
      </c>
      <c r="D120" t="s">
        <v>10</v>
      </c>
      <c r="E120" t="s">
        <v>11</v>
      </c>
      <c r="F120">
        <v>16</v>
      </c>
      <c r="G120">
        <v>15.92</v>
      </c>
      <c r="H120">
        <v>3.67</v>
      </c>
      <c r="I120">
        <v>1.6382479999999999</v>
      </c>
      <c r="J120">
        <v>5.6552850000000001</v>
      </c>
      <c r="K120">
        <v>-0.49</v>
      </c>
    </row>
    <row r="121" spans="1:11" x14ac:dyDescent="0.3">
      <c r="A121">
        <v>34</v>
      </c>
      <c r="B121" t="s">
        <v>30</v>
      </c>
      <c r="C121">
        <v>7</v>
      </c>
      <c r="D121" t="s">
        <v>10</v>
      </c>
      <c r="E121" t="s">
        <v>11</v>
      </c>
      <c r="F121">
        <v>16</v>
      </c>
      <c r="G121">
        <v>15.84</v>
      </c>
      <c r="H121">
        <v>3.67</v>
      </c>
      <c r="I121">
        <v>0.99756619999999996</v>
      </c>
      <c r="J121">
        <v>5.5299300000000002</v>
      </c>
      <c r="K121">
        <v>0.37</v>
      </c>
    </row>
    <row r="122" spans="1:11" x14ac:dyDescent="0.3">
      <c r="A122">
        <v>52</v>
      </c>
      <c r="B122" t="s">
        <v>30</v>
      </c>
      <c r="C122">
        <v>7</v>
      </c>
      <c r="D122" t="s">
        <v>10</v>
      </c>
      <c r="E122" t="s">
        <v>11</v>
      </c>
      <c r="F122">
        <v>16</v>
      </c>
      <c r="G122">
        <v>15.78</v>
      </c>
      <c r="H122">
        <v>3.67</v>
      </c>
      <c r="I122">
        <v>1.2438089999999999</v>
      </c>
      <c r="J122">
        <v>5.9800800000000001</v>
      </c>
      <c r="K122">
        <v>-1.75</v>
      </c>
    </row>
    <row r="123" spans="1:11" x14ac:dyDescent="0.3">
      <c r="A123">
        <v>3</v>
      </c>
      <c r="B123" t="s">
        <v>30</v>
      </c>
      <c r="C123">
        <v>7</v>
      </c>
      <c r="D123" t="s">
        <v>10</v>
      </c>
      <c r="E123" t="s">
        <v>11</v>
      </c>
      <c r="F123">
        <v>16</v>
      </c>
      <c r="G123">
        <v>15.89</v>
      </c>
      <c r="H123">
        <v>3.55</v>
      </c>
      <c r="I123">
        <v>-1.180752</v>
      </c>
      <c r="J123">
        <v>2.9091109999999998</v>
      </c>
      <c r="K123">
        <v>-0.71</v>
      </c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CD94-7564-4E2D-B92E-F56F6A5D35AB}">
  <dimension ref="A1:U123"/>
  <sheetViews>
    <sheetView zoomScaleNormal="100" workbookViewId="0">
      <selection activeCell="A8" sqref="A8:H9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/>
    </row>
    <row r="2" spans="1:21" x14ac:dyDescent="0.3">
      <c r="A2" s="10">
        <v>74</v>
      </c>
      <c r="B2" t="s">
        <v>30</v>
      </c>
      <c r="C2">
        <v>7</v>
      </c>
      <c r="D2" t="s">
        <v>12</v>
      </c>
      <c r="E2" t="s">
        <v>11</v>
      </c>
      <c r="F2">
        <v>16</v>
      </c>
      <c r="G2">
        <v>13.2</v>
      </c>
      <c r="H2">
        <v>-24.7</v>
      </c>
      <c r="I2">
        <v>-3.8770709999999999</v>
      </c>
      <c r="J2">
        <v>-1.909775</v>
      </c>
      <c r="K2">
        <v>5.56</v>
      </c>
    </row>
    <row r="3" spans="1:21" x14ac:dyDescent="0.3">
      <c r="A3" s="10">
        <v>83</v>
      </c>
      <c r="B3" t="s">
        <v>30</v>
      </c>
      <c r="C3">
        <v>7</v>
      </c>
      <c r="D3" t="s">
        <v>12</v>
      </c>
      <c r="E3" t="s">
        <v>11</v>
      </c>
      <c r="F3">
        <v>16</v>
      </c>
      <c r="G3">
        <v>12.93</v>
      </c>
      <c r="H3">
        <v>-28.83</v>
      </c>
      <c r="I3">
        <v>-2.447975</v>
      </c>
      <c r="J3">
        <v>-0.58696749999999998</v>
      </c>
      <c r="K3">
        <v>0.86</v>
      </c>
    </row>
    <row r="4" spans="1:21" x14ac:dyDescent="0.3">
      <c r="A4" s="10">
        <v>84</v>
      </c>
      <c r="B4" t="s">
        <v>30</v>
      </c>
      <c r="C4">
        <v>7</v>
      </c>
      <c r="D4" t="s">
        <v>12</v>
      </c>
      <c r="E4" t="s">
        <v>11</v>
      </c>
      <c r="F4">
        <v>16</v>
      </c>
      <c r="G4">
        <v>12.7</v>
      </c>
      <c r="H4">
        <v>-29.19</v>
      </c>
      <c r="I4">
        <v>-4.9095120000000003</v>
      </c>
      <c r="J4">
        <v>-2.7546010000000001</v>
      </c>
      <c r="K4">
        <v>1.6</v>
      </c>
    </row>
    <row r="5" spans="1:21" x14ac:dyDescent="0.3">
      <c r="A5" s="10">
        <v>70</v>
      </c>
      <c r="B5" t="s">
        <v>30</v>
      </c>
      <c r="C5">
        <v>7</v>
      </c>
      <c r="D5" t="s">
        <v>12</v>
      </c>
      <c r="E5" t="s">
        <v>11</v>
      </c>
      <c r="F5">
        <v>16</v>
      </c>
      <c r="G5">
        <v>13.12</v>
      </c>
      <c r="H5">
        <v>-30.06</v>
      </c>
      <c r="I5">
        <v>-5.4851799999999997</v>
      </c>
      <c r="J5">
        <v>-3.5863489999999998</v>
      </c>
      <c r="K5">
        <v>8.75</v>
      </c>
    </row>
    <row r="6" spans="1:21" x14ac:dyDescent="0.3">
      <c r="A6" s="10">
        <v>110</v>
      </c>
      <c r="B6" t="s">
        <v>30</v>
      </c>
      <c r="C6">
        <v>7</v>
      </c>
      <c r="D6" t="s">
        <v>12</v>
      </c>
      <c r="E6" t="s">
        <v>11</v>
      </c>
      <c r="F6">
        <v>16</v>
      </c>
      <c r="G6">
        <v>13.23</v>
      </c>
      <c r="H6">
        <v>-30.23</v>
      </c>
      <c r="I6">
        <v>-3.324738</v>
      </c>
      <c r="J6">
        <v>-0.97351840000000001</v>
      </c>
      <c r="K6">
        <v>3.08</v>
      </c>
    </row>
    <row r="7" spans="1:21" x14ac:dyDescent="0.3">
      <c r="A7" s="10">
        <v>121</v>
      </c>
      <c r="B7" t="s">
        <v>30</v>
      </c>
      <c r="C7">
        <v>7</v>
      </c>
      <c r="D7" t="s">
        <v>12</v>
      </c>
      <c r="E7" t="s">
        <v>11</v>
      </c>
      <c r="F7">
        <v>16</v>
      </c>
      <c r="G7">
        <v>13.78</v>
      </c>
      <c r="H7">
        <v>-30.49</v>
      </c>
      <c r="I7">
        <v>-3.9503520000000001</v>
      </c>
      <c r="J7">
        <v>-2.1432720000000001</v>
      </c>
      <c r="K7">
        <v>2.87</v>
      </c>
    </row>
    <row r="8" spans="1:21" x14ac:dyDescent="0.3">
      <c r="A8" s="10">
        <v>24</v>
      </c>
      <c r="B8" t="s">
        <v>30</v>
      </c>
      <c r="C8">
        <v>7</v>
      </c>
      <c r="D8" t="s">
        <v>12</v>
      </c>
      <c r="E8" t="s">
        <v>11</v>
      </c>
      <c r="F8">
        <v>16</v>
      </c>
      <c r="G8">
        <v>13.34</v>
      </c>
      <c r="H8">
        <v>-30.85</v>
      </c>
      <c r="I8">
        <v>-5.501614</v>
      </c>
      <c r="J8">
        <v>-2.9632420000000002</v>
      </c>
      <c r="K8">
        <v>4.1399999999999997</v>
      </c>
    </row>
    <row r="9" spans="1:21" x14ac:dyDescent="0.3">
      <c r="A9" s="10">
        <v>72</v>
      </c>
      <c r="B9" t="s">
        <v>30</v>
      </c>
      <c r="C9">
        <v>7</v>
      </c>
      <c r="D9" t="s">
        <v>12</v>
      </c>
      <c r="E9" t="s">
        <v>11</v>
      </c>
      <c r="F9">
        <v>16</v>
      </c>
      <c r="G9">
        <v>13.73</v>
      </c>
      <c r="H9">
        <v>-30.87</v>
      </c>
      <c r="I9">
        <v>-3.3773650000000002</v>
      </c>
      <c r="J9">
        <v>-1.5895269999999999</v>
      </c>
      <c r="K9">
        <v>10.59</v>
      </c>
    </row>
    <row r="10" spans="1:21" x14ac:dyDescent="0.3">
      <c r="A10">
        <v>67</v>
      </c>
      <c r="B10" t="s">
        <v>30</v>
      </c>
      <c r="C10">
        <v>7</v>
      </c>
      <c r="D10" t="s">
        <v>12</v>
      </c>
      <c r="E10" t="s">
        <v>11</v>
      </c>
      <c r="F10">
        <v>16</v>
      </c>
      <c r="G10">
        <v>13.42</v>
      </c>
      <c r="H10">
        <v>-30.99</v>
      </c>
      <c r="I10">
        <v>-4.3391190000000002</v>
      </c>
      <c r="J10">
        <v>-2.4404599999999999</v>
      </c>
      <c r="K10">
        <v>35.42</v>
      </c>
    </row>
    <row r="11" spans="1:21" x14ac:dyDescent="0.3">
      <c r="A11">
        <v>26</v>
      </c>
      <c r="B11" t="s">
        <v>30</v>
      </c>
      <c r="C11">
        <v>7</v>
      </c>
      <c r="D11" t="s">
        <v>12</v>
      </c>
      <c r="E11" t="s">
        <v>11</v>
      </c>
      <c r="F11">
        <v>16</v>
      </c>
      <c r="G11">
        <v>13.11</v>
      </c>
      <c r="H11">
        <v>-31.01</v>
      </c>
      <c r="I11">
        <v>-5.2638129999999999</v>
      </c>
      <c r="J11">
        <v>-3.9526330000000001</v>
      </c>
      <c r="K11">
        <v>2.87</v>
      </c>
    </row>
    <row r="12" spans="1:21" x14ac:dyDescent="0.3">
      <c r="A12">
        <v>120</v>
      </c>
      <c r="B12" t="s">
        <v>30</v>
      </c>
      <c r="C12">
        <v>7</v>
      </c>
      <c r="D12" t="s">
        <v>12</v>
      </c>
      <c r="E12" t="s">
        <v>11</v>
      </c>
      <c r="F12">
        <v>16</v>
      </c>
      <c r="G12">
        <v>13.04</v>
      </c>
      <c r="H12">
        <v>-31.07</v>
      </c>
      <c r="I12">
        <v>-5.0375519999999998</v>
      </c>
      <c r="J12">
        <v>-3.1166309999999999</v>
      </c>
      <c r="K12">
        <v>-1.75</v>
      </c>
    </row>
    <row r="13" spans="1:21" x14ac:dyDescent="0.3">
      <c r="A13">
        <v>119</v>
      </c>
      <c r="B13" t="s">
        <v>30</v>
      </c>
      <c r="C13">
        <v>7</v>
      </c>
      <c r="D13" t="s">
        <v>12</v>
      </c>
      <c r="E13" t="s">
        <v>11</v>
      </c>
      <c r="F13">
        <v>16</v>
      </c>
      <c r="G13">
        <v>13.48</v>
      </c>
      <c r="H13">
        <v>-31.17</v>
      </c>
      <c r="I13">
        <v>-4.1517559999999998</v>
      </c>
      <c r="J13">
        <v>-2.0846209999999998</v>
      </c>
      <c r="K13">
        <v>23.4</v>
      </c>
    </row>
    <row r="14" spans="1:21" x14ac:dyDescent="0.3">
      <c r="A14">
        <v>100</v>
      </c>
      <c r="B14" t="s">
        <v>30</v>
      </c>
      <c r="C14">
        <v>7</v>
      </c>
      <c r="D14" t="s">
        <v>12</v>
      </c>
      <c r="E14" t="s">
        <v>11</v>
      </c>
      <c r="F14">
        <v>16</v>
      </c>
      <c r="G14">
        <v>13.61</v>
      </c>
      <c r="H14">
        <v>-31.32</v>
      </c>
      <c r="I14">
        <v>-4.6081469999999998</v>
      </c>
      <c r="J14">
        <v>-2.3255309999999998</v>
      </c>
      <c r="K14">
        <v>1.99</v>
      </c>
    </row>
    <row r="15" spans="1:21" x14ac:dyDescent="0.3">
      <c r="A15">
        <v>82</v>
      </c>
      <c r="B15" t="s">
        <v>30</v>
      </c>
      <c r="C15">
        <v>7</v>
      </c>
      <c r="D15" t="s">
        <v>12</v>
      </c>
      <c r="E15" t="s">
        <v>11</v>
      </c>
      <c r="F15">
        <v>16</v>
      </c>
      <c r="G15">
        <v>13.12</v>
      </c>
      <c r="H15">
        <v>-31.35</v>
      </c>
      <c r="I15">
        <v>-3.534462</v>
      </c>
      <c r="J15">
        <v>-1.3056950000000001</v>
      </c>
      <c r="K15">
        <v>-1.43</v>
      </c>
    </row>
    <row r="16" spans="1:21" x14ac:dyDescent="0.3">
      <c r="A16">
        <v>106</v>
      </c>
      <c r="B16" t="s">
        <v>30</v>
      </c>
      <c r="C16">
        <v>7</v>
      </c>
      <c r="D16" t="s">
        <v>12</v>
      </c>
      <c r="E16" t="s">
        <v>11</v>
      </c>
      <c r="F16">
        <v>16</v>
      </c>
      <c r="G16">
        <v>13.93</v>
      </c>
      <c r="H16">
        <v>-31.39</v>
      </c>
      <c r="I16">
        <v>-3.7422029999999999</v>
      </c>
      <c r="J16">
        <v>-1.7719419999999999</v>
      </c>
      <c r="K16">
        <v>10.94</v>
      </c>
    </row>
    <row r="17" spans="1:11" x14ac:dyDescent="0.3">
      <c r="A17">
        <v>88</v>
      </c>
      <c r="B17" t="s">
        <v>30</v>
      </c>
      <c r="C17">
        <v>7</v>
      </c>
      <c r="D17" t="s">
        <v>12</v>
      </c>
      <c r="E17" t="s">
        <v>11</v>
      </c>
      <c r="F17">
        <v>16</v>
      </c>
      <c r="G17">
        <v>13.85</v>
      </c>
      <c r="H17">
        <v>-31.42</v>
      </c>
      <c r="I17">
        <v>-4.1812480000000001</v>
      </c>
      <c r="J17">
        <v>-2.1394579999999999</v>
      </c>
      <c r="K17">
        <v>1.56</v>
      </c>
    </row>
    <row r="18" spans="1:11" x14ac:dyDescent="0.3">
      <c r="A18">
        <v>78</v>
      </c>
      <c r="B18" t="s">
        <v>30</v>
      </c>
      <c r="C18">
        <v>7</v>
      </c>
      <c r="D18" t="s">
        <v>12</v>
      </c>
      <c r="E18" t="s">
        <v>11</v>
      </c>
      <c r="F18">
        <v>16</v>
      </c>
      <c r="G18">
        <v>12.69</v>
      </c>
      <c r="H18">
        <v>-31.45</v>
      </c>
      <c r="I18">
        <v>-2.990955</v>
      </c>
      <c r="J18">
        <v>-1.3708800000000001</v>
      </c>
      <c r="K18">
        <v>-0.49</v>
      </c>
    </row>
    <row r="19" spans="1:11" x14ac:dyDescent="0.3">
      <c r="A19">
        <v>5</v>
      </c>
      <c r="B19" t="s">
        <v>30</v>
      </c>
      <c r="C19">
        <v>7</v>
      </c>
      <c r="D19" t="s">
        <v>12</v>
      </c>
      <c r="E19" t="s">
        <v>11</v>
      </c>
      <c r="F19">
        <v>16</v>
      </c>
      <c r="G19">
        <v>13.3</v>
      </c>
      <c r="H19">
        <v>-31.46</v>
      </c>
      <c r="I19">
        <v>-3.6383779999999999</v>
      </c>
      <c r="J19">
        <v>-1.776432</v>
      </c>
      <c r="K19">
        <v>-1.32</v>
      </c>
    </row>
    <row r="20" spans="1:11" x14ac:dyDescent="0.3">
      <c r="A20">
        <v>61</v>
      </c>
      <c r="B20" t="s">
        <v>30</v>
      </c>
      <c r="C20">
        <v>7</v>
      </c>
      <c r="D20" t="s">
        <v>12</v>
      </c>
      <c r="E20" t="s">
        <v>11</v>
      </c>
      <c r="F20">
        <v>16</v>
      </c>
      <c r="G20">
        <v>12.78</v>
      </c>
      <c r="H20">
        <v>-31.65</v>
      </c>
      <c r="I20">
        <v>-3.9862479999999998</v>
      </c>
      <c r="J20">
        <v>-2.25528</v>
      </c>
      <c r="K20">
        <v>-0.06</v>
      </c>
    </row>
    <row r="21" spans="1:11" x14ac:dyDescent="0.3">
      <c r="A21">
        <v>7</v>
      </c>
      <c r="B21" t="s">
        <v>30</v>
      </c>
      <c r="C21">
        <v>7</v>
      </c>
      <c r="D21" t="s">
        <v>12</v>
      </c>
      <c r="E21" t="s">
        <v>11</v>
      </c>
      <c r="F21">
        <v>16</v>
      </c>
      <c r="G21">
        <v>13.48</v>
      </c>
      <c r="H21">
        <v>-31.66</v>
      </c>
      <c r="I21" t="s">
        <v>31</v>
      </c>
      <c r="J21" t="s">
        <v>31</v>
      </c>
      <c r="K21">
        <v>-100</v>
      </c>
    </row>
    <row r="22" spans="1:11" x14ac:dyDescent="0.3">
      <c r="A22">
        <v>8</v>
      </c>
      <c r="B22" t="s">
        <v>30</v>
      </c>
      <c r="C22">
        <v>7</v>
      </c>
      <c r="D22" t="s">
        <v>12</v>
      </c>
      <c r="E22" t="s">
        <v>11</v>
      </c>
      <c r="F22">
        <v>16</v>
      </c>
      <c r="G22">
        <v>12.93</v>
      </c>
      <c r="H22">
        <v>-31.7</v>
      </c>
      <c r="I22">
        <v>-5.2465820000000001</v>
      </c>
      <c r="J22">
        <v>-3.3953669999999998</v>
      </c>
      <c r="K22">
        <v>2.66</v>
      </c>
    </row>
    <row r="23" spans="1:11" x14ac:dyDescent="0.3">
      <c r="A23">
        <v>77</v>
      </c>
      <c r="B23" t="s">
        <v>30</v>
      </c>
      <c r="C23">
        <v>7</v>
      </c>
      <c r="D23" t="s">
        <v>12</v>
      </c>
      <c r="E23" t="s">
        <v>11</v>
      </c>
      <c r="F23">
        <v>16</v>
      </c>
      <c r="G23">
        <v>14.09</v>
      </c>
      <c r="H23">
        <v>-31.88</v>
      </c>
      <c r="I23">
        <v>-2.942364</v>
      </c>
      <c r="J23">
        <v>-0.86540220000000001</v>
      </c>
      <c r="K23">
        <v>1.02</v>
      </c>
    </row>
    <row r="24" spans="1:11" x14ac:dyDescent="0.3">
      <c r="A24">
        <v>116</v>
      </c>
      <c r="B24" t="s">
        <v>30</v>
      </c>
      <c r="C24">
        <v>7</v>
      </c>
      <c r="D24" t="s">
        <v>12</v>
      </c>
      <c r="E24" t="s">
        <v>11</v>
      </c>
      <c r="F24">
        <v>16</v>
      </c>
      <c r="G24">
        <v>13.59</v>
      </c>
      <c r="H24">
        <v>-31.98</v>
      </c>
      <c r="I24">
        <v>-5.8230779999999998</v>
      </c>
      <c r="J24">
        <v>-3.5621529999999999</v>
      </c>
      <c r="K24">
        <v>7.58</v>
      </c>
    </row>
    <row r="25" spans="1:11" x14ac:dyDescent="0.3">
      <c r="A25">
        <v>92</v>
      </c>
      <c r="B25" t="s">
        <v>30</v>
      </c>
      <c r="C25">
        <v>7</v>
      </c>
      <c r="D25" t="s">
        <v>12</v>
      </c>
      <c r="E25" t="s">
        <v>11</v>
      </c>
      <c r="F25">
        <v>16</v>
      </c>
      <c r="G25">
        <v>13.28</v>
      </c>
      <c r="H25">
        <v>-32.08</v>
      </c>
      <c r="I25">
        <v>-5.2421759999999997</v>
      </c>
      <c r="J25">
        <v>-3.348312</v>
      </c>
      <c r="K25">
        <v>7.05</v>
      </c>
    </row>
    <row r="26" spans="1:11" x14ac:dyDescent="0.3">
      <c r="A26">
        <v>10</v>
      </c>
      <c r="B26" t="s">
        <v>30</v>
      </c>
      <c r="C26">
        <v>7</v>
      </c>
      <c r="D26" t="s">
        <v>12</v>
      </c>
      <c r="E26" t="s">
        <v>11</v>
      </c>
      <c r="F26">
        <v>16</v>
      </c>
      <c r="G26">
        <v>13.68</v>
      </c>
      <c r="H26">
        <v>-32.130000000000003</v>
      </c>
      <c r="I26">
        <v>-5.2086139999999999</v>
      </c>
      <c r="J26">
        <v>-3.058182</v>
      </c>
      <c r="K26">
        <v>4.1399999999999997</v>
      </c>
    </row>
    <row r="27" spans="1:11" x14ac:dyDescent="0.3">
      <c r="A27">
        <v>91</v>
      </c>
      <c r="B27" t="s">
        <v>30</v>
      </c>
      <c r="C27">
        <v>7</v>
      </c>
      <c r="D27" t="s">
        <v>12</v>
      </c>
      <c r="E27" t="s">
        <v>11</v>
      </c>
      <c r="F27">
        <v>16</v>
      </c>
      <c r="G27">
        <v>13.75</v>
      </c>
      <c r="H27">
        <v>-32.130000000000003</v>
      </c>
      <c r="I27">
        <v>-3.9467240000000001</v>
      </c>
      <c r="J27">
        <v>-2.0390280000000001</v>
      </c>
      <c r="K27">
        <v>5.17</v>
      </c>
    </row>
    <row r="28" spans="1:11" x14ac:dyDescent="0.3">
      <c r="A28">
        <v>86</v>
      </c>
      <c r="B28" t="s">
        <v>30</v>
      </c>
      <c r="C28">
        <v>7</v>
      </c>
      <c r="D28" t="s">
        <v>12</v>
      </c>
      <c r="E28" t="s">
        <v>11</v>
      </c>
      <c r="F28">
        <v>16</v>
      </c>
      <c r="G28">
        <v>13.66</v>
      </c>
      <c r="H28">
        <v>-32.15</v>
      </c>
      <c r="I28">
        <v>-3.9927250000000001</v>
      </c>
      <c r="J28">
        <v>-2.1894040000000001</v>
      </c>
      <c r="K28">
        <v>-1.21</v>
      </c>
    </row>
    <row r="29" spans="1:11" x14ac:dyDescent="0.3">
      <c r="A29">
        <v>117</v>
      </c>
      <c r="B29" t="s">
        <v>30</v>
      </c>
      <c r="C29">
        <v>7</v>
      </c>
      <c r="D29" t="s">
        <v>12</v>
      </c>
      <c r="E29" t="s">
        <v>11</v>
      </c>
      <c r="F29">
        <v>16</v>
      </c>
      <c r="G29">
        <v>12.9</v>
      </c>
      <c r="H29">
        <v>-32.159999999999997</v>
      </c>
      <c r="I29">
        <v>-3.3136290000000002</v>
      </c>
      <c r="J29">
        <v>-1.3591839999999999</v>
      </c>
      <c r="K29">
        <v>1.81</v>
      </c>
    </row>
    <row r="30" spans="1:11" x14ac:dyDescent="0.3">
      <c r="A30">
        <v>108</v>
      </c>
      <c r="B30" t="s">
        <v>30</v>
      </c>
      <c r="C30">
        <v>7</v>
      </c>
      <c r="D30" t="s">
        <v>12</v>
      </c>
      <c r="E30" t="s">
        <v>11</v>
      </c>
      <c r="F30">
        <v>16</v>
      </c>
      <c r="G30">
        <v>12.96</v>
      </c>
      <c r="H30">
        <v>-32.18</v>
      </c>
      <c r="I30">
        <v>-3.6307830000000001</v>
      </c>
      <c r="J30">
        <v>-1.7862469999999999</v>
      </c>
      <c r="K30">
        <v>0.94</v>
      </c>
    </row>
    <row r="31" spans="1:11" x14ac:dyDescent="0.3">
      <c r="A31">
        <v>107</v>
      </c>
      <c r="B31" t="s">
        <v>30</v>
      </c>
      <c r="C31">
        <v>7</v>
      </c>
      <c r="D31" t="s">
        <v>12</v>
      </c>
      <c r="E31" t="s">
        <v>11</v>
      </c>
      <c r="F31">
        <v>16</v>
      </c>
      <c r="G31">
        <v>14.25</v>
      </c>
      <c r="H31">
        <v>-32.26</v>
      </c>
      <c r="I31">
        <v>-5.9238470000000003</v>
      </c>
      <c r="J31">
        <v>-3.8898769999999998</v>
      </c>
      <c r="K31">
        <v>0.59</v>
      </c>
    </row>
    <row r="32" spans="1:11" x14ac:dyDescent="0.3">
      <c r="A32">
        <v>112</v>
      </c>
      <c r="B32" t="s">
        <v>30</v>
      </c>
      <c r="C32">
        <v>7</v>
      </c>
      <c r="D32" t="s">
        <v>12</v>
      </c>
      <c r="E32" t="s">
        <v>11</v>
      </c>
      <c r="F32">
        <v>16</v>
      </c>
      <c r="G32">
        <v>12.86</v>
      </c>
      <c r="H32">
        <v>-32.28</v>
      </c>
      <c r="I32">
        <v>-5.5286140000000001</v>
      </c>
      <c r="J32">
        <v>-3.1759569999999999</v>
      </c>
      <c r="K32">
        <v>5.39</v>
      </c>
    </row>
    <row r="33" spans="1:11" x14ac:dyDescent="0.3">
      <c r="A33">
        <v>17</v>
      </c>
      <c r="B33" t="s">
        <v>30</v>
      </c>
      <c r="C33">
        <v>7</v>
      </c>
      <c r="D33" t="s">
        <v>12</v>
      </c>
      <c r="E33" t="s">
        <v>11</v>
      </c>
      <c r="F33">
        <v>16</v>
      </c>
      <c r="G33">
        <v>13.67</v>
      </c>
      <c r="H33">
        <v>-32.29</v>
      </c>
      <c r="I33">
        <v>-4.966507</v>
      </c>
      <c r="J33">
        <v>-3.1897890000000002</v>
      </c>
      <c r="K33">
        <v>1.2</v>
      </c>
    </row>
    <row r="34" spans="1:11" x14ac:dyDescent="0.3">
      <c r="A34">
        <v>71</v>
      </c>
      <c r="B34" t="s">
        <v>30</v>
      </c>
      <c r="C34">
        <v>7</v>
      </c>
      <c r="D34" t="s">
        <v>12</v>
      </c>
      <c r="E34" t="s">
        <v>11</v>
      </c>
      <c r="F34">
        <v>16</v>
      </c>
      <c r="G34">
        <v>13.31</v>
      </c>
      <c r="H34">
        <v>-32.340000000000003</v>
      </c>
      <c r="I34">
        <v>-3.6875040000000001</v>
      </c>
      <c r="J34">
        <v>-1.756737</v>
      </c>
      <c r="K34">
        <v>-1.6</v>
      </c>
    </row>
    <row r="35" spans="1:11" x14ac:dyDescent="0.3">
      <c r="A35">
        <v>80</v>
      </c>
      <c r="B35" t="s">
        <v>30</v>
      </c>
      <c r="C35">
        <v>7</v>
      </c>
      <c r="D35" t="s">
        <v>12</v>
      </c>
      <c r="E35" t="s">
        <v>11</v>
      </c>
      <c r="F35">
        <v>16</v>
      </c>
      <c r="G35">
        <v>13.21</v>
      </c>
      <c r="H35">
        <v>-32.35</v>
      </c>
      <c r="I35">
        <v>-3.3994179999999998</v>
      </c>
      <c r="J35">
        <v>-1.3647609999999999</v>
      </c>
      <c r="K35">
        <v>-0.63</v>
      </c>
    </row>
    <row r="36" spans="1:11" x14ac:dyDescent="0.3">
      <c r="A36">
        <v>99</v>
      </c>
      <c r="B36" t="s">
        <v>30</v>
      </c>
      <c r="C36">
        <v>7</v>
      </c>
      <c r="D36" t="s">
        <v>12</v>
      </c>
      <c r="E36" t="s">
        <v>11</v>
      </c>
      <c r="F36">
        <v>16</v>
      </c>
      <c r="G36">
        <v>13.64</v>
      </c>
      <c r="H36">
        <v>-32.36</v>
      </c>
      <c r="I36">
        <v>-4.5212630000000003</v>
      </c>
      <c r="J36">
        <v>-2.6949540000000001</v>
      </c>
      <c r="K36">
        <v>-1.1499999999999999</v>
      </c>
    </row>
    <row r="37" spans="1:11" x14ac:dyDescent="0.3">
      <c r="A37">
        <v>75</v>
      </c>
      <c r="B37" t="s">
        <v>30</v>
      </c>
      <c r="C37">
        <v>7</v>
      </c>
      <c r="D37" t="s">
        <v>12</v>
      </c>
      <c r="E37" t="s">
        <v>11</v>
      </c>
      <c r="F37">
        <v>16</v>
      </c>
      <c r="G37">
        <v>13.48</v>
      </c>
      <c r="H37">
        <v>-32.47</v>
      </c>
      <c r="I37">
        <v>-3.928509</v>
      </c>
      <c r="J37">
        <v>-2.0073279999999998</v>
      </c>
      <c r="K37">
        <v>-0.88</v>
      </c>
    </row>
    <row r="38" spans="1:11" x14ac:dyDescent="0.3">
      <c r="A38">
        <v>103</v>
      </c>
      <c r="B38" t="s">
        <v>30</v>
      </c>
      <c r="C38">
        <v>7</v>
      </c>
      <c r="D38" t="s">
        <v>12</v>
      </c>
      <c r="E38" t="s">
        <v>11</v>
      </c>
      <c r="F38">
        <v>16</v>
      </c>
      <c r="G38">
        <v>13.42</v>
      </c>
      <c r="H38">
        <v>-32.549999999999997</v>
      </c>
      <c r="I38">
        <v>-6.0858150000000002</v>
      </c>
      <c r="J38">
        <v>-3.7978589999999999</v>
      </c>
      <c r="K38">
        <v>0.08</v>
      </c>
    </row>
    <row r="39" spans="1:11" x14ac:dyDescent="0.3">
      <c r="A39">
        <v>27</v>
      </c>
      <c r="B39" t="s">
        <v>30</v>
      </c>
      <c r="C39">
        <v>7</v>
      </c>
      <c r="D39" t="s">
        <v>12</v>
      </c>
      <c r="E39" t="s">
        <v>11</v>
      </c>
      <c r="F39">
        <v>16</v>
      </c>
      <c r="G39">
        <v>13.93</v>
      </c>
      <c r="H39">
        <v>-32.56</v>
      </c>
      <c r="I39">
        <v>-5.7109680000000003</v>
      </c>
      <c r="J39">
        <v>-3.687595</v>
      </c>
      <c r="K39">
        <v>2.02</v>
      </c>
    </row>
    <row r="40" spans="1:11" x14ac:dyDescent="0.3">
      <c r="A40">
        <v>85</v>
      </c>
      <c r="B40" t="s">
        <v>30</v>
      </c>
      <c r="C40">
        <v>7</v>
      </c>
      <c r="D40" t="s">
        <v>12</v>
      </c>
      <c r="E40" t="s">
        <v>11</v>
      </c>
      <c r="F40">
        <v>16</v>
      </c>
      <c r="G40">
        <v>13.16</v>
      </c>
      <c r="H40">
        <v>-32.56</v>
      </c>
      <c r="I40">
        <v>-3.7815249999999998</v>
      </c>
      <c r="J40">
        <v>-2.003708</v>
      </c>
      <c r="K40">
        <v>-1.8</v>
      </c>
    </row>
    <row r="41" spans="1:11" x14ac:dyDescent="0.3">
      <c r="A41">
        <v>29</v>
      </c>
      <c r="B41" t="s">
        <v>30</v>
      </c>
      <c r="C41">
        <v>7</v>
      </c>
      <c r="D41" t="s">
        <v>12</v>
      </c>
      <c r="E41" t="s">
        <v>11</v>
      </c>
      <c r="F41">
        <v>16</v>
      </c>
      <c r="G41">
        <v>13.81</v>
      </c>
      <c r="H41">
        <v>-32.57</v>
      </c>
      <c r="I41">
        <v>-5.3961449999999997</v>
      </c>
      <c r="J41">
        <v>-3.4268719999999999</v>
      </c>
      <c r="K41">
        <v>4.3</v>
      </c>
    </row>
    <row r="42" spans="1:11" x14ac:dyDescent="0.3">
      <c r="A42">
        <v>104</v>
      </c>
      <c r="B42" t="s">
        <v>30</v>
      </c>
      <c r="C42">
        <v>7</v>
      </c>
      <c r="D42" t="s">
        <v>12</v>
      </c>
      <c r="E42" t="s">
        <v>11</v>
      </c>
      <c r="F42">
        <v>16</v>
      </c>
      <c r="G42">
        <v>14.09</v>
      </c>
      <c r="H42">
        <v>-32.57</v>
      </c>
      <c r="I42">
        <v>-5.1122969999999999</v>
      </c>
      <c r="J42">
        <v>-2.905891</v>
      </c>
      <c r="K42">
        <v>35.450000000000003</v>
      </c>
    </row>
    <row r="43" spans="1:11" x14ac:dyDescent="0.3">
      <c r="A43">
        <v>87</v>
      </c>
      <c r="B43" t="s">
        <v>30</v>
      </c>
      <c r="C43">
        <v>7</v>
      </c>
      <c r="D43" t="s">
        <v>12</v>
      </c>
      <c r="E43" t="s">
        <v>11</v>
      </c>
      <c r="F43">
        <v>16</v>
      </c>
      <c r="G43">
        <v>13.74</v>
      </c>
      <c r="H43">
        <v>-32.590000000000003</v>
      </c>
      <c r="I43">
        <v>-4.9363939999999999</v>
      </c>
      <c r="J43">
        <v>-2.8592529999999998</v>
      </c>
      <c r="K43">
        <v>-1.19</v>
      </c>
    </row>
    <row r="44" spans="1:11" x14ac:dyDescent="0.3">
      <c r="A44">
        <v>60</v>
      </c>
      <c r="B44" t="s">
        <v>30</v>
      </c>
      <c r="C44">
        <v>7</v>
      </c>
      <c r="D44" t="s">
        <v>12</v>
      </c>
      <c r="E44" t="s">
        <v>11</v>
      </c>
      <c r="F44">
        <v>16</v>
      </c>
      <c r="G44">
        <v>12.64</v>
      </c>
      <c r="H44">
        <v>-32.6</v>
      </c>
      <c r="I44">
        <v>-5.4612689999999997</v>
      </c>
      <c r="J44">
        <v>-3.0879750000000001</v>
      </c>
      <c r="K44">
        <v>0.83</v>
      </c>
    </row>
    <row r="45" spans="1:11" x14ac:dyDescent="0.3">
      <c r="A45">
        <v>49</v>
      </c>
      <c r="B45" t="s">
        <v>30</v>
      </c>
      <c r="C45">
        <v>7</v>
      </c>
      <c r="D45" t="s">
        <v>12</v>
      </c>
      <c r="E45" t="s">
        <v>11</v>
      </c>
      <c r="F45">
        <v>16</v>
      </c>
      <c r="G45">
        <v>13.14</v>
      </c>
      <c r="H45">
        <v>-32.630000000000003</v>
      </c>
      <c r="I45">
        <v>-5.71265</v>
      </c>
      <c r="J45">
        <v>-3.4266740000000002</v>
      </c>
      <c r="K45">
        <v>2.3199999999999998</v>
      </c>
    </row>
    <row r="46" spans="1:11" x14ac:dyDescent="0.3">
      <c r="A46">
        <v>79</v>
      </c>
      <c r="B46" t="s">
        <v>30</v>
      </c>
      <c r="C46">
        <v>7</v>
      </c>
      <c r="D46" t="s">
        <v>12</v>
      </c>
      <c r="E46" t="s">
        <v>11</v>
      </c>
      <c r="F46">
        <v>16</v>
      </c>
      <c r="G46">
        <v>12.91</v>
      </c>
      <c r="H46">
        <v>-32.64</v>
      </c>
      <c r="I46">
        <v>-4.3219180000000001</v>
      </c>
      <c r="J46">
        <v>-2.5912280000000001</v>
      </c>
      <c r="K46">
        <v>-0.1</v>
      </c>
    </row>
    <row r="47" spans="1:11" x14ac:dyDescent="0.3">
      <c r="A47">
        <v>76</v>
      </c>
      <c r="B47" t="s">
        <v>30</v>
      </c>
      <c r="C47">
        <v>7</v>
      </c>
      <c r="D47" t="s">
        <v>12</v>
      </c>
      <c r="E47" t="s">
        <v>11</v>
      </c>
      <c r="F47">
        <v>16</v>
      </c>
      <c r="G47">
        <v>13.94</v>
      </c>
      <c r="H47">
        <v>-32.700000000000003</v>
      </c>
      <c r="I47">
        <v>-4.3428000000000004</v>
      </c>
      <c r="J47">
        <v>-1.873264</v>
      </c>
      <c r="K47">
        <v>0.32</v>
      </c>
    </row>
    <row r="48" spans="1:11" x14ac:dyDescent="0.3">
      <c r="A48">
        <v>59</v>
      </c>
      <c r="B48" t="s">
        <v>30</v>
      </c>
      <c r="C48">
        <v>7</v>
      </c>
      <c r="D48" t="s">
        <v>12</v>
      </c>
      <c r="E48" t="s">
        <v>11</v>
      </c>
      <c r="F48">
        <v>16</v>
      </c>
      <c r="G48">
        <v>13.8</v>
      </c>
      <c r="H48">
        <v>-32.71</v>
      </c>
      <c r="I48">
        <v>-4.61348</v>
      </c>
      <c r="J48">
        <v>-2.5581019999999999</v>
      </c>
      <c r="K48">
        <v>1.24</v>
      </c>
    </row>
    <row r="49" spans="1:11" x14ac:dyDescent="0.3">
      <c r="A49">
        <v>16</v>
      </c>
      <c r="B49" t="s">
        <v>30</v>
      </c>
      <c r="C49">
        <v>7</v>
      </c>
      <c r="D49" t="s">
        <v>12</v>
      </c>
      <c r="E49" t="s">
        <v>11</v>
      </c>
      <c r="F49">
        <v>16</v>
      </c>
      <c r="G49">
        <v>13.2</v>
      </c>
      <c r="H49">
        <v>-32.770000000000003</v>
      </c>
      <c r="I49">
        <v>-5.1884420000000002</v>
      </c>
      <c r="J49">
        <v>-3.227859</v>
      </c>
      <c r="K49">
        <v>0.28999999999999998</v>
      </c>
    </row>
    <row r="50" spans="1:11" x14ac:dyDescent="0.3">
      <c r="A50">
        <v>14</v>
      </c>
      <c r="B50" t="s">
        <v>30</v>
      </c>
      <c r="C50">
        <v>7</v>
      </c>
      <c r="D50" t="s">
        <v>12</v>
      </c>
      <c r="E50" t="s">
        <v>11</v>
      </c>
      <c r="F50">
        <v>16</v>
      </c>
      <c r="G50">
        <v>13.48</v>
      </c>
      <c r="H50">
        <v>-32.799999999999997</v>
      </c>
      <c r="I50">
        <v>-4.2963750000000003</v>
      </c>
      <c r="J50">
        <v>-2.0459369999999999</v>
      </c>
      <c r="K50">
        <v>-1.58</v>
      </c>
    </row>
    <row r="51" spans="1:11" x14ac:dyDescent="0.3">
      <c r="A51">
        <v>89</v>
      </c>
      <c r="B51" t="s">
        <v>30</v>
      </c>
      <c r="C51">
        <v>7</v>
      </c>
      <c r="D51" t="s">
        <v>12</v>
      </c>
      <c r="E51" t="s">
        <v>11</v>
      </c>
      <c r="F51">
        <v>16</v>
      </c>
      <c r="G51">
        <v>13.32</v>
      </c>
      <c r="H51">
        <v>-32.840000000000003</v>
      </c>
      <c r="I51">
        <v>-4.5130119999999998</v>
      </c>
      <c r="J51">
        <v>-2.5925669999999998</v>
      </c>
      <c r="K51">
        <v>0.32</v>
      </c>
    </row>
    <row r="52" spans="1:11" x14ac:dyDescent="0.3">
      <c r="A52">
        <v>65</v>
      </c>
      <c r="B52" t="s">
        <v>30</v>
      </c>
      <c r="C52">
        <v>7</v>
      </c>
      <c r="D52" t="s">
        <v>12</v>
      </c>
      <c r="E52" t="s">
        <v>11</v>
      </c>
      <c r="F52">
        <v>16</v>
      </c>
      <c r="G52">
        <v>13.17</v>
      </c>
      <c r="H52">
        <v>-32.950000000000003</v>
      </c>
      <c r="I52">
        <v>-4.8861730000000003</v>
      </c>
      <c r="J52">
        <v>-2.994507</v>
      </c>
      <c r="K52">
        <v>-2.15</v>
      </c>
    </row>
    <row r="53" spans="1:11" x14ac:dyDescent="0.3">
      <c r="A53">
        <v>115</v>
      </c>
      <c r="B53" t="s">
        <v>30</v>
      </c>
      <c r="C53">
        <v>7</v>
      </c>
      <c r="D53" t="s">
        <v>12</v>
      </c>
      <c r="E53" t="s">
        <v>11</v>
      </c>
      <c r="F53">
        <v>16</v>
      </c>
      <c r="G53">
        <v>13.54</v>
      </c>
      <c r="H53">
        <v>-32.96</v>
      </c>
      <c r="I53">
        <v>-4.2063100000000002</v>
      </c>
      <c r="J53">
        <v>-2.471123</v>
      </c>
      <c r="K53">
        <v>2.0299999999999998</v>
      </c>
    </row>
    <row r="54" spans="1:11" x14ac:dyDescent="0.3">
      <c r="A54">
        <v>109</v>
      </c>
      <c r="B54" t="s">
        <v>30</v>
      </c>
      <c r="C54">
        <v>7</v>
      </c>
      <c r="D54" t="s">
        <v>12</v>
      </c>
      <c r="E54" t="s">
        <v>11</v>
      </c>
      <c r="F54">
        <v>16</v>
      </c>
      <c r="G54">
        <v>12.93</v>
      </c>
      <c r="H54">
        <v>-32.97</v>
      </c>
      <c r="I54">
        <v>-4.3654820000000001</v>
      </c>
      <c r="J54">
        <v>-2.4996640000000001</v>
      </c>
      <c r="K54">
        <v>-100</v>
      </c>
    </row>
    <row r="55" spans="1:11" x14ac:dyDescent="0.3">
      <c r="A55">
        <v>118</v>
      </c>
      <c r="B55" t="s">
        <v>30</v>
      </c>
      <c r="C55">
        <v>7</v>
      </c>
      <c r="D55" t="s">
        <v>12</v>
      </c>
      <c r="E55" t="s">
        <v>11</v>
      </c>
      <c r="F55">
        <v>16</v>
      </c>
      <c r="G55">
        <v>12.95</v>
      </c>
      <c r="H55">
        <v>-32.97</v>
      </c>
      <c r="I55">
        <v>-5.6873050000000003</v>
      </c>
      <c r="J55">
        <v>-3.387505</v>
      </c>
      <c r="K55">
        <v>-0.16</v>
      </c>
    </row>
    <row r="56" spans="1:11" x14ac:dyDescent="0.3">
      <c r="A56">
        <v>73</v>
      </c>
      <c r="B56" t="s">
        <v>30</v>
      </c>
      <c r="C56">
        <v>7</v>
      </c>
      <c r="D56" t="s">
        <v>12</v>
      </c>
      <c r="E56" t="s">
        <v>11</v>
      </c>
      <c r="F56">
        <v>16</v>
      </c>
      <c r="G56">
        <v>13.23</v>
      </c>
      <c r="H56">
        <v>-33.01</v>
      </c>
      <c r="I56">
        <v>-4.9105679999999996</v>
      </c>
      <c r="J56">
        <v>-2.8499180000000002</v>
      </c>
      <c r="K56">
        <v>-0.76</v>
      </c>
    </row>
    <row r="57" spans="1:11" x14ac:dyDescent="0.3">
      <c r="A57">
        <v>62</v>
      </c>
      <c r="B57" t="s">
        <v>30</v>
      </c>
      <c r="C57">
        <v>7</v>
      </c>
      <c r="D57" t="s">
        <v>12</v>
      </c>
      <c r="E57" t="s">
        <v>11</v>
      </c>
      <c r="F57">
        <v>16</v>
      </c>
      <c r="G57">
        <v>12.54</v>
      </c>
      <c r="H57">
        <v>-33.090000000000003</v>
      </c>
      <c r="I57">
        <v>-6.2260629999999999</v>
      </c>
      <c r="J57">
        <v>-3.9183810000000001</v>
      </c>
      <c r="K57">
        <v>-3.46</v>
      </c>
    </row>
    <row r="58" spans="1:11" x14ac:dyDescent="0.3">
      <c r="A58">
        <v>18</v>
      </c>
      <c r="B58" t="s">
        <v>30</v>
      </c>
      <c r="C58">
        <v>7</v>
      </c>
      <c r="D58" t="s">
        <v>12</v>
      </c>
      <c r="E58" t="s">
        <v>11</v>
      </c>
      <c r="F58">
        <v>16</v>
      </c>
      <c r="G58">
        <v>13.54</v>
      </c>
      <c r="H58">
        <v>-33.11</v>
      </c>
      <c r="I58">
        <v>-5.1808699999999996</v>
      </c>
      <c r="J58">
        <v>-3.152466</v>
      </c>
      <c r="K58">
        <v>0</v>
      </c>
    </row>
    <row r="59" spans="1:11" x14ac:dyDescent="0.3">
      <c r="A59">
        <v>22</v>
      </c>
      <c r="B59" t="s">
        <v>30</v>
      </c>
      <c r="C59">
        <v>7</v>
      </c>
      <c r="D59" t="s">
        <v>12</v>
      </c>
      <c r="E59" t="s">
        <v>11</v>
      </c>
      <c r="F59">
        <v>16</v>
      </c>
      <c r="G59">
        <v>12.85</v>
      </c>
      <c r="H59">
        <v>-33.119999999999997</v>
      </c>
      <c r="I59">
        <v>-4.9793849999999997</v>
      </c>
      <c r="J59">
        <v>-3.01844</v>
      </c>
      <c r="K59">
        <v>-2.25</v>
      </c>
    </row>
    <row r="60" spans="1:11" x14ac:dyDescent="0.3">
      <c r="A60">
        <v>81</v>
      </c>
      <c r="B60" t="s">
        <v>30</v>
      </c>
      <c r="C60">
        <v>7</v>
      </c>
      <c r="D60" t="s">
        <v>12</v>
      </c>
      <c r="E60" t="s">
        <v>11</v>
      </c>
      <c r="F60">
        <v>16</v>
      </c>
      <c r="G60">
        <v>13.36</v>
      </c>
      <c r="H60">
        <v>-33.119999999999997</v>
      </c>
      <c r="I60">
        <v>-5.6427149999999999</v>
      </c>
      <c r="J60">
        <v>-3.628708</v>
      </c>
      <c r="K60">
        <v>-0.98</v>
      </c>
    </row>
    <row r="61" spans="1:11" x14ac:dyDescent="0.3">
      <c r="A61">
        <v>102</v>
      </c>
      <c r="B61" t="s">
        <v>30</v>
      </c>
      <c r="C61">
        <v>7</v>
      </c>
      <c r="D61" t="s">
        <v>12</v>
      </c>
      <c r="E61" t="s">
        <v>11</v>
      </c>
      <c r="F61">
        <v>16</v>
      </c>
      <c r="G61">
        <v>13.64</v>
      </c>
      <c r="H61">
        <v>-33.119999999999997</v>
      </c>
      <c r="I61">
        <v>-6.7648429999999999</v>
      </c>
      <c r="J61">
        <v>-4.4980390000000003</v>
      </c>
      <c r="K61">
        <v>-0.77</v>
      </c>
    </row>
    <row r="62" spans="1:11" x14ac:dyDescent="0.3">
      <c r="A62">
        <v>6</v>
      </c>
      <c r="B62" t="s">
        <v>30</v>
      </c>
      <c r="C62">
        <v>7</v>
      </c>
      <c r="D62" t="s">
        <v>12</v>
      </c>
      <c r="E62" t="s">
        <v>11</v>
      </c>
      <c r="F62">
        <v>16</v>
      </c>
      <c r="G62">
        <v>13.43</v>
      </c>
      <c r="H62">
        <v>-33.15</v>
      </c>
      <c r="I62">
        <v>-4.8732379999999997</v>
      </c>
      <c r="J62">
        <v>-3.0061650000000002</v>
      </c>
      <c r="K62">
        <v>-1.63</v>
      </c>
    </row>
    <row r="63" spans="1:11" x14ac:dyDescent="0.3">
      <c r="A63">
        <v>42</v>
      </c>
      <c r="B63" t="s">
        <v>30</v>
      </c>
      <c r="C63">
        <v>7</v>
      </c>
      <c r="D63" t="s">
        <v>12</v>
      </c>
      <c r="E63" t="s">
        <v>11</v>
      </c>
      <c r="F63">
        <v>16</v>
      </c>
      <c r="G63">
        <v>13.32</v>
      </c>
      <c r="H63">
        <v>-33.15</v>
      </c>
      <c r="I63">
        <v>-4.8604810000000001</v>
      </c>
      <c r="J63">
        <v>-2.8754960000000001</v>
      </c>
      <c r="K63">
        <v>0.42</v>
      </c>
    </row>
    <row r="64" spans="1:11" x14ac:dyDescent="0.3">
      <c r="A64">
        <v>9</v>
      </c>
      <c r="B64" t="s">
        <v>30</v>
      </c>
      <c r="C64">
        <v>7</v>
      </c>
      <c r="D64" t="s">
        <v>12</v>
      </c>
      <c r="E64" t="s">
        <v>11</v>
      </c>
      <c r="F64">
        <v>16</v>
      </c>
      <c r="G64">
        <v>13.47</v>
      </c>
      <c r="H64">
        <v>-33.19</v>
      </c>
      <c r="I64">
        <v>-4.5811200000000003</v>
      </c>
      <c r="J64">
        <v>-2.8933939999999998</v>
      </c>
      <c r="K64">
        <v>-0.66</v>
      </c>
    </row>
    <row r="65" spans="1:20" x14ac:dyDescent="0.3">
      <c r="A65">
        <v>20</v>
      </c>
      <c r="B65" t="s">
        <v>30</v>
      </c>
      <c r="C65">
        <v>7</v>
      </c>
      <c r="D65" t="s">
        <v>12</v>
      </c>
      <c r="E65" t="s">
        <v>11</v>
      </c>
      <c r="F65">
        <v>16</v>
      </c>
      <c r="G65">
        <v>13.22</v>
      </c>
      <c r="H65">
        <v>-33.19</v>
      </c>
      <c r="I65">
        <v>-3.7341799999999998</v>
      </c>
      <c r="J65">
        <v>-1.9415819999999999</v>
      </c>
      <c r="K65">
        <v>-0.88</v>
      </c>
    </row>
    <row r="66" spans="1:20" x14ac:dyDescent="0.3">
      <c r="A66">
        <v>58</v>
      </c>
      <c r="B66" t="s">
        <v>30</v>
      </c>
      <c r="C66">
        <v>7</v>
      </c>
      <c r="D66" t="s">
        <v>12</v>
      </c>
      <c r="E66" t="s">
        <v>11</v>
      </c>
      <c r="F66">
        <v>16</v>
      </c>
      <c r="G66">
        <v>13.07</v>
      </c>
      <c r="H66">
        <v>-33.22</v>
      </c>
      <c r="I66">
        <v>-5.263058</v>
      </c>
      <c r="J66">
        <v>-2.9900090000000001</v>
      </c>
      <c r="K66">
        <v>1.61</v>
      </c>
    </row>
    <row r="67" spans="1:20" x14ac:dyDescent="0.3">
      <c r="A67">
        <v>2</v>
      </c>
      <c r="B67" t="s">
        <v>30</v>
      </c>
      <c r="C67">
        <v>7</v>
      </c>
      <c r="D67" t="s">
        <v>12</v>
      </c>
      <c r="E67" t="s">
        <v>11</v>
      </c>
      <c r="F67">
        <v>16</v>
      </c>
      <c r="G67">
        <v>13.06</v>
      </c>
      <c r="H67">
        <v>-33.24</v>
      </c>
      <c r="I67">
        <v>-5.6506920000000003</v>
      </c>
      <c r="J67">
        <v>-3.5470199999999998</v>
      </c>
      <c r="K67">
        <v>-0.87</v>
      </c>
      <c r="N67">
        <f>AVERAGE(H66:H577)</f>
        <v>-34.401034482758625</v>
      </c>
      <c r="O67">
        <f>STDEV(H66:H577)</f>
        <v>0.83053288675588355</v>
      </c>
      <c r="P67">
        <f>ROUND(N67 + 2, 1)</f>
        <v>-32.4</v>
      </c>
      <c r="Q67">
        <f>ROUND(N67 -2, 1)</f>
        <v>-36.4</v>
      </c>
      <c r="R67">
        <f>(P67-N67)/(3*O67)</f>
        <v>0.80311268209771514</v>
      </c>
      <c r="S67">
        <f>(N67-Q67)/(3*O67)</f>
        <v>0.80228230538004952</v>
      </c>
      <c r="T67">
        <f>MIN(R67,S67)</f>
        <v>0.80228230538004952</v>
      </c>
    </row>
    <row r="68" spans="1:20" x14ac:dyDescent="0.3">
      <c r="A68">
        <v>48</v>
      </c>
      <c r="B68" t="s">
        <v>30</v>
      </c>
      <c r="C68">
        <v>7</v>
      </c>
      <c r="D68" t="s">
        <v>12</v>
      </c>
      <c r="E68" t="s">
        <v>11</v>
      </c>
      <c r="F68">
        <v>16</v>
      </c>
      <c r="G68">
        <v>13.5</v>
      </c>
      <c r="H68">
        <v>-33.24</v>
      </c>
      <c r="I68">
        <v>-5.2195090000000004</v>
      </c>
      <c r="J68">
        <v>-3.2401119999999999</v>
      </c>
      <c r="K68">
        <v>7.77</v>
      </c>
    </row>
    <row r="69" spans="1:20" x14ac:dyDescent="0.3">
      <c r="A69">
        <v>57</v>
      </c>
      <c r="B69" t="s">
        <v>30</v>
      </c>
      <c r="C69">
        <v>7</v>
      </c>
      <c r="D69" t="s">
        <v>12</v>
      </c>
      <c r="E69" t="s">
        <v>11</v>
      </c>
      <c r="F69">
        <v>16</v>
      </c>
      <c r="G69">
        <v>13.23</v>
      </c>
      <c r="H69">
        <v>-33.29</v>
      </c>
      <c r="I69">
        <v>-5.395092</v>
      </c>
      <c r="J69">
        <v>-3.1604420000000002</v>
      </c>
      <c r="K69">
        <v>-1.67</v>
      </c>
    </row>
    <row r="70" spans="1:20" x14ac:dyDescent="0.3">
      <c r="A70">
        <v>105</v>
      </c>
      <c r="B70" t="s">
        <v>30</v>
      </c>
      <c r="C70">
        <v>7</v>
      </c>
      <c r="D70" t="s">
        <v>12</v>
      </c>
      <c r="E70" t="s">
        <v>11</v>
      </c>
      <c r="F70">
        <v>16</v>
      </c>
      <c r="G70">
        <v>12.97</v>
      </c>
      <c r="H70">
        <v>-33.299999999999997</v>
      </c>
      <c r="I70">
        <v>-4.7639050000000003</v>
      </c>
      <c r="J70">
        <v>-2.7577590000000001</v>
      </c>
      <c r="K70">
        <v>-1.23</v>
      </c>
    </row>
    <row r="71" spans="1:20" x14ac:dyDescent="0.3">
      <c r="A71">
        <v>33</v>
      </c>
      <c r="B71" t="s">
        <v>30</v>
      </c>
      <c r="C71">
        <v>7</v>
      </c>
      <c r="D71" t="s">
        <v>12</v>
      </c>
      <c r="E71" t="s">
        <v>11</v>
      </c>
      <c r="F71">
        <v>16</v>
      </c>
      <c r="G71">
        <v>12.73</v>
      </c>
      <c r="H71">
        <v>-33.31</v>
      </c>
      <c r="I71">
        <v>-7.6450810000000002</v>
      </c>
      <c r="J71">
        <v>-5.4976919999999998</v>
      </c>
      <c r="K71">
        <v>1.9</v>
      </c>
    </row>
    <row r="72" spans="1:20" x14ac:dyDescent="0.3">
      <c r="A72">
        <v>94</v>
      </c>
      <c r="B72" t="s">
        <v>30</v>
      </c>
      <c r="C72">
        <v>7</v>
      </c>
      <c r="D72" t="s">
        <v>12</v>
      </c>
      <c r="E72" t="s">
        <v>11</v>
      </c>
      <c r="F72">
        <v>16</v>
      </c>
      <c r="G72">
        <v>14.03</v>
      </c>
      <c r="H72">
        <v>-33.369999999999997</v>
      </c>
      <c r="I72">
        <v>-5.3515889999999997</v>
      </c>
      <c r="J72">
        <v>-3.439041</v>
      </c>
      <c r="K72">
        <v>0.12</v>
      </c>
    </row>
    <row r="73" spans="1:20" x14ac:dyDescent="0.3">
      <c r="A73">
        <v>114</v>
      </c>
      <c r="B73" t="s">
        <v>30</v>
      </c>
      <c r="C73">
        <v>7</v>
      </c>
      <c r="D73" t="s">
        <v>12</v>
      </c>
      <c r="E73" t="s">
        <v>11</v>
      </c>
      <c r="F73">
        <v>16</v>
      </c>
      <c r="G73">
        <v>13.07</v>
      </c>
      <c r="H73">
        <v>-33.409999999999997</v>
      </c>
      <c r="I73">
        <v>-5.6605569999999998</v>
      </c>
      <c r="J73">
        <v>-3.544025</v>
      </c>
      <c r="K73">
        <v>1.94</v>
      </c>
    </row>
    <row r="74" spans="1:20" x14ac:dyDescent="0.3">
      <c r="A74">
        <v>64</v>
      </c>
      <c r="B74" t="s">
        <v>30</v>
      </c>
      <c r="C74">
        <v>7</v>
      </c>
      <c r="D74" t="s">
        <v>12</v>
      </c>
      <c r="E74" t="s">
        <v>11</v>
      </c>
      <c r="F74">
        <v>16</v>
      </c>
      <c r="G74">
        <v>12.94</v>
      </c>
      <c r="H74">
        <v>-33.479999999999997</v>
      </c>
      <c r="I74">
        <v>-6.2015459999999996</v>
      </c>
      <c r="J74">
        <v>-4.0497889999999996</v>
      </c>
      <c r="K74">
        <v>-1.1100000000000001</v>
      </c>
    </row>
    <row r="75" spans="1:20" x14ac:dyDescent="0.3">
      <c r="A75">
        <v>90</v>
      </c>
      <c r="B75" t="s">
        <v>30</v>
      </c>
      <c r="C75">
        <v>7</v>
      </c>
      <c r="D75" t="s">
        <v>12</v>
      </c>
      <c r="E75" t="s">
        <v>11</v>
      </c>
      <c r="F75">
        <v>16</v>
      </c>
      <c r="G75">
        <v>13.06</v>
      </c>
      <c r="H75">
        <v>-33.54</v>
      </c>
      <c r="I75">
        <v>-5.7514950000000002</v>
      </c>
      <c r="J75">
        <v>-3.8331680000000001</v>
      </c>
      <c r="K75">
        <v>-0.92</v>
      </c>
    </row>
    <row r="76" spans="1:20" x14ac:dyDescent="0.3">
      <c r="A76">
        <v>111</v>
      </c>
      <c r="B76" t="s">
        <v>30</v>
      </c>
      <c r="C76">
        <v>7</v>
      </c>
      <c r="D76" t="s">
        <v>12</v>
      </c>
      <c r="E76" t="s">
        <v>11</v>
      </c>
      <c r="F76">
        <v>16</v>
      </c>
      <c r="G76">
        <v>13.19</v>
      </c>
      <c r="H76">
        <v>-33.56</v>
      </c>
      <c r="I76">
        <v>-6.456779</v>
      </c>
      <c r="J76">
        <v>-4.5235599999999998</v>
      </c>
      <c r="K76">
        <v>2.11</v>
      </c>
    </row>
    <row r="77" spans="1:20" x14ac:dyDescent="0.3">
      <c r="A77">
        <v>7</v>
      </c>
      <c r="B77" t="s">
        <v>30</v>
      </c>
      <c r="C77">
        <v>7</v>
      </c>
      <c r="D77" t="s">
        <v>12</v>
      </c>
      <c r="E77" t="s">
        <v>11</v>
      </c>
      <c r="F77">
        <v>16</v>
      </c>
      <c r="G77">
        <v>14.08</v>
      </c>
      <c r="H77">
        <v>-33.57</v>
      </c>
      <c r="I77">
        <v>-5.9346500000000004</v>
      </c>
      <c r="J77">
        <v>-4.169746</v>
      </c>
      <c r="K77">
        <v>-0.37</v>
      </c>
    </row>
    <row r="78" spans="1:20" x14ac:dyDescent="0.3">
      <c r="A78">
        <v>15</v>
      </c>
      <c r="B78" t="s">
        <v>30</v>
      </c>
      <c r="C78">
        <v>7</v>
      </c>
      <c r="D78" t="s">
        <v>12</v>
      </c>
      <c r="E78" t="s">
        <v>11</v>
      </c>
      <c r="F78">
        <v>16</v>
      </c>
      <c r="G78">
        <v>13.42</v>
      </c>
      <c r="H78">
        <v>-33.67</v>
      </c>
      <c r="I78" t="s">
        <v>31</v>
      </c>
      <c r="J78" t="s">
        <v>31</v>
      </c>
      <c r="K78">
        <v>-100</v>
      </c>
    </row>
    <row r="79" spans="1:20" x14ac:dyDescent="0.3">
      <c r="A79">
        <v>98</v>
      </c>
      <c r="B79" t="s">
        <v>30</v>
      </c>
      <c r="C79">
        <v>7</v>
      </c>
      <c r="D79" t="s">
        <v>12</v>
      </c>
      <c r="E79" t="s">
        <v>11</v>
      </c>
      <c r="F79">
        <v>16</v>
      </c>
      <c r="G79">
        <v>12.72</v>
      </c>
      <c r="H79">
        <v>-33.72</v>
      </c>
      <c r="I79">
        <v>-6.120152</v>
      </c>
      <c r="J79">
        <v>-3.9671400000000001</v>
      </c>
      <c r="K79">
        <v>-0.32</v>
      </c>
    </row>
    <row r="80" spans="1:20" x14ac:dyDescent="0.3">
      <c r="A80">
        <v>21</v>
      </c>
      <c r="B80" t="s">
        <v>30</v>
      </c>
      <c r="C80">
        <v>7</v>
      </c>
      <c r="D80" t="s">
        <v>12</v>
      </c>
      <c r="E80" t="s">
        <v>11</v>
      </c>
      <c r="F80">
        <v>16</v>
      </c>
      <c r="G80">
        <v>13.61</v>
      </c>
      <c r="H80">
        <v>-33.729999999999997</v>
      </c>
      <c r="I80">
        <v>-4.7964779999999996</v>
      </c>
      <c r="J80">
        <v>-2.727417</v>
      </c>
      <c r="K80">
        <v>-0.84</v>
      </c>
    </row>
    <row r="81" spans="1:11" x14ac:dyDescent="0.3">
      <c r="A81">
        <v>96</v>
      </c>
      <c r="B81" t="s">
        <v>30</v>
      </c>
      <c r="C81">
        <v>7</v>
      </c>
      <c r="D81" t="s">
        <v>12</v>
      </c>
      <c r="E81" t="s">
        <v>11</v>
      </c>
      <c r="F81">
        <v>16</v>
      </c>
      <c r="G81">
        <v>13.72</v>
      </c>
      <c r="H81">
        <v>-33.79</v>
      </c>
      <c r="I81">
        <v>-5.6017229999999998</v>
      </c>
      <c r="J81">
        <v>-3.833755</v>
      </c>
      <c r="K81">
        <v>0.66</v>
      </c>
    </row>
    <row r="82" spans="1:11" x14ac:dyDescent="0.3">
      <c r="A82">
        <v>23</v>
      </c>
      <c r="B82" t="s">
        <v>30</v>
      </c>
      <c r="C82">
        <v>7</v>
      </c>
      <c r="D82" t="s">
        <v>12</v>
      </c>
      <c r="E82" t="s">
        <v>11</v>
      </c>
      <c r="F82">
        <v>16</v>
      </c>
      <c r="G82">
        <v>13.65</v>
      </c>
      <c r="H82">
        <v>-33.82</v>
      </c>
      <c r="I82">
        <v>-5.7282979999999997</v>
      </c>
      <c r="J82">
        <v>-3.661934</v>
      </c>
      <c r="K82">
        <v>0.31</v>
      </c>
    </row>
    <row r="83" spans="1:11" x14ac:dyDescent="0.3">
      <c r="A83">
        <v>66</v>
      </c>
      <c r="B83" t="s">
        <v>30</v>
      </c>
      <c r="C83">
        <v>7</v>
      </c>
      <c r="D83" t="s">
        <v>12</v>
      </c>
      <c r="E83" t="s">
        <v>11</v>
      </c>
      <c r="F83">
        <v>16</v>
      </c>
      <c r="G83">
        <v>13.03</v>
      </c>
      <c r="H83">
        <v>-33.909999999999997</v>
      </c>
      <c r="I83">
        <v>-6.2184100000000004</v>
      </c>
      <c r="J83">
        <v>-4.388382</v>
      </c>
      <c r="K83">
        <v>2.4500000000000002</v>
      </c>
    </row>
    <row r="84" spans="1:11" x14ac:dyDescent="0.3">
      <c r="A84">
        <v>93</v>
      </c>
      <c r="B84" t="s">
        <v>30</v>
      </c>
      <c r="C84">
        <v>7</v>
      </c>
      <c r="D84" t="s">
        <v>12</v>
      </c>
      <c r="E84" t="s">
        <v>11</v>
      </c>
      <c r="F84">
        <v>16</v>
      </c>
      <c r="G84">
        <v>13.05</v>
      </c>
      <c r="H84">
        <v>-33.93</v>
      </c>
      <c r="I84">
        <v>-5.6039810000000001</v>
      </c>
      <c r="J84">
        <v>-3.3056679999999998</v>
      </c>
      <c r="K84">
        <v>-2.2999999999999998</v>
      </c>
    </row>
    <row r="85" spans="1:11" x14ac:dyDescent="0.3">
      <c r="A85">
        <v>13</v>
      </c>
      <c r="B85" t="s">
        <v>30</v>
      </c>
      <c r="C85">
        <v>7</v>
      </c>
      <c r="D85" t="s">
        <v>12</v>
      </c>
      <c r="E85" t="s">
        <v>11</v>
      </c>
      <c r="F85">
        <v>16</v>
      </c>
      <c r="G85">
        <v>13.35</v>
      </c>
      <c r="H85">
        <v>-33.94</v>
      </c>
      <c r="I85">
        <v>-6.3256490000000003</v>
      </c>
      <c r="J85">
        <v>-4.0436209999999999</v>
      </c>
      <c r="K85">
        <v>-1.49</v>
      </c>
    </row>
    <row r="86" spans="1:11" x14ac:dyDescent="0.3">
      <c r="A86">
        <v>113</v>
      </c>
      <c r="B86" t="s">
        <v>30</v>
      </c>
      <c r="C86">
        <v>7</v>
      </c>
      <c r="D86" t="s">
        <v>12</v>
      </c>
      <c r="E86" t="s">
        <v>11</v>
      </c>
      <c r="F86">
        <v>16</v>
      </c>
      <c r="G86">
        <v>13.39</v>
      </c>
      <c r="H86">
        <v>-33.97</v>
      </c>
      <c r="I86">
        <v>-5.3933410000000004</v>
      </c>
      <c r="J86">
        <v>-3.4707680000000001</v>
      </c>
      <c r="K86">
        <v>-0.97</v>
      </c>
    </row>
    <row r="87" spans="1:11" x14ac:dyDescent="0.3">
      <c r="A87">
        <v>47</v>
      </c>
      <c r="B87" t="s">
        <v>30</v>
      </c>
      <c r="C87">
        <v>7</v>
      </c>
      <c r="D87" t="s">
        <v>12</v>
      </c>
      <c r="E87" t="s">
        <v>11</v>
      </c>
      <c r="F87">
        <v>16</v>
      </c>
      <c r="G87">
        <v>13.08</v>
      </c>
      <c r="H87">
        <v>-33.99</v>
      </c>
      <c r="I87">
        <v>-6.8256069999999998</v>
      </c>
      <c r="J87">
        <v>-4.7475509999999996</v>
      </c>
      <c r="K87">
        <v>-0.66</v>
      </c>
    </row>
    <row r="88" spans="1:11" x14ac:dyDescent="0.3">
      <c r="A88">
        <v>95</v>
      </c>
      <c r="B88" t="s">
        <v>30</v>
      </c>
      <c r="C88">
        <v>7</v>
      </c>
      <c r="D88" t="s">
        <v>12</v>
      </c>
      <c r="E88" t="s">
        <v>11</v>
      </c>
      <c r="F88">
        <v>16</v>
      </c>
      <c r="G88">
        <v>13.81</v>
      </c>
      <c r="H88">
        <v>-34.020000000000003</v>
      </c>
      <c r="I88">
        <v>-4.6497760000000001</v>
      </c>
      <c r="J88">
        <v>-2.8938670000000002</v>
      </c>
      <c r="K88">
        <v>0.31</v>
      </c>
    </row>
    <row r="89" spans="1:11" x14ac:dyDescent="0.3">
      <c r="A89">
        <v>12</v>
      </c>
      <c r="B89" t="s">
        <v>30</v>
      </c>
      <c r="C89">
        <v>7</v>
      </c>
      <c r="D89" t="s">
        <v>12</v>
      </c>
      <c r="E89" t="s">
        <v>11</v>
      </c>
      <c r="F89">
        <v>16</v>
      </c>
      <c r="G89">
        <v>13.7</v>
      </c>
      <c r="H89">
        <v>-34.04</v>
      </c>
      <c r="I89">
        <v>-5.3012699999999997</v>
      </c>
      <c r="J89">
        <v>-3.2678950000000002</v>
      </c>
      <c r="K89">
        <v>-0.04</v>
      </c>
    </row>
    <row r="90" spans="1:11" x14ac:dyDescent="0.3">
      <c r="A90">
        <v>63</v>
      </c>
      <c r="B90" t="s">
        <v>30</v>
      </c>
      <c r="C90">
        <v>7</v>
      </c>
      <c r="D90" t="s">
        <v>12</v>
      </c>
      <c r="E90" t="s">
        <v>11</v>
      </c>
      <c r="F90">
        <v>16</v>
      </c>
      <c r="G90">
        <v>13.42</v>
      </c>
      <c r="H90">
        <v>-34.049999999999997</v>
      </c>
      <c r="I90">
        <v>-6.0649379999999997</v>
      </c>
      <c r="J90">
        <v>-4.2779769999999999</v>
      </c>
      <c r="K90">
        <v>-0.41</v>
      </c>
    </row>
    <row r="91" spans="1:11" x14ac:dyDescent="0.3">
      <c r="A91">
        <v>28</v>
      </c>
      <c r="B91" t="s">
        <v>30</v>
      </c>
      <c r="C91">
        <v>7</v>
      </c>
      <c r="D91" t="s">
        <v>12</v>
      </c>
      <c r="E91" t="s">
        <v>11</v>
      </c>
      <c r="F91">
        <v>16</v>
      </c>
      <c r="G91">
        <v>12.7</v>
      </c>
      <c r="H91">
        <v>-34.08</v>
      </c>
      <c r="I91">
        <v>-6.0325160000000002</v>
      </c>
      <c r="J91">
        <v>-4.1699640000000002</v>
      </c>
      <c r="K91">
        <v>-1.78</v>
      </c>
    </row>
    <row r="92" spans="1:11" x14ac:dyDescent="0.3">
      <c r="A92">
        <v>46</v>
      </c>
      <c r="B92" t="s">
        <v>30</v>
      </c>
      <c r="C92">
        <v>7</v>
      </c>
      <c r="D92" t="s">
        <v>12</v>
      </c>
      <c r="E92" t="s">
        <v>11</v>
      </c>
      <c r="F92">
        <v>16</v>
      </c>
      <c r="G92">
        <v>13.26</v>
      </c>
      <c r="H92">
        <v>-34.1</v>
      </c>
      <c r="I92">
        <v>-4.5961230000000004</v>
      </c>
      <c r="J92">
        <v>-2.8542480000000001</v>
      </c>
      <c r="K92">
        <v>-1.65</v>
      </c>
    </row>
    <row r="93" spans="1:11" x14ac:dyDescent="0.3">
      <c r="A93">
        <v>53</v>
      </c>
      <c r="B93" t="s">
        <v>30</v>
      </c>
      <c r="C93">
        <v>7</v>
      </c>
      <c r="D93" t="s">
        <v>12</v>
      </c>
      <c r="E93" t="s">
        <v>11</v>
      </c>
      <c r="F93">
        <v>16</v>
      </c>
      <c r="G93">
        <v>12.76</v>
      </c>
      <c r="H93">
        <v>-34.130000000000003</v>
      </c>
      <c r="I93">
        <v>-6.2453349999999999</v>
      </c>
      <c r="J93">
        <v>-4.2220880000000003</v>
      </c>
      <c r="K93">
        <v>5.0599999999999996</v>
      </c>
    </row>
    <row r="94" spans="1:11" x14ac:dyDescent="0.3">
      <c r="A94">
        <v>11</v>
      </c>
      <c r="B94" t="s">
        <v>30</v>
      </c>
      <c r="C94">
        <v>7</v>
      </c>
      <c r="D94" t="s">
        <v>12</v>
      </c>
      <c r="E94" t="s">
        <v>11</v>
      </c>
      <c r="F94">
        <v>16</v>
      </c>
      <c r="G94">
        <v>13.61</v>
      </c>
      <c r="H94">
        <v>-34.17</v>
      </c>
      <c r="I94">
        <v>-5.6886789999999996</v>
      </c>
      <c r="J94">
        <v>-3.6518139999999999</v>
      </c>
      <c r="K94">
        <v>-0.18</v>
      </c>
    </row>
    <row r="95" spans="1:11" x14ac:dyDescent="0.3">
      <c r="A95">
        <v>25</v>
      </c>
      <c r="B95" t="s">
        <v>30</v>
      </c>
      <c r="C95">
        <v>7</v>
      </c>
      <c r="D95" t="s">
        <v>12</v>
      </c>
      <c r="E95" t="s">
        <v>11</v>
      </c>
      <c r="F95">
        <v>16</v>
      </c>
      <c r="G95">
        <v>13.32</v>
      </c>
      <c r="H95">
        <v>-34.18</v>
      </c>
      <c r="I95">
        <v>-7.5602679999999998</v>
      </c>
      <c r="J95">
        <v>-5.9034310000000003</v>
      </c>
      <c r="K95">
        <v>-1.56</v>
      </c>
    </row>
    <row r="96" spans="1:11" x14ac:dyDescent="0.3">
      <c r="A96">
        <v>37</v>
      </c>
      <c r="B96" t="s">
        <v>30</v>
      </c>
      <c r="C96">
        <v>7</v>
      </c>
      <c r="D96" t="s">
        <v>12</v>
      </c>
      <c r="E96" t="s">
        <v>11</v>
      </c>
      <c r="F96">
        <v>16</v>
      </c>
      <c r="G96">
        <v>13.44</v>
      </c>
      <c r="H96">
        <v>-34.25</v>
      </c>
      <c r="I96">
        <v>-5.9171259999999997</v>
      </c>
      <c r="J96">
        <v>-3.5643419999999999</v>
      </c>
      <c r="K96">
        <v>-0.89</v>
      </c>
    </row>
    <row r="97" spans="1:13" x14ac:dyDescent="0.3">
      <c r="A97">
        <v>41</v>
      </c>
      <c r="B97" t="s">
        <v>30</v>
      </c>
      <c r="C97">
        <v>7</v>
      </c>
      <c r="D97" t="s">
        <v>12</v>
      </c>
      <c r="E97" t="s">
        <v>11</v>
      </c>
      <c r="F97">
        <v>16</v>
      </c>
      <c r="G97">
        <v>13.18</v>
      </c>
      <c r="H97">
        <v>-34.380000000000003</v>
      </c>
      <c r="I97">
        <v>-6.7391399999999999</v>
      </c>
      <c r="J97">
        <v>-4.9956469999999999</v>
      </c>
      <c r="K97">
        <v>-3.28</v>
      </c>
    </row>
    <row r="98" spans="1:13" x14ac:dyDescent="0.3">
      <c r="A98">
        <v>56</v>
      </c>
      <c r="B98" t="s">
        <v>30</v>
      </c>
      <c r="C98">
        <v>7</v>
      </c>
      <c r="D98" t="s">
        <v>12</v>
      </c>
      <c r="E98" t="s">
        <v>11</v>
      </c>
      <c r="F98">
        <v>16</v>
      </c>
      <c r="G98">
        <v>12.67</v>
      </c>
      <c r="H98">
        <v>-34.409999999999997</v>
      </c>
      <c r="I98">
        <v>-6.7959440000000004</v>
      </c>
      <c r="J98">
        <v>-4.8199880000000004</v>
      </c>
      <c r="K98">
        <v>-3.94</v>
      </c>
    </row>
    <row r="99" spans="1:13" x14ac:dyDescent="0.3">
      <c r="A99">
        <v>40</v>
      </c>
      <c r="B99" t="s">
        <v>30</v>
      </c>
      <c r="C99">
        <v>7</v>
      </c>
      <c r="D99" t="s">
        <v>12</v>
      </c>
      <c r="E99" t="s">
        <v>11</v>
      </c>
      <c r="F99">
        <v>16</v>
      </c>
      <c r="G99">
        <v>13.66</v>
      </c>
      <c r="H99">
        <v>-34.42</v>
      </c>
      <c r="I99">
        <v>-6.6934969999999998</v>
      </c>
      <c r="J99">
        <v>-4.885605</v>
      </c>
      <c r="K99">
        <v>-2.82</v>
      </c>
    </row>
    <row r="100" spans="1:13" x14ac:dyDescent="0.3">
      <c r="A100">
        <v>55</v>
      </c>
      <c r="B100" t="s">
        <v>30</v>
      </c>
      <c r="C100">
        <v>7</v>
      </c>
      <c r="D100" t="s">
        <v>12</v>
      </c>
      <c r="E100" t="s">
        <v>11</v>
      </c>
      <c r="F100">
        <v>16</v>
      </c>
      <c r="G100">
        <v>13.4</v>
      </c>
      <c r="H100">
        <v>-34.450000000000003</v>
      </c>
      <c r="I100">
        <v>-6.2979969999999996</v>
      </c>
      <c r="J100">
        <v>-4.2900429999999998</v>
      </c>
      <c r="K100">
        <v>-3.1</v>
      </c>
    </row>
    <row r="101" spans="1:13" x14ac:dyDescent="0.3">
      <c r="A101">
        <v>19</v>
      </c>
      <c r="B101" t="s">
        <v>30</v>
      </c>
      <c r="C101">
        <v>7</v>
      </c>
      <c r="D101" t="s">
        <v>12</v>
      </c>
      <c r="E101" t="s">
        <v>11</v>
      </c>
      <c r="F101">
        <v>16</v>
      </c>
      <c r="G101">
        <v>13.73</v>
      </c>
      <c r="H101">
        <v>-34.58</v>
      </c>
      <c r="I101">
        <v>-6.1977159999999998</v>
      </c>
      <c r="J101">
        <v>-4.1965519999999996</v>
      </c>
      <c r="K101">
        <v>0.78</v>
      </c>
    </row>
    <row r="102" spans="1:13" x14ac:dyDescent="0.3">
      <c r="A102">
        <v>38</v>
      </c>
      <c r="B102" t="s">
        <v>30</v>
      </c>
      <c r="C102">
        <v>7</v>
      </c>
      <c r="D102" t="s">
        <v>12</v>
      </c>
      <c r="E102" t="s">
        <v>11</v>
      </c>
      <c r="F102">
        <v>16</v>
      </c>
      <c r="G102">
        <v>13.4</v>
      </c>
      <c r="H102">
        <v>-34.659999999999997</v>
      </c>
      <c r="I102">
        <v>-5.8036079999999997</v>
      </c>
      <c r="J102">
        <v>-3.8882479999999999</v>
      </c>
      <c r="K102">
        <v>-0.53</v>
      </c>
    </row>
    <row r="103" spans="1:13" x14ac:dyDescent="0.3">
      <c r="A103">
        <v>4</v>
      </c>
      <c r="B103" t="s">
        <v>30</v>
      </c>
      <c r="C103">
        <v>7</v>
      </c>
      <c r="D103" t="s">
        <v>12</v>
      </c>
      <c r="E103" t="s">
        <v>11</v>
      </c>
      <c r="F103">
        <v>16</v>
      </c>
      <c r="G103">
        <v>13.53</v>
      </c>
      <c r="H103">
        <v>-34.76</v>
      </c>
      <c r="I103">
        <v>-7.5013350000000001</v>
      </c>
      <c r="J103">
        <v>-5.3141170000000004</v>
      </c>
      <c r="K103">
        <v>-1.69</v>
      </c>
      <c r="M103" s="4"/>
    </row>
    <row r="104" spans="1:13" x14ac:dyDescent="0.3">
      <c r="A104">
        <v>97</v>
      </c>
      <c r="B104" t="s">
        <v>30</v>
      </c>
      <c r="C104">
        <v>7</v>
      </c>
      <c r="D104" t="s">
        <v>12</v>
      </c>
      <c r="E104" t="s">
        <v>11</v>
      </c>
      <c r="F104">
        <v>16</v>
      </c>
      <c r="G104">
        <v>13.86</v>
      </c>
      <c r="H104">
        <v>-34.85</v>
      </c>
      <c r="I104">
        <v>-6.5552830000000002</v>
      </c>
      <c r="J104">
        <v>-4.995819</v>
      </c>
      <c r="K104">
        <v>0.63</v>
      </c>
    </row>
    <row r="105" spans="1:13" x14ac:dyDescent="0.3">
      <c r="A105">
        <v>54</v>
      </c>
      <c r="B105" t="s">
        <v>30</v>
      </c>
      <c r="C105">
        <v>7</v>
      </c>
      <c r="D105" t="s">
        <v>12</v>
      </c>
      <c r="E105" t="s">
        <v>11</v>
      </c>
      <c r="F105">
        <v>16</v>
      </c>
      <c r="G105">
        <v>13.39</v>
      </c>
      <c r="H105">
        <v>-34.9</v>
      </c>
      <c r="I105">
        <v>-6.8411179999999998</v>
      </c>
      <c r="J105">
        <v>-4.9709279999999998</v>
      </c>
      <c r="K105">
        <v>-3.43</v>
      </c>
    </row>
    <row r="106" spans="1:13" x14ac:dyDescent="0.3">
      <c r="A106">
        <v>31</v>
      </c>
      <c r="B106" t="s">
        <v>30</v>
      </c>
      <c r="C106">
        <v>7</v>
      </c>
      <c r="D106" t="s">
        <v>12</v>
      </c>
      <c r="E106" t="s">
        <v>11</v>
      </c>
      <c r="F106">
        <v>16</v>
      </c>
      <c r="G106">
        <v>13.15</v>
      </c>
      <c r="H106">
        <v>-34.93</v>
      </c>
      <c r="I106">
        <v>-6.9341090000000003</v>
      </c>
      <c r="J106">
        <v>-4.8653829999999996</v>
      </c>
      <c r="K106">
        <v>-0.12</v>
      </c>
    </row>
    <row r="107" spans="1:13" x14ac:dyDescent="0.3">
      <c r="A107">
        <v>35</v>
      </c>
      <c r="B107" t="s">
        <v>30</v>
      </c>
      <c r="C107">
        <v>7</v>
      </c>
      <c r="D107" t="s">
        <v>12</v>
      </c>
      <c r="E107" t="s">
        <v>11</v>
      </c>
      <c r="F107">
        <v>16</v>
      </c>
      <c r="G107">
        <v>13.43</v>
      </c>
      <c r="H107">
        <v>-35.03</v>
      </c>
      <c r="I107" t="s">
        <v>31</v>
      </c>
      <c r="J107" t="s">
        <v>31</v>
      </c>
      <c r="K107">
        <v>-100</v>
      </c>
    </row>
    <row r="108" spans="1:13" x14ac:dyDescent="0.3">
      <c r="A108">
        <v>34</v>
      </c>
      <c r="B108" t="s">
        <v>30</v>
      </c>
      <c r="C108">
        <v>7</v>
      </c>
      <c r="D108" t="s">
        <v>12</v>
      </c>
      <c r="E108" t="s">
        <v>11</v>
      </c>
      <c r="F108">
        <v>16</v>
      </c>
      <c r="G108">
        <v>13.06</v>
      </c>
      <c r="H108">
        <v>-35.08</v>
      </c>
      <c r="I108">
        <v>-6.6674579999999999</v>
      </c>
      <c r="J108">
        <v>-4.6806299999999998</v>
      </c>
      <c r="K108">
        <v>-100</v>
      </c>
    </row>
    <row r="109" spans="1:13" x14ac:dyDescent="0.3">
      <c r="A109">
        <v>101</v>
      </c>
      <c r="B109" t="s">
        <v>30</v>
      </c>
      <c r="C109">
        <v>7</v>
      </c>
      <c r="D109" t="s">
        <v>12</v>
      </c>
      <c r="E109" t="s">
        <v>11</v>
      </c>
      <c r="F109">
        <v>16</v>
      </c>
      <c r="G109">
        <v>13.19</v>
      </c>
      <c r="H109">
        <v>-35.090000000000003</v>
      </c>
      <c r="I109">
        <v>-6.0302509999999998</v>
      </c>
      <c r="J109">
        <v>-4.2597269999999998</v>
      </c>
      <c r="K109">
        <v>-1.93</v>
      </c>
    </row>
    <row r="110" spans="1:13" x14ac:dyDescent="0.3">
      <c r="A110">
        <v>36</v>
      </c>
      <c r="B110" t="s">
        <v>30</v>
      </c>
      <c r="C110">
        <v>7</v>
      </c>
      <c r="D110" t="s">
        <v>12</v>
      </c>
      <c r="E110" t="s">
        <v>11</v>
      </c>
      <c r="F110">
        <v>16</v>
      </c>
      <c r="G110">
        <v>13.31</v>
      </c>
      <c r="H110">
        <v>-35.200000000000003</v>
      </c>
      <c r="I110">
        <v>-6.7947160000000002</v>
      </c>
      <c r="J110">
        <v>-5.0653689999999996</v>
      </c>
      <c r="K110">
        <v>-1.62</v>
      </c>
    </row>
    <row r="111" spans="1:13" x14ac:dyDescent="0.3">
      <c r="A111">
        <v>32</v>
      </c>
      <c r="B111" t="s">
        <v>30</v>
      </c>
      <c r="C111">
        <v>7</v>
      </c>
      <c r="D111" t="s">
        <v>12</v>
      </c>
      <c r="E111" t="s">
        <v>11</v>
      </c>
      <c r="F111">
        <v>16</v>
      </c>
      <c r="G111">
        <v>13.41</v>
      </c>
      <c r="H111">
        <v>-35.24</v>
      </c>
      <c r="I111">
        <v>-5.8417969999999997</v>
      </c>
      <c r="J111">
        <v>-3.9964520000000001</v>
      </c>
      <c r="K111">
        <v>-1.26</v>
      </c>
    </row>
    <row r="112" spans="1:13" x14ac:dyDescent="0.3">
      <c r="A112">
        <v>68</v>
      </c>
      <c r="B112" t="s">
        <v>30</v>
      </c>
      <c r="C112">
        <v>7</v>
      </c>
      <c r="D112" t="s">
        <v>12</v>
      </c>
      <c r="E112" t="s">
        <v>11</v>
      </c>
      <c r="F112">
        <v>16</v>
      </c>
      <c r="G112">
        <v>13.32</v>
      </c>
      <c r="H112">
        <v>-35.28</v>
      </c>
      <c r="I112">
        <v>-6.9347649999999996</v>
      </c>
      <c r="J112">
        <v>-4.8374940000000004</v>
      </c>
      <c r="K112">
        <v>0.06</v>
      </c>
    </row>
    <row r="113" spans="1:20" x14ac:dyDescent="0.3">
      <c r="A113">
        <v>45</v>
      </c>
      <c r="B113" t="s">
        <v>30</v>
      </c>
      <c r="C113">
        <v>7</v>
      </c>
      <c r="D113" t="s">
        <v>12</v>
      </c>
      <c r="E113" t="s">
        <v>11</v>
      </c>
      <c r="F113">
        <v>16</v>
      </c>
      <c r="G113">
        <v>13.12</v>
      </c>
      <c r="H113">
        <v>-35.299999999999997</v>
      </c>
      <c r="I113">
        <v>-6.4468690000000004</v>
      </c>
      <c r="J113">
        <v>-4.2592090000000002</v>
      </c>
      <c r="K113">
        <v>0.8</v>
      </c>
    </row>
    <row r="114" spans="1:20" x14ac:dyDescent="0.3">
      <c r="A114">
        <v>50</v>
      </c>
      <c r="B114" t="s">
        <v>30</v>
      </c>
      <c r="C114">
        <v>7</v>
      </c>
      <c r="D114" t="s">
        <v>12</v>
      </c>
      <c r="E114" t="s">
        <v>11</v>
      </c>
      <c r="F114">
        <v>16</v>
      </c>
      <c r="G114">
        <v>13.19</v>
      </c>
      <c r="H114">
        <v>-35.32</v>
      </c>
      <c r="I114">
        <v>-7.4568859999999999</v>
      </c>
      <c r="J114">
        <v>-5.4751589999999997</v>
      </c>
      <c r="K114">
        <v>-1.3</v>
      </c>
    </row>
    <row r="115" spans="1:20" x14ac:dyDescent="0.3">
      <c r="A115">
        <v>39</v>
      </c>
      <c r="B115" t="s">
        <v>30</v>
      </c>
      <c r="C115">
        <v>7</v>
      </c>
      <c r="D115" t="s">
        <v>12</v>
      </c>
      <c r="E115" t="s">
        <v>11</v>
      </c>
      <c r="F115">
        <v>16</v>
      </c>
      <c r="G115">
        <v>13.34</v>
      </c>
      <c r="H115">
        <v>-35.35</v>
      </c>
      <c r="I115">
        <v>-6.1454620000000002</v>
      </c>
      <c r="J115">
        <v>-4.3466800000000001</v>
      </c>
      <c r="K115">
        <v>-1.53</v>
      </c>
    </row>
    <row r="116" spans="1:20" x14ac:dyDescent="0.3">
      <c r="A116">
        <v>51</v>
      </c>
      <c r="B116" t="s">
        <v>30</v>
      </c>
      <c r="C116">
        <v>7</v>
      </c>
      <c r="D116" t="s">
        <v>12</v>
      </c>
      <c r="E116" t="s">
        <v>11</v>
      </c>
      <c r="F116">
        <v>16</v>
      </c>
      <c r="G116">
        <v>13.05</v>
      </c>
      <c r="H116">
        <v>-35.39</v>
      </c>
      <c r="I116">
        <v>-8.0285259999999994</v>
      </c>
      <c r="J116">
        <v>-6.0108110000000003</v>
      </c>
      <c r="K116">
        <v>-2.68</v>
      </c>
    </row>
    <row r="117" spans="1:20" x14ac:dyDescent="0.3">
      <c r="A117">
        <v>1</v>
      </c>
      <c r="B117" t="s">
        <v>30</v>
      </c>
      <c r="C117">
        <v>7</v>
      </c>
      <c r="D117" t="s">
        <v>12</v>
      </c>
      <c r="E117" t="s">
        <v>11</v>
      </c>
      <c r="F117">
        <v>16</v>
      </c>
      <c r="G117">
        <v>13.38</v>
      </c>
      <c r="H117">
        <v>-35.42</v>
      </c>
      <c r="I117">
        <v>-5.9152149999999999</v>
      </c>
      <c r="J117">
        <v>-3.8127140000000002</v>
      </c>
      <c r="K117">
        <v>-1.48</v>
      </c>
      <c r="N117">
        <f>AVERAGE(G117:G628)</f>
        <v>13.264285714285716</v>
      </c>
      <c r="O117">
        <f>STDEV(G117:G628)</f>
        <v>0.24130597056138395</v>
      </c>
      <c r="P117">
        <f>ROUND(N117 + 2, 1)</f>
        <v>15.3</v>
      </c>
      <c r="Q117">
        <f>ROUND(N117 -2, 1)</f>
        <v>11.3</v>
      </c>
      <c r="R117">
        <f>(P117-N117)/(3*O117)</f>
        <v>2.8120789012918839</v>
      </c>
      <c r="S117">
        <f>(N117-Q117)/(3*O117)</f>
        <v>2.7134094661588377</v>
      </c>
      <c r="T117">
        <f>MIN(R117,S117)</f>
        <v>2.7134094661588377</v>
      </c>
    </row>
    <row r="118" spans="1:20" x14ac:dyDescent="0.3">
      <c r="A118">
        <v>52</v>
      </c>
      <c r="B118" t="s">
        <v>30</v>
      </c>
      <c r="C118">
        <v>7</v>
      </c>
      <c r="D118" t="s">
        <v>12</v>
      </c>
      <c r="E118" t="s">
        <v>11</v>
      </c>
      <c r="F118">
        <v>16</v>
      </c>
      <c r="G118">
        <v>13.22</v>
      </c>
      <c r="H118">
        <v>-35.450000000000003</v>
      </c>
      <c r="I118">
        <v>-6.499619</v>
      </c>
      <c r="J118">
        <v>-4.4467930000000004</v>
      </c>
      <c r="K118">
        <v>-3.07</v>
      </c>
    </row>
    <row r="119" spans="1:20" x14ac:dyDescent="0.3">
      <c r="A119">
        <v>69</v>
      </c>
      <c r="B119" t="s">
        <v>30</v>
      </c>
      <c r="C119">
        <v>7</v>
      </c>
      <c r="D119" t="s">
        <v>12</v>
      </c>
      <c r="E119" t="s">
        <v>11</v>
      </c>
      <c r="F119">
        <v>16</v>
      </c>
      <c r="G119">
        <v>12.85</v>
      </c>
      <c r="H119">
        <v>-35.47</v>
      </c>
      <c r="I119">
        <v>-7.3006900000000003</v>
      </c>
      <c r="J119">
        <v>-5.6711270000000003</v>
      </c>
      <c r="K119">
        <v>-1.49</v>
      </c>
    </row>
    <row r="120" spans="1:20" x14ac:dyDescent="0.3">
      <c r="A120">
        <v>44</v>
      </c>
      <c r="B120" t="s">
        <v>30</v>
      </c>
      <c r="C120">
        <v>7</v>
      </c>
      <c r="D120" t="s">
        <v>12</v>
      </c>
      <c r="E120" t="s">
        <v>11</v>
      </c>
      <c r="F120">
        <v>16</v>
      </c>
      <c r="G120">
        <v>13.07</v>
      </c>
      <c r="H120">
        <v>-35.67</v>
      </c>
      <c r="I120">
        <v>-6.7747039999999998</v>
      </c>
      <c r="J120">
        <v>-4.6992839999999996</v>
      </c>
      <c r="K120">
        <v>-1.26</v>
      </c>
    </row>
    <row r="121" spans="1:20" x14ac:dyDescent="0.3">
      <c r="A121">
        <v>30</v>
      </c>
      <c r="B121" t="s">
        <v>30</v>
      </c>
      <c r="C121">
        <v>7</v>
      </c>
      <c r="D121" t="s">
        <v>12</v>
      </c>
      <c r="E121" t="s">
        <v>11</v>
      </c>
      <c r="F121">
        <v>16</v>
      </c>
      <c r="G121">
        <v>13.58</v>
      </c>
      <c r="H121">
        <v>-36.19</v>
      </c>
      <c r="I121">
        <v>-9.7446289999999998</v>
      </c>
      <c r="J121">
        <v>-7.6673049999999998</v>
      </c>
      <c r="K121">
        <v>0.02</v>
      </c>
    </row>
    <row r="122" spans="1:20" x14ac:dyDescent="0.3">
      <c r="A122">
        <v>43</v>
      </c>
      <c r="B122" t="s">
        <v>30</v>
      </c>
      <c r="C122">
        <v>7</v>
      </c>
      <c r="D122" t="s">
        <v>12</v>
      </c>
      <c r="E122" t="s">
        <v>11</v>
      </c>
      <c r="F122">
        <v>16</v>
      </c>
      <c r="G122">
        <v>13.36</v>
      </c>
      <c r="H122">
        <v>-36.19</v>
      </c>
      <c r="I122">
        <v>-7.5811919999999997</v>
      </c>
      <c r="J122">
        <v>-5.6533049999999996</v>
      </c>
      <c r="K122">
        <v>-0.68</v>
      </c>
    </row>
    <row r="123" spans="1:20" x14ac:dyDescent="0.3">
      <c r="A123">
        <v>3</v>
      </c>
      <c r="B123" t="s">
        <v>30</v>
      </c>
      <c r="C123">
        <v>7</v>
      </c>
      <c r="D123" t="s">
        <v>12</v>
      </c>
      <c r="E123" t="s">
        <v>11</v>
      </c>
      <c r="F123">
        <v>16</v>
      </c>
      <c r="G123">
        <v>13.39</v>
      </c>
      <c r="H123">
        <v>-36.229999999999997</v>
      </c>
      <c r="I123">
        <v>-9.6852339999999995</v>
      </c>
      <c r="J123">
        <v>-7.9436450000000001</v>
      </c>
      <c r="K123">
        <v>-1.98</v>
      </c>
    </row>
  </sheetData>
  <autoFilter ref="A1:U211" xr:uid="{881A0436-8AAF-4C1D-A2F5-1A8158D87C67}">
    <sortState xmlns:xlrd2="http://schemas.microsoft.com/office/spreadsheetml/2017/richdata2" ref="A2:U211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9C81-135E-4086-9731-FDFAEDDC2B05}">
  <dimension ref="A1:V123"/>
  <sheetViews>
    <sheetView zoomScaleNormal="100" workbookViewId="0">
      <selection activeCell="J19" sqref="J19"/>
    </sheetView>
  </sheetViews>
  <sheetFormatPr defaultRowHeight="13.5" x14ac:dyDescent="0.3"/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</v>
      </c>
      <c r="L1" s="3"/>
      <c r="M1" s="3"/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V1" s="3" t="s">
        <v>23</v>
      </c>
    </row>
    <row r="2" spans="1:22" x14ac:dyDescent="0.3">
      <c r="A2" s="5">
        <v>83</v>
      </c>
      <c r="B2" t="s">
        <v>30</v>
      </c>
      <c r="C2">
        <v>7</v>
      </c>
      <c r="D2" t="s">
        <v>13</v>
      </c>
      <c r="E2" t="s">
        <v>11</v>
      </c>
      <c r="F2">
        <v>16</v>
      </c>
      <c r="G2">
        <v>13.05</v>
      </c>
      <c r="H2">
        <v>-30.81</v>
      </c>
      <c r="I2">
        <v>-1.5375369999999999</v>
      </c>
      <c r="J2">
        <v>0.57471079999999997</v>
      </c>
      <c r="K2">
        <v>2.37</v>
      </c>
      <c r="S2" t="e">
        <f>(N2-Q2)/(3*O2)</f>
        <v>#DIV/0!</v>
      </c>
      <c r="T2" t="e">
        <f>MIN(R2,S2)</f>
        <v>#DIV/0!</v>
      </c>
    </row>
    <row r="3" spans="1:22" x14ac:dyDescent="0.3">
      <c r="A3" s="5">
        <v>84</v>
      </c>
      <c r="B3" t="s">
        <v>30</v>
      </c>
      <c r="C3">
        <v>7</v>
      </c>
      <c r="D3" t="s">
        <v>13</v>
      </c>
      <c r="E3" t="s">
        <v>11</v>
      </c>
      <c r="F3">
        <v>16</v>
      </c>
      <c r="G3">
        <v>12.72</v>
      </c>
      <c r="H3">
        <v>-30.89</v>
      </c>
      <c r="I3">
        <v>-3.7945790000000001</v>
      </c>
      <c r="J3">
        <v>-1.7048719999999999</v>
      </c>
      <c r="K3">
        <v>3.06</v>
      </c>
      <c r="S3" t="e">
        <f>(N3-Q3)/(3*O3)</f>
        <v>#DIV/0!</v>
      </c>
      <c r="T3" t="e">
        <f>MIN(R3,S3)</f>
        <v>#DIV/0!</v>
      </c>
    </row>
    <row r="4" spans="1:22" x14ac:dyDescent="0.3">
      <c r="A4" s="5">
        <v>70</v>
      </c>
      <c r="B4" t="s">
        <v>30</v>
      </c>
      <c r="C4">
        <v>7</v>
      </c>
      <c r="D4" t="s">
        <v>13</v>
      </c>
      <c r="E4" t="s">
        <v>11</v>
      </c>
      <c r="F4">
        <v>16</v>
      </c>
      <c r="G4">
        <v>13.23</v>
      </c>
      <c r="H4">
        <v>-31.18</v>
      </c>
      <c r="I4">
        <v>-3.4847950000000001</v>
      </c>
      <c r="J4">
        <v>-2.4530639999999999</v>
      </c>
      <c r="K4">
        <v>8.4600000000000009</v>
      </c>
    </row>
    <row r="5" spans="1:22" x14ac:dyDescent="0.3">
      <c r="A5" s="5">
        <v>110</v>
      </c>
      <c r="B5" t="s">
        <v>30</v>
      </c>
      <c r="C5">
        <v>7</v>
      </c>
      <c r="D5" t="s">
        <v>13</v>
      </c>
      <c r="E5" t="s">
        <v>11</v>
      </c>
      <c r="F5">
        <v>16</v>
      </c>
      <c r="G5">
        <v>13.2</v>
      </c>
      <c r="H5">
        <v>-31.77</v>
      </c>
      <c r="I5">
        <v>-2.4278490000000001</v>
      </c>
      <c r="J5">
        <v>-0.39138790000000001</v>
      </c>
      <c r="K5">
        <v>4.59</v>
      </c>
    </row>
    <row r="6" spans="1:22" x14ac:dyDescent="0.3">
      <c r="A6" s="5">
        <v>121</v>
      </c>
      <c r="B6" t="s">
        <v>30</v>
      </c>
      <c r="C6">
        <v>7</v>
      </c>
      <c r="D6" t="s">
        <v>13</v>
      </c>
      <c r="E6" t="s">
        <v>11</v>
      </c>
      <c r="F6">
        <v>16</v>
      </c>
      <c r="G6">
        <v>13.95</v>
      </c>
      <c r="H6">
        <v>-31.9</v>
      </c>
      <c r="I6">
        <v>-3.6757089999999999</v>
      </c>
      <c r="J6">
        <v>-1.0069999999999999</v>
      </c>
      <c r="K6">
        <v>4</v>
      </c>
    </row>
    <row r="7" spans="1:22" x14ac:dyDescent="0.3">
      <c r="A7">
        <v>26</v>
      </c>
      <c r="B7" t="s">
        <v>30</v>
      </c>
      <c r="C7">
        <v>7</v>
      </c>
      <c r="D7" t="s">
        <v>13</v>
      </c>
      <c r="E7" t="s">
        <v>11</v>
      </c>
      <c r="F7">
        <v>16</v>
      </c>
      <c r="G7">
        <v>13.19</v>
      </c>
      <c r="H7">
        <v>-31.91</v>
      </c>
      <c r="I7" t="s">
        <v>31</v>
      </c>
      <c r="J7" t="s">
        <v>31</v>
      </c>
      <c r="K7">
        <v>-100</v>
      </c>
    </row>
    <row r="8" spans="1:22" x14ac:dyDescent="0.3">
      <c r="A8">
        <v>24</v>
      </c>
      <c r="B8" t="s">
        <v>30</v>
      </c>
      <c r="C8">
        <v>7</v>
      </c>
      <c r="D8" t="s">
        <v>13</v>
      </c>
      <c r="E8" t="s">
        <v>11</v>
      </c>
      <c r="F8">
        <v>16</v>
      </c>
      <c r="G8">
        <v>13.42</v>
      </c>
      <c r="H8">
        <v>-32.01</v>
      </c>
      <c r="I8">
        <v>-4.9261509999999999</v>
      </c>
      <c r="J8">
        <v>-2.8577119999999998</v>
      </c>
      <c r="K8">
        <v>3.24</v>
      </c>
    </row>
    <row r="9" spans="1:22" x14ac:dyDescent="0.3">
      <c r="A9">
        <v>67</v>
      </c>
      <c r="B9" t="s">
        <v>30</v>
      </c>
      <c r="C9">
        <v>7</v>
      </c>
      <c r="D9" t="s">
        <v>13</v>
      </c>
      <c r="E9" t="s">
        <v>11</v>
      </c>
      <c r="F9">
        <v>16</v>
      </c>
      <c r="G9">
        <v>13.74</v>
      </c>
      <c r="H9">
        <v>-32.1</v>
      </c>
      <c r="I9">
        <v>-3.9284249999999998</v>
      </c>
      <c r="J9">
        <v>-1.634811</v>
      </c>
      <c r="K9">
        <v>40.479999999999997</v>
      </c>
    </row>
    <row r="10" spans="1:22" x14ac:dyDescent="0.3">
      <c r="A10">
        <v>120</v>
      </c>
      <c r="B10" t="s">
        <v>30</v>
      </c>
      <c r="C10">
        <v>7</v>
      </c>
      <c r="D10" t="s">
        <v>13</v>
      </c>
      <c r="E10" t="s">
        <v>11</v>
      </c>
      <c r="F10">
        <v>16</v>
      </c>
      <c r="G10">
        <v>13.14</v>
      </c>
      <c r="H10">
        <v>-32.14</v>
      </c>
      <c r="I10">
        <v>-4.7309150000000004</v>
      </c>
      <c r="J10">
        <v>-2.2480579999999999</v>
      </c>
      <c r="K10">
        <v>-0.31</v>
      </c>
    </row>
    <row r="11" spans="1:22" x14ac:dyDescent="0.3">
      <c r="A11">
        <v>8</v>
      </c>
      <c r="B11" t="s">
        <v>30</v>
      </c>
      <c r="C11">
        <v>7</v>
      </c>
      <c r="D11" t="s">
        <v>13</v>
      </c>
      <c r="E11" t="s">
        <v>11</v>
      </c>
      <c r="F11">
        <v>16</v>
      </c>
      <c r="G11">
        <v>13.08</v>
      </c>
      <c r="H11">
        <v>-32.549999999999997</v>
      </c>
      <c r="I11">
        <v>-4.6288869999999998</v>
      </c>
      <c r="J11">
        <v>-1.935017</v>
      </c>
      <c r="K11">
        <v>4.09</v>
      </c>
    </row>
    <row r="12" spans="1:22" x14ac:dyDescent="0.3">
      <c r="A12">
        <v>61</v>
      </c>
      <c r="B12" t="s">
        <v>30</v>
      </c>
      <c r="C12">
        <v>7</v>
      </c>
      <c r="D12" t="s">
        <v>13</v>
      </c>
      <c r="E12" t="s">
        <v>11</v>
      </c>
      <c r="F12">
        <v>16</v>
      </c>
      <c r="G12">
        <v>12.53</v>
      </c>
      <c r="H12">
        <v>-32.57</v>
      </c>
      <c r="I12">
        <v>-2.4500660000000001</v>
      </c>
      <c r="J12">
        <v>-0.65914919999999999</v>
      </c>
      <c r="K12">
        <v>-0.02</v>
      </c>
    </row>
    <row r="13" spans="1:22" x14ac:dyDescent="0.3">
      <c r="A13">
        <v>117</v>
      </c>
      <c r="B13" t="s">
        <v>30</v>
      </c>
      <c r="C13">
        <v>7</v>
      </c>
      <c r="D13" t="s">
        <v>13</v>
      </c>
      <c r="E13" t="s">
        <v>11</v>
      </c>
      <c r="F13">
        <v>16</v>
      </c>
      <c r="G13">
        <v>13.15</v>
      </c>
      <c r="H13">
        <v>-32.869999999999997</v>
      </c>
      <c r="I13">
        <v>-2.3312490000000001</v>
      </c>
      <c r="J13">
        <v>-6.2759400000000007E-2</v>
      </c>
      <c r="K13">
        <v>2.4</v>
      </c>
    </row>
    <row r="14" spans="1:22" x14ac:dyDescent="0.3">
      <c r="A14">
        <v>100</v>
      </c>
      <c r="B14" t="s">
        <v>30</v>
      </c>
      <c r="C14">
        <v>7</v>
      </c>
      <c r="D14" t="s">
        <v>13</v>
      </c>
      <c r="E14" t="s">
        <v>11</v>
      </c>
      <c r="F14">
        <v>16</v>
      </c>
      <c r="G14">
        <v>13.75</v>
      </c>
      <c r="H14">
        <v>-32.89</v>
      </c>
      <c r="I14">
        <v>-4.1119880000000002</v>
      </c>
      <c r="J14">
        <v>-1.800243</v>
      </c>
      <c r="K14">
        <v>3.18</v>
      </c>
    </row>
    <row r="15" spans="1:22" x14ac:dyDescent="0.3">
      <c r="A15">
        <v>5</v>
      </c>
      <c r="B15" t="s">
        <v>30</v>
      </c>
      <c r="C15">
        <v>7</v>
      </c>
      <c r="D15" t="s">
        <v>13</v>
      </c>
      <c r="E15" t="s">
        <v>11</v>
      </c>
      <c r="F15">
        <v>16</v>
      </c>
      <c r="G15">
        <v>13.46</v>
      </c>
      <c r="H15">
        <v>-32.94</v>
      </c>
      <c r="I15">
        <v>-3.0873789999999999</v>
      </c>
      <c r="J15">
        <v>-0.78342820000000002</v>
      </c>
      <c r="K15">
        <v>-1.28</v>
      </c>
    </row>
    <row r="16" spans="1:22" x14ac:dyDescent="0.3">
      <c r="A16">
        <v>82</v>
      </c>
      <c r="B16" t="s">
        <v>30</v>
      </c>
      <c r="C16">
        <v>7</v>
      </c>
      <c r="D16" t="s">
        <v>13</v>
      </c>
      <c r="E16" t="s">
        <v>11</v>
      </c>
      <c r="F16">
        <v>16</v>
      </c>
      <c r="G16">
        <v>13.41</v>
      </c>
      <c r="H16">
        <v>-32.94</v>
      </c>
      <c r="I16">
        <v>-2.9126889999999999</v>
      </c>
      <c r="J16">
        <v>-0.6685257</v>
      </c>
      <c r="K16">
        <v>-0.02</v>
      </c>
    </row>
    <row r="17" spans="1:11" x14ac:dyDescent="0.3">
      <c r="A17">
        <v>119</v>
      </c>
      <c r="B17" t="s">
        <v>30</v>
      </c>
      <c r="C17">
        <v>7</v>
      </c>
      <c r="D17" t="s">
        <v>13</v>
      </c>
      <c r="E17" t="s">
        <v>11</v>
      </c>
      <c r="F17">
        <v>16</v>
      </c>
      <c r="G17">
        <v>13.17</v>
      </c>
      <c r="H17">
        <v>-32.94</v>
      </c>
      <c r="I17">
        <v>-3.4428480000000001</v>
      </c>
      <c r="J17">
        <v>-1.1900520000000001</v>
      </c>
      <c r="K17">
        <v>23.51</v>
      </c>
    </row>
    <row r="18" spans="1:11" x14ac:dyDescent="0.3">
      <c r="A18">
        <v>116</v>
      </c>
      <c r="B18" t="s">
        <v>30</v>
      </c>
      <c r="C18">
        <v>7</v>
      </c>
      <c r="D18" t="s">
        <v>13</v>
      </c>
      <c r="E18" t="s">
        <v>11</v>
      </c>
      <c r="F18">
        <v>16</v>
      </c>
      <c r="G18">
        <v>13.26</v>
      </c>
      <c r="H18">
        <v>-32.96</v>
      </c>
      <c r="I18">
        <v>-4.1990970000000001</v>
      </c>
      <c r="J18">
        <v>-2.1740719999999998</v>
      </c>
      <c r="K18">
        <v>7.62</v>
      </c>
    </row>
    <row r="19" spans="1:11" x14ac:dyDescent="0.3">
      <c r="A19">
        <v>106</v>
      </c>
      <c r="B19" t="s">
        <v>30</v>
      </c>
      <c r="C19">
        <v>7</v>
      </c>
      <c r="D19" t="s">
        <v>13</v>
      </c>
      <c r="E19" t="s">
        <v>11</v>
      </c>
      <c r="F19">
        <v>16</v>
      </c>
      <c r="G19">
        <v>13.53</v>
      </c>
      <c r="H19">
        <v>-33</v>
      </c>
      <c r="I19">
        <v>-3.5150380000000001</v>
      </c>
      <c r="J19">
        <v>-1.052856</v>
      </c>
      <c r="K19">
        <v>11.11</v>
      </c>
    </row>
    <row r="20" spans="1:11" x14ac:dyDescent="0.3">
      <c r="A20">
        <v>78</v>
      </c>
      <c r="B20" t="s">
        <v>30</v>
      </c>
      <c r="C20">
        <v>7</v>
      </c>
      <c r="D20" t="s">
        <v>13</v>
      </c>
      <c r="E20" t="s">
        <v>11</v>
      </c>
      <c r="F20">
        <v>16</v>
      </c>
      <c r="G20">
        <v>12.95</v>
      </c>
      <c r="H20">
        <v>-33.06</v>
      </c>
      <c r="I20">
        <v>-2.6363409999999998</v>
      </c>
      <c r="J20">
        <v>-0.1696472</v>
      </c>
      <c r="K20">
        <v>0.78</v>
      </c>
    </row>
    <row r="21" spans="1:11" x14ac:dyDescent="0.3">
      <c r="A21">
        <v>92</v>
      </c>
      <c r="B21" t="s">
        <v>30</v>
      </c>
      <c r="C21">
        <v>7</v>
      </c>
      <c r="D21" t="s">
        <v>13</v>
      </c>
      <c r="E21" t="s">
        <v>11</v>
      </c>
      <c r="F21">
        <v>16</v>
      </c>
      <c r="G21">
        <v>13.46</v>
      </c>
      <c r="H21">
        <v>-33.25</v>
      </c>
      <c r="I21">
        <v>-4.7204670000000002</v>
      </c>
      <c r="J21">
        <v>-2.5747339999999999</v>
      </c>
      <c r="K21">
        <v>6.11</v>
      </c>
    </row>
    <row r="22" spans="1:11" x14ac:dyDescent="0.3">
      <c r="A22">
        <v>103</v>
      </c>
      <c r="B22" t="s">
        <v>30</v>
      </c>
      <c r="C22">
        <v>7</v>
      </c>
      <c r="D22" t="s">
        <v>13</v>
      </c>
      <c r="E22" t="s">
        <v>11</v>
      </c>
      <c r="F22">
        <v>16</v>
      </c>
      <c r="G22">
        <v>12.86</v>
      </c>
      <c r="H22">
        <v>-33.31</v>
      </c>
      <c r="I22">
        <v>-4.9278180000000003</v>
      </c>
      <c r="J22">
        <v>-2.6786729999999999</v>
      </c>
      <c r="K22">
        <v>0.12</v>
      </c>
    </row>
    <row r="23" spans="1:11" x14ac:dyDescent="0.3">
      <c r="A23">
        <v>10</v>
      </c>
      <c r="B23" t="s">
        <v>30</v>
      </c>
      <c r="C23">
        <v>7</v>
      </c>
      <c r="D23" t="s">
        <v>13</v>
      </c>
      <c r="E23" t="s">
        <v>11</v>
      </c>
      <c r="F23">
        <v>16</v>
      </c>
      <c r="G23">
        <v>13.84</v>
      </c>
      <c r="H23">
        <v>-33.35</v>
      </c>
      <c r="I23">
        <v>-4.4595219999999998</v>
      </c>
      <c r="J23">
        <v>-2.7803800000000001</v>
      </c>
      <c r="K23">
        <v>3.14</v>
      </c>
    </row>
    <row r="24" spans="1:11" x14ac:dyDescent="0.3">
      <c r="A24">
        <v>88</v>
      </c>
      <c r="B24" t="s">
        <v>30</v>
      </c>
      <c r="C24">
        <v>7</v>
      </c>
      <c r="D24" t="s">
        <v>13</v>
      </c>
      <c r="E24" t="s">
        <v>11</v>
      </c>
      <c r="F24">
        <v>16</v>
      </c>
      <c r="G24">
        <v>13.26</v>
      </c>
      <c r="H24">
        <v>-33.369999999999997</v>
      </c>
      <c r="I24">
        <v>-3.6617510000000002</v>
      </c>
      <c r="J24">
        <v>-1.5515939999999999</v>
      </c>
      <c r="K24">
        <v>1.47</v>
      </c>
    </row>
    <row r="25" spans="1:11" x14ac:dyDescent="0.3">
      <c r="A25">
        <v>62</v>
      </c>
      <c r="B25" t="s">
        <v>30</v>
      </c>
      <c r="C25">
        <v>7</v>
      </c>
      <c r="D25" t="s">
        <v>13</v>
      </c>
      <c r="E25" t="s">
        <v>11</v>
      </c>
      <c r="F25">
        <v>16</v>
      </c>
      <c r="G25">
        <v>13.03</v>
      </c>
      <c r="H25">
        <v>-33.5</v>
      </c>
      <c r="I25">
        <v>-4.6661000000000001</v>
      </c>
      <c r="J25">
        <v>-2.1703679999999999</v>
      </c>
      <c r="K25">
        <v>-2.2400000000000002</v>
      </c>
    </row>
    <row r="26" spans="1:11" x14ac:dyDescent="0.3">
      <c r="A26">
        <v>108</v>
      </c>
      <c r="B26" t="s">
        <v>30</v>
      </c>
      <c r="C26">
        <v>7</v>
      </c>
      <c r="D26" t="s">
        <v>13</v>
      </c>
      <c r="E26" t="s">
        <v>11</v>
      </c>
      <c r="F26">
        <v>16</v>
      </c>
      <c r="G26">
        <v>13.32</v>
      </c>
      <c r="H26">
        <v>-33.56</v>
      </c>
      <c r="I26">
        <v>-3.0704729999999998</v>
      </c>
      <c r="J26">
        <v>-0.94757840000000004</v>
      </c>
      <c r="K26">
        <v>2.23</v>
      </c>
    </row>
    <row r="27" spans="1:11" x14ac:dyDescent="0.3">
      <c r="A27">
        <v>86</v>
      </c>
      <c r="B27" t="s">
        <v>30</v>
      </c>
      <c r="C27">
        <v>7</v>
      </c>
      <c r="D27" t="s">
        <v>13</v>
      </c>
      <c r="E27" t="s">
        <v>11</v>
      </c>
      <c r="F27">
        <v>16</v>
      </c>
      <c r="G27">
        <v>13.31</v>
      </c>
      <c r="H27">
        <v>-33.58</v>
      </c>
      <c r="I27">
        <v>-3.5059200000000001</v>
      </c>
      <c r="J27">
        <v>-1.103909</v>
      </c>
      <c r="K27">
        <v>-1.1599999999999999</v>
      </c>
    </row>
    <row r="28" spans="1:11" x14ac:dyDescent="0.3">
      <c r="A28">
        <v>49</v>
      </c>
      <c r="B28" t="s">
        <v>30</v>
      </c>
      <c r="C28">
        <v>7</v>
      </c>
      <c r="D28" t="s">
        <v>13</v>
      </c>
      <c r="E28" t="s">
        <v>11</v>
      </c>
      <c r="F28">
        <v>16</v>
      </c>
      <c r="G28">
        <v>13.19</v>
      </c>
      <c r="H28">
        <v>-33.590000000000003</v>
      </c>
      <c r="I28">
        <v>-4.7189940000000004</v>
      </c>
      <c r="J28">
        <v>-2.6233249999999999</v>
      </c>
      <c r="K28">
        <v>3.9</v>
      </c>
    </row>
    <row r="29" spans="1:11" x14ac:dyDescent="0.3">
      <c r="A29">
        <v>72</v>
      </c>
      <c r="B29" t="s">
        <v>30</v>
      </c>
      <c r="C29">
        <v>7</v>
      </c>
      <c r="D29" t="s">
        <v>13</v>
      </c>
      <c r="E29" t="s">
        <v>11</v>
      </c>
      <c r="F29">
        <v>16</v>
      </c>
      <c r="G29">
        <v>13.26</v>
      </c>
      <c r="H29">
        <v>-33.590000000000003</v>
      </c>
      <c r="I29">
        <v>-3.6925279999999998</v>
      </c>
      <c r="J29">
        <v>-1.4706379999999999</v>
      </c>
      <c r="K29">
        <v>13.82</v>
      </c>
    </row>
    <row r="30" spans="1:11" x14ac:dyDescent="0.3">
      <c r="A30">
        <v>77</v>
      </c>
      <c r="B30" t="s">
        <v>30</v>
      </c>
      <c r="C30">
        <v>7</v>
      </c>
      <c r="D30" t="s">
        <v>13</v>
      </c>
      <c r="E30" t="s">
        <v>11</v>
      </c>
      <c r="F30">
        <v>16</v>
      </c>
      <c r="G30">
        <v>13.76</v>
      </c>
      <c r="H30">
        <v>-33.590000000000003</v>
      </c>
      <c r="I30">
        <v>-2.3811450000000001</v>
      </c>
      <c r="J30">
        <v>9.1945650000000004E-2</v>
      </c>
      <c r="K30">
        <v>1.07</v>
      </c>
    </row>
    <row r="31" spans="1:11" x14ac:dyDescent="0.3">
      <c r="A31">
        <v>60</v>
      </c>
      <c r="B31" t="s">
        <v>30</v>
      </c>
      <c r="C31">
        <v>7</v>
      </c>
      <c r="D31" t="s">
        <v>13</v>
      </c>
      <c r="E31" t="s">
        <v>11</v>
      </c>
      <c r="F31">
        <v>16</v>
      </c>
      <c r="G31">
        <v>12.83</v>
      </c>
      <c r="H31">
        <v>-33.6</v>
      </c>
      <c r="I31">
        <v>-3.891499</v>
      </c>
      <c r="J31">
        <v>-1.8668480000000001</v>
      </c>
      <c r="K31">
        <v>1.96</v>
      </c>
    </row>
    <row r="32" spans="1:11" x14ac:dyDescent="0.3">
      <c r="A32">
        <v>112</v>
      </c>
      <c r="B32" t="s">
        <v>30</v>
      </c>
      <c r="C32">
        <v>7</v>
      </c>
      <c r="D32" t="s">
        <v>13</v>
      </c>
      <c r="E32" t="s">
        <v>11</v>
      </c>
      <c r="F32">
        <v>16</v>
      </c>
      <c r="G32">
        <v>13.04</v>
      </c>
      <c r="H32">
        <v>-33.619999999999997</v>
      </c>
      <c r="I32">
        <v>-5.1786380000000003</v>
      </c>
      <c r="J32">
        <v>-3.2981150000000001</v>
      </c>
      <c r="K32">
        <v>7.07</v>
      </c>
    </row>
    <row r="33" spans="1:11" x14ac:dyDescent="0.3">
      <c r="A33">
        <v>17</v>
      </c>
      <c r="B33" t="s">
        <v>30</v>
      </c>
      <c r="C33">
        <v>7</v>
      </c>
      <c r="D33" t="s">
        <v>13</v>
      </c>
      <c r="E33" t="s">
        <v>11</v>
      </c>
      <c r="F33">
        <v>16</v>
      </c>
      <c r="G33">
        <v>13.76</v>
      </c>
      <c r="H33">
        <v>-33.729999999999997</v>
      </c>
      <c r="I33">
        <v>-4.3719330000000003</v>
      </c>
      <c r="J33">
        <v>-2.2740749999999998</v>
      </c>
      <c r="K33">
        <v>2.64</v>
      </c>
    </row>
    <row r="34" spans="1:11" x14ac:dyDescent="0.3">
      <c r="A34">
        <v>79</v>
      </c>
      <c r="B34" t="s">
        <v>30</v>
      </c>
      <c r="C34">
        <v>7</v>
      </c>
      <c r="D34" t="s">
        <v>13</v>
      </c>
      <c r="E34" t="s">
        <v>11</v>
      </c>
      <c r="F34">
        <v>16</v>
      </c>
      <c r="G34">
        <v>13.22</v>
      </c>
      <c r="H34">
        <v>-33.78</v>
      </c>
      <c r="I34">
        <v>-3.8069269999999999</v>
      </c>
      <c r="J34">
        <v>-1.562927</v>
      </c>
      <c r="K34">
        <v>1.31</v>
      </c>
    </row>
    <row r="35" spans="1:11" x14ac:dyDescent="0.3">
      <c r="A35">
        <v>59</v>
      </c>
      <c r="B35" t="s">
        <v>30</v>
      </c>
      <c r="C35">
        <v>7</v>
      </c>
      <c r="D35" t="s">
        <v>13</v>
      </c>
      <c r="E35" t="s">
        <v>11</v>
      </c>
      <c r="F35">
        <v>16</v>
      </c>
      <c r="G35">
        <v>13.39</v>
      </c>
      <c r="H35">
        <v>-33.82</v>
      </c>
      <c r="I35">
        <v>-4.4457659999999999</v>
      </c>
      <c r="J35">
        <v>-1.9416389999999999</v>
      </c>
      <c r="K35">
        <v>1.22</v>
      </c>
    </row>
    <row r="36" spans="1:11" x14ac:dyDescent="0.3">
      <c r="A36">
        <v>22</v>
      </c>
      <c r="B36" t="s">
        <v>30</v>
      </c>
      <c r="C36">
        <v>7</v>
      </c>
      <c r="D36" t="s">
        <v>13</v>
      </c>
      <c r="E36" t="s">
        <v>11</v>
      </c>
      <c r="F36">
        <v>16</v>
      </c>
      <c r="G36">
        <v>12.8</v>
      </c>
      <c r="H36">
        <v>-33.83</v>
      </c>
      <c r="I36">
        <v>-4.3235279999999996</v>
      </c>
      <c r="J36">
        <v>-2.1544989999999999</v>
      </c>
      <c r="K36">
        <v>-0.85</v>
      </c>
    </row>
    <row r="37" spans="1:11" x14ac:dyDescent="0.3">
      <c r="A37">
        <v>80</v>
      </c>
      <c r="B37" t="s">
        <v>30</v>
      </c>
      <c r="C37">
        <v>7</v>
      </c>
      <c r="D37" t="s">
        <v>13</v>
      </c>
      <c r="E37" t="s">
        <v>11</v>
      </c>
      <c r="F37">
        <v>16</v>
      </c>
      <c r="G37">
        <v>13.42</v>
      </c>
      <c r="H37">
        <v>-33.83</v>
      </c>
      <c r="I37">
        <v>-2.7518769999999999</v>
      </c>
      <c r="J37">
        <v>-0.4450035</v>
      </c>
      <c r="K37">
        <v>-0.61</v>
      </c>
    </row>
    <row r="38" spans="1:11" x14ac:dyDescent="0.3">
      <c r="A38">
        <v>107</v>
      </c>
      <c r="B38" t="s">
        <v>30</v>
      </c>
      <c r="C38">
        <v>7</v>
      </c>
      <c r="D38" t="s">
        <v>13</v>
      </c>
      <c r="E38" t="s">
        <v>11</v>
      </c>
      <c r="F38">
        <v>16</v>
      </c>
      <c r="G38">
        <v>13.88</v>
      </c>
      <c r="H38">
        <v>-33.83</v>
      </c>
      <c r="I38">
        <v>-5.2222559999999998</v>
      </c>
      <c r="J38">
        <v>-3.1140479999999999</v>
      </c>
      <c r="K38">
        <v>0.52</v>
      </c>
    </row>
    <row r="39" spans="1:11" x14ac:dyDescent="0.3">
      <c r="A39">
        <v>14</v>
      </c>
      <c r="B39" t="s">
        <v>30</v>
      </c>
      <c r="C39">
        <v>7</v>
      </c>
      <c r="D39" t="s">
        <v>13</v>
      </c>
      <c r="E39" t="s">
        <v>11</v>
      </c>
      <c r="F39">
        <v>16</v>
      </c>
      <c r="G39">
        <v>13.39</v>
      </c>
      <c r="H39">
        <v>-33.86</v>
      </c>
      <c r="I39">
        <v>-3.4607009999999998</v>
      </c>
      <c r="J39">
        <v>-1.372749</v>
      </c>
      <c r="K39">
        <v>-1.54</v>
      </c>
    </row>
    <row r="40" spans="1:11" x14ac:dyDescent="0.3">
      <c r="A40">
        <v>65</v>
      </c>
      <c r="B40" t="s">
        <v>30</v>
      </c>
      <c r="C40">
        <v>7</v>
      </c>
      <c r="D40" t="s">
        <v>13</v>
      </c>
      <c r="E40" t="s">
        <v>11</v>
      </c>
      <c r="F40">
        <v>16</v>
      </c>
      <c r="G40">
        <v>13.16</v>
      </c>
      <c r="H40">
        <v>-33.93</v>
      </c>
      <c r="I40">
        <v>-3.3172489999999999</v>
      </c>
      <c r="J40">
        <v>-1.3034209999999999</v>
      </c>
      <c r="K40">
        <v>-0.78</v>
      </c>
    </row>
    <row r="41" spans="1:11" x14ac:dyDescent="0.3">
      <c r="A41">
        <v>16</v>
      </c>
      <c r="B41" t="s">
        <v>30</v>
      </c>
      <c r="C41">
        <v>7</v>
      </c>
      <c r="D41" t="s">
        <v>13</v>
      </c>
      <c r="E41" t="s">
        <v>11</v>
      </c>
      <c r="F41">
        <v>16</v>
      </c>
      <c r="G41">
        <v>13.16</v>
      </c>
      <c r="H41">
        <v>-33.96</v>
      </c>
      <c r="I41">
        <v>-4.5199660000000002</v>
      </c>
      <c r="J41">
        <v>-2.4106290000000001</v>
      </c>
      <c r="K41">
        <v>1.79</v>
      </c>
    </row>
    <row r="42" spans="1:11" x14ac:dyDescent="0.3">
      <c r="A42">
        <v>91</v>
      </c>
      <c r="B42" t="s">
        <v>30</v>
      </c>
      <c r="C42">
        <v>7</v>
      </c>
      <c r="D42" t="s">
        <v>13</v>
      </c>
      <c r="E42" t="s">
        <v>11</v>
      </c>
      <c r="F42">
        <v>16</v>
      </c>
      <c r="G42">
        <v>13.22</v>
      </c>
      <c r="H42">
        <v>-34.04</v>
      </c>
      <c r="I42">
        <v>-3.501404</v>
      </c>
      <c r="J42">
        <v>-0.94401550000000001</v>
      </c>
      <c r="K42">
        <v>4.57</v>
      </c>
    </row>
    <row r="43" spans="1:11" x14ac:dyDescent="0.3">
      <c r="A43">
        <v>109</v>
      </c>
      <c r="B43" t="s">
        <v>30</v>
      </c>
      <c r="C43">
        <v>7</v>
      </c>
      <c r="D43" t="s">
        <v>13</v>
      </c>
      <c r="E43" t="s">
        <v>11</v>
      </c>
      <c r="F43">
        <v>16</v>
      </c>
      <c r="G43">
        <v>13.13</v>
      </c>
      <c r="H43">
        <v>-34.06</v>
      </c>
      <c r="I43">
        <v>-3.747341</v>
      </c>
      <c r="J43">
        <v>-1.432396</v>
      </c>
      <c r="K43">
        <v>1.28</v>
      </c>
    </row>
    <row r="44" spans="1:11" x14ac:dyDescent="0.3">
      <c r="A44">
        <v>9</v>
      </c>
      <c r="B44" t="s">
        <v>30</v>
      </c>
      <c r="C44">
        <v>7</v>
      </c>
      <c r="D44" t="s">
        <v>13</v>
      </c>
      <c r="E44" t="s">
        <v>11</v>
      </c>
      <c r="F44">
        <v>16</v>
      </c>
      <c r="G44">
        <v>13.6</v>
      </c>
      <c r="H44">
        <v>-34.130000000000003</v>
      </c>
      <c r="I44">
        <v>-4.1377179999999996</v>
      </c>
      <c r="J44">
        <v>-2.1277279999999998</v>
      </c>
      <c r="K44">
        <v>0.77</v>
      </c>
    </row>
    <row r="45" spans="1:11" x14ac:dyDescent="0.3">
      <c r="A45">
        <v>57</v>
      </c>
      <c r="B45" t="s">
        <v>30</v>
      </c>
      <c r="C45">
        <v>7</v>
      </c>
      <c r="D45" t="s">
        <v>13</v>
      </c>
      <c r="E45" t="s">
        <v>11</v>
      </c>
      <c r="F45">
        <v>16</v>
      </c>
      <c r="G45">
        <v>13.32</v>
      </c>
      <c r="H45">
        <v>-34.159999999999997</v>
      </c>
      <c r="I45">
        <v>-4.506119</v>
      </c>
      <c r="J45">
        <v>-2.3328739999999999</v>
      </c>
      <c r="K45">
        <v>-0.23</v>
      </c>
    </row>
    <row r="46" spans="1:11" x14ac:dyDescent="0.3">
      <c r="A46">
        <v>87</v>
      </c>
      <c r="B46" t="s">
        <v>30</v>
      </c>
      <c r="C46">
        <v>7</v>
      </c>
      <c r="D46" t="s">
        <v>13</v>
      </c>
      <c r="E46" t="s">
        <v>11</v>
      </c>
      <c r="F46">
        <v>16</v>
      </c>
      <c r="G46">
        <v>13.29</v>
      </c>
      <c r="H46">
        <v>-34.159999999999997</v>
      </c>
      <c r="I46">
        <v>-4.1199459999999997</v>
      </c>
      <c r="J46">
        <v>-2.0196000000000001</v>
      </c>
      <c r="K46">
        <v>-1.1200000000000001</v>
      </c>
    </row>
    <row r="47" spans="1:11" x14ac:dyDescent="0.3">
      <c r="A47">
        <v>99</v>
      </c>
      <c r="B47" t="s">
        <v>30</v>
      </c>
      <c r="C47">
        <v>7</v>
      </c>
      <c r="D47" t="s">
        <v>13</v>
      </c>
      <c r="E47" t="s">
        <v>11</v>
      </c>
      <c r="F47">
        <v>16</v>
      </c>
      <c r="G47">
        <v>13.88</v>
      </c>
      <c r="H47">
        <v>-34.21</v>
      </c>
      <c r="I47" t="s">
        <v>31</v>
      </c>
      <c r="J47" t="s">
        <v>31</v>
      </c>
      <c r="K47">
        <v>-100</v>
      </c>
    </row>
    <row r="48" spans="1:11" x14ac:dyDescent="0.3">
      <c r="A48">
        <v>118</v>
      </c>
      <c r="B48" t="s">
        <v>30</v>
      </c>
      <c r="C48">
        <v>7</v>
      </c>
      <c r="D48" t="s">
        <v>13</v>
      </c>
      <c r="E48" t="s">
        <v>11</v>
      </c>
      <c r="F48">
        <v>16</v>
      </c>
      <c r="G48">
        <v>13.22</v>
      </c>
      <c r="H48">
        <v>-34.22</v>
      </c>
      <c r="I48">
        <v>-4.9690089999999998</v>
      </c>
      <c r="J48">
        <v>-2.454456</v>
      </c>
      <c r="K48">
        <v>1.25</v>
      </c>
    </row>
    <row r="49" spans="1:18" x14ac:dyDescent="0.3">
      <c r="A49">
        <v>104</v>
      </c>
      <c r="B49" t="s">
        <v>30</v>
      </c>
      <c r="C49">
        <v>7</v>
      </c>
      <c r="D49" t="s">
        <v>13</v>
      </c>
      <c r="E49" t="s">
        <v>11</v>
      </c>
      <c r="F49">
        <v>16</v>
      </c>
      <c r="G49">
        <v>13.77</v>
      </c>
      <c r="H49">
        <v>-34.229999999999997</v>
      </c>
      <c r="I49">
        <v>-4.4554289999999996</v>
      </c>
      <c r="J49">
        <v>-2.1811219999999998</v>
      </c>
      <c r="K49">
        <v>34.53</v>
      </c>
    </row>
    <row r="50" spans="1:18" x14ac:dyDescent="0.3">
      <c r="A50">
        <v>7</v>
      </c>
      <c r="B50" t="s">
        <v>30</v>
      </c>
      <c r="C50">
        <v>7</v>
      </c>
      <c r="D50" t="s">
        <v>13</v>
      </c>
      <c r="E50" t="s">
        <v>11</v>
      </c>
      <c r="F50">
        <v>16</v>
      </c>
      <c r="G50">
        <v>13.6</v>
      </c>
      <c r="H50">
        <v>-34.369999999999997</v>
      </c>
      <c r="I50">
        <v>-3.8503069999999999</v>
      </c>
      <c r="J50">
        <v>-1.8291820000000001</v>
      </c>
      <c r="K50">
        <v>-1.77</v>
      </c>
    </row>
    <row r="51" spans="1:18" x14ac:dyDescent="0.3">
      <c r="A51">
        <v>85</v>
      </c>
      <c r="B51" t="s">
        <v>30</v>
      </c>
      <c r="C51">
        <v>7</v>
      </c>
      <c r="D51" t="s">
        <v>13</v>
      </c>
      <c r="E51" t="s">
        <v>11</v>
      </c>
      <c r="F51">
        <v>16</v>
      </c>
      <c r="G51">
        <v>13.37</v>
      </c>
      <c r="H51">
        <v>-34.43</v>
      </c>
      <c r="I51">
        <v>-3.5515819999999998</v>
      </c>
      <c r="J51">
        <v>-1.367775</v>
      </c>
      <c r="K51">
        <v>-0.4</v>
      </c>
    </row>
    <row r="52" spans="1:18" x14ac:dyDescent="0.3">
      <c r="A52">
        <v>71</v>
      </c>
      <c r="B52" t="s">
        <v>30</v>
      </c>
      <c r="C52">
        <v>7</v>
      </c>
      <c r="D52" t="s">
        <v>13</v>
      </c>
      <c r="E52" t="s">
        <v>11</v>
      </c>
      <c r="F52">
        <v>16</v>
      </c>
      <c r="G52">
        <v>12.98</v>
      </c>
      <c r="H52">
        <v>-34.450000000000003</v>
      </c>
      <c r="I52">
        <v>-3.6345179999999999</v>
      </c>
      <c r="J52">
        <v>-1.3179970000000001</v>
      </c>
      <c r="K52">
        <v>-1.59</v>
      </c>
    </row>
    <row r="53" spans="1:18" x14ac:dyDescent="0.3">
      <c r="A53">
        <v>64</v>
      </c>
      <c r="B53" t="s">
        <v>30</v>
      </c>
      <c r="C53">
        <v>7</v>
      </c>
      <c r="D53" t="s">
        <v>13</v>
      </c>
      <c r="E53" t="s">
        <v>11</v>
      </c>
      <c r="F53">
        <v>16</v>
      </c>
      <c r="G53">
        <v>13.06</v>
      </c>
      <c r="H53">
        <v>-34.46</v>
      </c>
      <c r="I53">
        <v>-4.8048780000000004</v>
      </c>
      <c r="J53">
        <v>-2.6490629999999999</v>
      </c>
      <c r="K53">
        <v>0.22</v>
      </c>
    </row>
    <row r="54" spans="1:18" x14ac:dyDescent="0.3">
      <c r="A54">
        <v>27</v>
      </c>
      <c r="B54" t="s">
        <v>30</v>
      </c>
      <c r="C54">
        <v>7</v>
      </c>
      <c r="D54" t="s">
        <v>13</v>
      </c>
      <c r="E54" t="s">
        <v>11</v>
      </c>
      <c r="F54">
        <v>16</v>
      </c>
      <c r="G54">
        <v>14.1</v>
      </c>
      <c r="H54">
        <v>-34.51</v>
      </c>
      <c r="I54">
        <v>-5.3260839999999998</v>
      </c>
      <c r="J54">
        <v>-3.3975300000000002</v>
      </c>
      <c r="K54">
        <v>3.09</v>
      </c>
    </row>
    <row r="55" spans="1:18" x14ac:dyDescent="0.3">
      <c r="A55">
        <v>89</v>
      </c>
      <c r="B55" t="s">
        <v>30</v>
      </c>
      <c r="C55">
        <v>7</v>
      </c>
      <c r="D55" t="s">
        <v>13</v>
      </c>
      <c r="E55" t="s">
        <v>11</v>
      </c>
      <c r="F55">
        <v>16</v>
      </c>
      <c r="G55">
        <v>13.41</v>
      </c>
      <c r="H55">
        <v>-34.51</v>
      </c>
      <c r="I55">
        <v>-3.8263319999999998</v>
      </c>
      <c r="J55">
        <v>-1.7235180000000001</v>
      </c>
      <c r="K55">
        <v>1.48</v>
      </c>
    </row>
    <row r="56" spans="1:18" x14ac:dyDescent="0.3">
      <c r="A56">
        <v>20</v>
      </c>
      <c r="B56" t="s">
        <v>30</v>
      </c>
      <c r="C56">
        <v>7</v>
      </c>
      <c r="D56" t="s">
        <v>13</v>
      </c>
      <c r="E56" t="s">
        <v>11</v>
      </c>
      <c r="F56">
        <v>16</v>
      </c>
      <c r="G56">
        <v>13.35</v>
      </c>
      <c r="H56">
        <v>-34.56</v>
      </c>
      <c r="I56">
        <v>-3.0799219999999998</v>
      </c>
      <c r="J56">
        <v>-1.2872699999999999</v>
      </c>
      <c r="K56">
        <v>-0.88</v>
      </c>
    </row>
    <row r="57" spans="1:18" x14ac:dyDescent="0.3">
      <c r="A57">
        <v>102</v>
      </c>
      <c r="B57" t="s">
        <v>30</v>
      </c>
      <c r="C57">
        <v>7</v>
      </c>
      <c r="D57" t="s">
        <v>13</v>
      </c>
      <c r="E57" t="s">
        <v>11</v>
      </c>
      <c r="F57">
        <v>16</v>
      </c>
      <c r="G57">
        <v>13.69</v>
      </c>
      <c r="H57">
        <v>-34.58</v>
      </c>
      <c r="I57" t="s">
        <v>31</v>
      </c>
      <c r="J57" t="s">
        <v>31</v>
      </c>
      <c r="K57">
        <v>-100</v>
      </c>
    </row>
    <row r="58" spans="1:18" x14ac:dyDescent="0.3">
      <c r="A58">
        <v>115</v>
      </c>
      <c r="B58" t="s">
        <v>30</v>
      </c>
      <c r="C58">
        <v>7</v>
      </c>
      <c r="D58" t="s">
        <v>13</v>
      </c>
      <c r="E58" t="s">
        <v>11</v>
      </c>
      <c r="F58">
        <v>16</v>
      </c>
      <c r="G58">
        <v>13.75</v>
      </c>
      <c r="H58">
        <v>-34.590000000000003</v>
      </c>
      <c r="I58">
        <v>-3.2786979999999999</v>
      </c>
      <c r="J58">
        <v>-0.84856799999999999</v>
      </c>
      <c r="K58">
        <v>3.12</v>
      </c>
    </row>
    <row r="59" spans="1:18" x14ac:dyDescent="0.3">
      <c r="A59">
        <v>2</v>
      </c>
      <c r="B59" t="s">
        <v>30</v>
      </c>
      <c r="C59">
        <v>7</v>
      </c>
      <c r="D59" t="s">
        <v>13</v>
      </c>
      <c r="E59" t="s">
        <v>11</v>
      </c>
      <c r="F59">
        <v>16</v>
      </c>
      <c r="G59">
        <v>13.3</v>
      </c>
      <c r="H59">
        <v>-34.6</v>
      </c>
      <c r="I59">
        <v>-4.1603890000000003</v>
      </c>
      <c r="J59">
        <v>-2.1320109999999999</v>
      </c>
      <c r="K59">
        <v>0.52</v>
      </c>
      <c r="N59">
        <f>AVERAGE(H58:H569)</f>
        <v>-36.427878787878782</v>
      </c>
      <c r="O59">
        <f>STDEV(H58:H569)</f>
        <v>1.430032291353015</v>
      </c>
      <c r="P59">
        <f>ROUND(N59 + 2, 1)</f>
        <v>-34.4</v>
      </c>
      <c r="Q59">
        <f>ROUND(N59 -2, 1)</f>
        <v>-38.4</v>
      </c>
      <c r="R59">
        <f>(P59-N59)/(3*O59)</f>
        <v>0.47268834420517891</v>
      </c>
    </row>
    <row r="60" spans="1:18" x14ac:dyDescent="0.3">
      <c r="A60">
        <v>18</v>
      </c>
      <c r="B60" t="s">
        <v>30</v>
      </c>
      <c r="C60">
        <v>7</v>
      </c>
      <c r="D60" t="s">
        <v>13</v>
      </c>
      <c r="E60" t="s">
        <v>11</v>
      </c>
      <c r="F60">
        <v>16</v>
      </c>
      <c r="G60">
        <v>13.61</v>
      </c>
      <c r="H60">
        <v>-34.619999999999997</v>
      </c>
      <c r="I60">
        <v>-4.711792</v>
      </c>
      <c r="J60">
        <v>-2.4753419999999999</v>
      </c>
      <c r="K60">
        <v>1.44</v>
      </c>
    </row>
    <row r="61" spans="1:18" x14ac:dyDescent="0.3">
      <c r="A61">
        <v>75</v>
      </c>
      <c r="B61" t="s">
        <v>30</v>
      </c>
      <c r="C61">
        <v>7</v>
      </c>
      <c r="D61" t="s">
        <v>13</v>
      </c>
      <c r="E61" t="s">
        <v>11</v>
      </c>
      <c r="F61">
        <v>16</v>
      </c>
      <c r="G61">
        <v>13.1</v>
      </c>
      <c r="H61">
        <v>-34.729999999999997</v>
      </c>
      <c r="I61">
        <v>-3.355461</v>
      </c>
      <c r="J61">
        <v>-0.87212369999999995</v>
      </c>
      <c r="K61">
        <v>-0.87</v>
      </c>
    </row>
    <row r="62" spans="1:18" x14ac:dyDescent="0.3">
      <c r="A62">
        <v>58</v>
      </c>
      <c r="B62" t="s">
        <v>30</v>
      </c>
      <c r="C62">
        <v>7</v>
      </c>
      <c r="D62" t="s">
        <v>13</v>
      </c>
      <c r="E62" t="s">
        <v>11</v>
      </c>
      <c r="F62">
        <v>16</v>
      </c>
      <c r="G62">
        <v>13.28</v>
      </c>
      <c r="H62">
        <v>-34.76</v>
      </c>
      <c r="I62">
        <v>-4.5792270000000004</v>
      </c>
      <c r="J62">
        <v>-2.1632959999999999</v>
      </c>
      <c r="K62">
        <v>3.18</v>
      </c>
    </row>
    <row r="63" spans="1:18" x14ac:dyDescent="0.3">
      <c r="A63">
        <v>21</v>
      </c>
      <c r="B63" t="s">
        <v>30</v>
      </c>
      <c r="C63">
        <v>7</v>
      </c>
      <c r="D63" t="s">
        <v>13</v>
      </c>
      <c r="E63" t="s">
        <v>11</v>
      </c>
      <c r="F63">
        <v>16</v>
      </c>
      <c r="G63">
        <v>13.79</v>
      </c>
      <c r="H63">
        <v>-34.79</v>
      </c>
      <c r="I63">
        <v>-4.2546460000000002</v>
      </c>
      <c r="J63">
        <v>-2.082611</v>
      </c>
      <c r="K63">
        <v>0.46</v>
      </c>
    </row>
    <row r="64" spans="1:18" x14ac:dyDescent="0.3">
      <c r="A64">
        <v>94</v>
      </c>
      <c r="B64" t="s">
        <v>30</v>
      </c>
      <c r="C64">
        <v>7</v>
      </c>
      <c r="D64" t="s">
        <v>13</v>
      </c>
      <c r="E64" t="s">
        <v>11</v>
      </c>
      <c r="F64">
        <v>16</v>
      </c>
      <c r="G64">
        <v>13.66</v>
      </c>
      <c r="H64">
        <v>-34.79</v>
      </c>
      <c r="I64">
        <v>-4.5398139999999998</v>
      </c>
      <c r="J64">
        <v>-2.1401370000000002</v>
      </c>
      <c r="K64">
        <v>0.17</v>
      </c>
    </row>
    <row r="65" spans="1:11" x14ac:dyDescent="0.3">
      <c r="A65">
        <v>33</v>
      </c>
      <c r="B65" t="s">
        <v>30</v>
      </c>
      <c r="C65">
        <v>7</v>
      </c>
      <c r="D65" t="s">
        <v>13</v>
      </c>
      <c r="E65" t="s">
        <v>11</v>
      </c>
      <c r="F65">
        <v>16</v>
      </c>
      <c r="G65">
        <v>12.96</v>
      </c>
      <c r="H65">
        <v>-34.799999999999997</v>
      </c>
      <c r="I65">
        <v>-6.6712680000000004</v>
      </c>
      <c r="J65">
        <v>-4.4440309999999998</v>
      </c>
      <c r="K65">
        <v>3.39</v>
      </c>
    </row>
    <row r="66" spans="1:11" x14ac:dyDescent="0.3">
      <c r="A66">
        <v>73</v>
      </c>
      <c r="B66" t="s">
        <v>30</v>
      </c>
      <c r="C66">
        <v>7</v>
      </c>
      <c r="D66" t="s">
        <v>13</v>
      </c>
      <c r="E66" t="s">
        <v>11</v>
      </c>
      <c r="F66">
        <v>16</v>
      </c>
      <c r="G66">
        <v>13.26</v>
      </c>
      <c r="H66">
        <v>-34.82</v>
      </c>
      <c r="I66">
        <v>-4.4948880000000004</v>
      </c>
      <c r="J66">
        <v>-2.4378090000000001</v>
      </c>
      <c r="K66">
        <v>0.65</v>
      </c>
    </row>
    <row r="67" spans="1:11" x14ac:dyDescent="0.3">
      <c r="A67">
        <v>76</v>
      </c>
      <c r="B67" t="s">
        <v>30</v>
      </c>
      <c r="C67">
        <v>7</v>
      </c>
      <c r="D67" t="s">
        <v>13</v>
      </c>
      <c r="E67" t="s">
        <v>11</v>
      </c>
      <c r="F67">
        <v>16</v>
      </c>
      <c r="G67">
        <v>13.71</v>
      </c>
      <c r="H67">
        <v>-34.840000000000003</v>
      </c>
      <c r="I67">
        <v>-4.1100009999999996</v>
      </c>
      <c r="J67">
        <v>-1.8792690000000001</v>
      </c>
      <c r="K67">
        <v>0.33</v>
      </c>
    </row>
    <row r="68" spans="1:11" x14ac:dyDescent="0.3">
      <c r="A68">
        <v>63</v>
      </c>
      <c r="B68" t="s">
        <v>30</v>
      </c>
      <c r="C68">
        <v>7</v>
      </c>
      <c r="D68" t="s">
        <v>13</v>
      </c>
      <c r="E68" t="s">
        <v>11</v>
      </c>
      <c r="F68">
        <v>16</v>
      </c>
      <c r="G68">
        <v>13.65</v>
      </c>
      <c r="H68">
        <v>-34.89</v>
      </c>
      <c r="I68">
        <v>-5.0227430000000002</v>
      </c>
      <c r="J68">
        <v>-2.6085210000000001</v>
      </c>
      <c r="K68">
        <v>-0.38</v>
      </c>
    </row>
    <row r="69" spans="1:11" x14ac:dyDescent="0.3">
      <c r="A69">
        <v>81</v>
      </c>
      <c r="B69" t="s">
        <v>30</v>
      </c>
      <c r="C69">
        <v>7</v>
      </c>
      <c r="D69" t="s">
        <v>13</v>
      </c>
      <c r="E69" t="s">
        <v>11</v>
      </c>
      <c r="F69">
        <v>16</v>
      </c>
      <c r="G69">
        <v>13.37</v>
      </c>
      <c r="H69">
        <v>-34.9</v>
      </c>
      <c r="I69">
        <v>-5.0605549999999999</v>
      </c>
      <c r="J69">
        <v>-2.598293</v>
      </c>
      <c r="K69">
        <v>-0.11</v>
      </c>
    </row>
    <row r="70" spans="1:11" x14ac:dyDescent="0.3">
      <c r="A70">
        <v>6</v>
      </c>
      <c r="B70" t="s">
        <v>30</v>
      </c>
      <c r="C70">
        <v>7</v>
      </c>
      <c r="D70" t="s">
        <v>13</v>
      </c>
      <c r="E70" t="s">
        <v>11</v>
      </c>
      <c r="F70">
        <v>16</v>
      </c>
      <c r="G70">
        <v>13.58</v>
      </c>
      <c r="H70">
        <v>-35.07</v>
      </c>
      <c r="I70">
        <v>-4.6824339999999998</v>
      </c>
      <c r="J70">
        <v>-2.4285770000000002</v>
      </c>
      <c r="K70">
        <v>-1.75</v>
      </c>
    </row>
    <row r="71" spans="1:11" x14ac:dyDescent="0.3">
      <c r="A71">
        <v>48</v>
      </c>
      <c r="B71" t="s">
        <v>30</v>
      </c>
      <c r="C71">
        <v>7</v>
      </c>
      <c r="D71" t="s">
        <v>13</v>
      </c>
      <c r="E71" t="s">
        <v>11</v>
      </c>
      <c r="F71">
        <v>16</v>
      </c>
      <c r="G71">
        <v>13.47</v>
      </c>
      <c r="H71">
        <v>-35.08</v>
      </c>
      <c r="I71">
        <v>-4.443867</v>
      </c>
      <c r="J71">
        <v>-2.4010729999999998</v>
      </c>
      <c r="K71">
        <v>9.16</v>
      </c>
    </row>
    <row r="72" spans="1:11" x14ac:dyDescent="0.3">
      <c r="A72">
        <v>90</v>
      </c>
      <c r="B72" t="s">
        <v>30</v>
      </c>
      <c r="C72">
        <v>7</v>
      </c>
      <c r="D72" t="s">
        <v>13</v>
      </c>
      <c r="E72" t="s">
        <v>11</v>
      </c>
      <c r="F72">
        <v>16</v>
      </c>
      <c r="G72">
        <v>13</v>
      </c>
      <c r="H72">
        <v>-35.090000000000003</v>
      </c>
      <c r="I72">
        <v>-5.2738420000000001</v>
      </c>
      <c r="J72">
        <v>-3.0652919999999999</v>
      </c>
      <c r="K72">
        <v>0.44</v>
      </c>
    </row>
    <row r="73" spans="1:11" x14ac:dyDescent="0.3">
      <c r="A73">
        <v>111</v>
      </c>
      <c r="B73" t="s">
        <v>30</v>
      </c>
      <c r="C73">
        <v>7</v>
      </c>
      <c r="D73" t="s">
        <v>13</v>
      </c>
      <c r="E73" t="s">
        <v>11</v>
      </c>
      <c r="F73">
        <v>16</v>
      </c>
      <c r="G73">
        <v>13.37</v>
      </c>
      <c r="H73">
        <v>-35.130000000000003</v>
      </c>
      <c r="I73">
        <v>-5.7922479999999998</v>
      </c>
      <c r="J73">
        <v>-3.3990140000000002</v>
      </c>
      <c r="K73">
        <v>2.96</v>
      </c>
    </row>
    <row r="74" spans="1:11" x14ac:dyDescent="0.3">
      <c r="A74">
        <v>29</v>
      </c>
      <c r="B74" t="s">
        <v>30</v>
      </c>
      <c r="C74">
        <v>7</v>
      </c>
      <c r="D74" t="s">
        <v>13</v>
      </c>
      <c r="E74" t="s">
        <v>11</v>
      </c>
      <c r="F74">
        <v>16</v>
      </c>
      <c r="G74">
        <v>13.36</v>
      </c>
      <c r="H74">
        <v>-35.14</v>
      </c>
      <c r="I74">
        <v>-4.8522530000000001</v>
      </c>
      <c r="J74">
        <v>-2.8199459999999998</v>
      </c>
      <c r="K74">
        <v>4.3600000000000003</v>
      </c>
    </row>
    <row r="75" spans="1:11" x14ac:dyDescent="0.3">
      <c r="A75">
        <v>7</v>
      </c>
      <c r="B75" t="s">
        <v>30</v>
      </c>
      <c r="C75">
        <v>7</v>
      </c>
      <c r="D75" t="s">
        <v>13</v>
      </c>
      <c r="E75" t="s">
        <v>11</v>
      </c>
      <c r="F75">
        <v>16</v>
      </c>
      <c r="G75">
        <v>13.54</v>
      </c>
      <c r="H75">
        <v>-35.15</v>
      </c>
      <c r="I75">
        <v>-5.1705670000000001</v>
      </c>
      <c r="J75">
        <v>-3.1453859999999998</v>
      </c>
      <c r="K75">
        <v>-0.35</v>
      </c>
    </row>
    <row r="76" spans="1:11" x14ac:dyDescent="0.3">
      <c r="A76">
        <v>66</v>
      </c>
      <c r="B76" t="s">
        <v>30</v>
      </c>
      <c r="C76">
        <v>7</v>
      </c>
      <c r="D76" t="s">
        <v>13</v>
      </c>
      <c r="E76" t="s">
        <v>11</v>
      </c>
      <c r="F76">
        <v>16</v>
      </c>
      <c r="G76">
        <v>13.05</v>
      </c>
      <c r="H76">
        <v>-35.19</v>
      </c>
      <c r="I76">
        <v>-5.4306720000000004</v>
      </c>
      <c r="J76">
        <v>-3.1944659999999998</v>
      </c>
      <c r="K76">
        <v>3.91</v>
      </c>
    </row>
    <row r="77" spans="1:11" x14ac:dyDescent="0.3">
      <c r="A77">
        <v>105</v>
      </c>
      <c r="B77" t="s">
        <v>30</v>
      </c>
      <c r="C77">
        <v>7</v>
      </c>
      <c r="D77" t="s">
        <v>13</v>
      </c>
      <c r="E77" t="s">
        <v>11</v>
      </c>
      <c r="F77">
        <v>16</v>
      </c>
      <c r="G77">
        <v>13.11</v>
      </c>
      <c r="H77">
        <v>-35.22</v>
      </c>
      <c r="I77">
        <v>-4.2005730000000003</v>
      </c>
      <c r="J77">
        <v>-2.1712950000000002</v>
      </c>
      <c r="K77">
        <v>-0.08</v>
      </c>
    </row>
    <row r="78" spans="1:11" x14ac:dyDescent="0.3">
      <c r="A78">
        <v>42</v>
      </c>
      <c r="B78" t="s">
        <v>30</v>
      </c>
      <c r="C78">
        <v>7</v>
      </c>
      <c r="D78" t="s">
        <v>13</v>
      </c>
      <c r="E78" t="s">
        <v>11</v>
      </c>
      <c r="F78">
        <v>16</v>
      </c>
      <c r="G78">
        <v>13.37</v>
      </c>
      <c r="H78">
        <v>-35.35</v>
      </c>
      <c r="I78">
        <v>-4.3699909999999997</v>
      </c>
      <c r="J78">
        <v>-2.242092</v>
      </c>
      <c r="K78">
        <v>1.97</v>
      </c>
    </row>
    <row r="79" spans="1:11" x14ac:dyDescent="0.3">
      <c r="A79">
        <v>93</v>
      </c>
      <c r="B79" t="s">
        <v>30</v>
      </c>
      <c r="C79">
        <v>7</v>
      </c>
      <c r="D79" t="s">
        <v>13</v>
      </c>
      <c r="E79" t="s">
        <v>11</v>
      </c>
      <c r="F79">
        <v>16</v>
      </c>
      <c r="G79">
        <v>13.12</v>
      </c>
      <c r="H79">
        <v>-35.47</v>
      </c>
      <c r="I79" t="s">
        <v>31</v>
      </c>
      <c r="J79" t="s">
        <v>31</v>
      </c>
      <c r="K79">
        <v>-100</v>
      </c>
    </row>
    <row r="80" spans="1:11" x14ac:dyDescent="0.3">
      <c r="A80">
        <v>23</v>
      </c>
      <c r="B80" t="s">
        <v>30</v>
      </c>
      <c r="C80">
        <v>7</v>
      </c>
      <c r="D80" t="s">
        <v>13</v>
      </c>
      <c r="E80" t="s">
        <v>11</v>
      </c>
      <c r="F80">
        <v>16</v>
      </c>
      <c r="G80">
        <v>13.73</v>
      </c>
      <c r="H80">
        <v>-35.590000000000003</v>
      </c>
      <c r="I80">
        <v>-5.3098260000000002</v>
      </c>
      <c r="J80">
        <v>-2.943352</v>
      </c>
      <c r="K80">
        <v>0.32</v>
      </c>
    </row>
    <row r="81" spans="1:18" x14ac:dyDescent="0.3">
      <c r="A81">
        <v>114</v>
      </c>
      <c r="B81" t="s">
        <v>30</v>
      </c>
      <c r="C81">
        <v>7</v>
      </c>
      <c r="D81" t="s">
        <v>13</v>
      </c>
      <c r="E81" t="s">
        <v>11</v>
      </c>
      <c r="F81">
        <v>16</v>
      </c>
      <c r="G81">
        <v>13.25</v>
      </c>
      <c r="H81">
        <v>-35.659999999999997</v>
      </c>
      <c r="I81">
        <v>-4.9602130000000004</v>
      </c>
      <c r="J81">
        <v>-2.8232189999999999</v>
      </c>
      <c r="K81">
        <v>3.33</v>
      </c>
    </row>
    <row r="82" spans="1:18" x14ac:dyDescent="0.3">
      <c r="A82">
        <v>11</v>
      </c>
      <c r="B82" t="s">
        <v>30</v>
      </c>
      <c r="C82">
        <v>7</v>
      </c>
      <c r="D82" t="s">
        <v>13</v>
      </c>
      <c r="E82" t="s">
        <v>11</v>
      </c>
      <c r="F82">
        <v>16</v>
      </c>
      <c r="G82">
        <v>13.82</v>
      </c>
      <c r="H82">
        <v>-35.67</v>
      </c>
      <c r="I82">
        <v>-4.6282420000000002</v>
      </c>
      <c r="J82">
        <v>-2.6334270000000002</v>
      </c>
      <c r="K82">
        <v>-0.02</v>
      </c>
    </row>
    <row r="83" spans="1:18" x14ac:dyDescent="0.3">
      <c r="A83">
        <v>28</v>
      </c>
      <c r="B83" t="s">
        <v>30</v>
      </c>
      <c r="C83">
        <v>7</v>
      </c>
      <c r="D83" t="s">
        <v>13</v>
      </c>
      <c r="E83" t="s">
        <v>11</v>
      </c>
      <c r="F83">
        <v>16</v>
      </c>
      <c r="G83">
        <v>12.9</v>
      </c>
      <c r="H83">
        <v>-35.68</v>
      </c>
      <c r="I83">
        <v>-5.6089669999999998</v>
      </c>
      <c r="J83">
        <v>-3.4771649999999998</v>
      </c>
      <c r="K83">
        <v>-0.68</v>
      </c>
    </row>
    <row r="84" spans="1:18" x14ac:dyDescent="0.3">
      <c r="A84">
        <v>74</v>
      </c>
      <c r="B84" t="s">
        <v>30</v>
      </c>
      <c r="C84">
        <v>7</v>
      </c>
      <c r="D84" t="s">
        <v>13</v>
      </c>
      <c r="E84" t="s">
        <v>11</v>
      </c>
      <c r="F84">
        <v>16</v>
      </c>
      <c r="G84">
        <v>13.12</v>
      </c>
      <c r="H84">
        <v>-35.729999999999997</v>
      </c>
      <c r="I84">
        <v>-3.772945</v>
      </c>
      <c r="J84">
        <v>-2.331493</v>
      </c>
      <c r="K84">
        <v>5.54</v>
      </c>
    </row>
    <row r="85" spans="1:18" x14ac:dyDescent="0.3">
      <c r="A85">
        <v>113</v>
      </c>
      <c r="B85" t="s">
        <v>30</v>
      </c>
      <c r="C85">
        <v>7</v>
      </c>
      <c r="D85" t="s">
        <v>13</v>
      </c>
      <c r="E85" t="s">
        <v>11</v>
      </c>
      <c r="F85">
        <v>16</v>
      </c>
      <c r="G85">
        <v>13.56</v>
      </c>
      <c r="H85">
        <v>-35.729999999999997</v>
      </c>
      <c r="I85">
        <v>-4.4981989999999996</v>
      </c>
      <c r="J85">
        <v>-2.3932570000000002</v>
      </c>
      <c r="K85">
        <v>0.24</v>
      </c>
    </row>
    <row r="86" spans="1:18" x14ac:dyDescent="0.3">
      <c r="A86">
        <v>15</v>
      </c>
      <c r="B86" t="s">
        <v>30</v>
      </c>
      <c r="C86">
        <v>7</v>
      </c>
      <c r="D86" t="s">
        <v>13</v>
      </c>
      <c r="E86" t="s">
        <v>11</v>
      </c>
      <c r="F86">
        <v>16</v>
      </c>
      <c r="G86">
        <v>13.49</v>
      </c>
      <c r="H86">
        <v>-35.81</v>
      </c>
      <c r="I86">
        <v>-4.3285410000000004</v>
      </c>
      <c r="J86">
        <v>-2.3017729999999998</v>
      </c>
      <c r="K86">
        <v>0.66</v>
      </c>
    </row>
    <row r="87" spans="1:18" x14ac:dyDescent="0.3">
      <c r="A87">
        <v>1</v>
      </c>
      <c r="B87" t="s">
        <v>30</v>
      </c>
      <c r="C87">
        <v>7</v>
      </c>
      <c r="D87" t="s">
        <v>13</v>
      </c>
      <c r="E87" t="s">
        <v>11</v>
      </c>
      <c r="F87">
        <v>16</v>
      </c>
      <c r="G87">
        <v>13.46</v>
      </c>
      <c r="H87">
        <v>-35.840000000000003</v>
      </c>
      <c r="I87">
        <v>-4.7549250000000001</v>
      </c>
      <c r="J87">
        <v>-2.5940479999999999</v>
      </c>
      <c r="K87">
        <v>-1.47</v>
      </c>
      <c r="N87">
        <f>AVERAGE(G87:G598)</f>
        <v>13.412972972972973</v>
      </c>
      <c r="O87">
        <f>STDEV(G87:G598)</f>
        <v>0.24947572655097763</v>
      </c>
      <c r="P87">
        <f>ROUND(N87 + 2, 1)</f>
        <v>15.4</v>
      </c>
      <c r="Q87">
        <f>ROUND(N87 -2, 1)</f>
        <v>11.4</v>
      </c>
      <c r="R87">
        <f>(P87-N87)/(3*O87)</f>
        <v>2.6549370213258001</v>
      </c>
    </row>
    <row r="88" spans="1:18" x14ac:dyDescent="0.3">
      <c r="A88">
        <v>41</v>
      </c>
      <c r="B88" t="s">
        <v>30</v>
      </c>
      <c r="C88">
        <v>7</v>
      </c>
      <c r="D88" t="s">
        <v>13</v>
      </c>
      <c r="E88" t="s">
        <v>11</v>
      </c>
      <c r="F88">
        <v>16</v>
      </c>
      <c r="G88">
        <v>13.3</v>
      </c>
      <c r="H88">
        <v>-35.85</v>
      </c>
      <c r="I88">
        <v>-6.0228919999999997</v>
      </c>
      <c r="J88">
        <v>-3.7871860000000002</v>
      </c>
      <c r="K88">
        <v>-1.94</v>
      </c>
    </row>
    <row r="89" spans="1:18" x14ac:dyDescent="0.3">
      <c r="A89">
        <v>98</v>
      </c>
      <c r="B89" t="s">
        <v>30</v>
      </c>
      <c r="C89">
        <v>7</v>
      </c>
      <c r="D89" t="s">
        <v>13</v>
      </c>
      <c r="E89" t="s">
        <v>11</v>
      </c>
      <c r="F89">
        <v>16</v>
      </c>
      <c r="G89">
        <v>13.04</v>
      </c>
      <c r="H89">
        <v>-35.92</v>
      </c>
      <c r="I89" t="s">
        <v>31</v>
      </c>
      <c r="J89" t="s">
        <v>31</v>
      </c>
      <c r="K89">
        <v>-100</v>
      </c>
    </row>
    <row r="90" spans="1:18" x14ac:dyDescent="0.3">
      <c r="A90">
        <v>12</v>
      </c>
      <c r="B90" t="s">
        <v>30</v>
      </c>
      <c r="C90">
        <v>7</v>
      </c>
      <c r="D90" t="s">
        <v>13</v>
      </c>
      <c r="E90" t="s">
        <v>11</v>
      </c>
      <c r="F90">
        <v>16</v>
      </c>
      <c r="G90">
        <v>13.9</v>
      </c>
      <c r="H90">
        <v>-36.08</v>
      </c>
      <c r="I90">
        <v>-4.7370190000000001</v>
      </c>
      <c r="J90">
        <v>-2.5747339999999999</v>
      </c>
      <c r="K90">
        <v>-0.03</v>
      </c>
    </row>
    <row r="91" spans="1:18" x14ac:dyDescent="0.3">
      <c r="A91">
        <v>25</v>
      </c>
      <c r="B91" t="s">
        <v>30</v>
      </c>
      <c r="C91">
        <v>7</v>
      </c>
      <c r="D91" t="s">
        <v>13</v>
      </c>
      <c r="E91" t="s">
        <v>11</v>
      </c>
      <c r="F91">
        <v>16</v>
      </c>
      <c r="G91">
        <v>13.26</v>
      </c>
      <c r="H91">
        <v>-36.17</v>
      </c>
      <c r="I91">
        <v>-4.6917080000000002</v>
      </c>
      <c r="J91">
        <v>-4.6917080000000002</v>
      </c>
      <c r="K91">
        <v>-1.66</v>
      </c>
    </row>
    <row r="92" spans="1:18" x14ac:dyDescent="0.3">
      <c r="A92">
        <v>37</v>
      </c>
      <c r="B92" t="s">
        <v>30</v>
      </c>
      <c r="C92">
        <v>7</v>
      </c>
      <c r="D92" t="s">
        <v>13</v>
      </c>
      <c r="E92" t="s">
        <v>11</v>
      </c>
      <c r="F92">
        <v>16</v>
      </c>
      <c r="G92">
        <v>13.68</v>
      </c>
      <c r="H92">
        <v>-36.340000000000003</v>
      </c>
      <c r="I92">
        <v>-5.5323450000000003</v>
      </c>
      <c r="J92">
        <v>-3.2681879999999999</v>
      </c>
      <c r="K92">
        <v>-0.91</v>
      </c>
    </row>
    <row r="93" spans="1:18" x14ac:dyDescent="0.3">
      <c r="A93">
        <v>95</v>
      </c>
      <c r="B93" t="s">
        <v>30</v>
      </c>
      <c r="C93">
        <v>7</v>
      </c>
      <c r="D93" t="s">
        <v>13</v>
      </c>
      <c r="E93" t="s">
        <v>11</v>
      </c>
      <c r="F93">
        <v>16</v>
      </c>
      <c r="G93">
        <v>13.42</v>
      </c>
      <c r="H93">
        <v>-36.409999999999997</v>
      </c>
      <c r="I93">
        <v>-4.3377569999999999</v>
      </c>
      <c r="J93">
        <v>-1.81324</v>
      </c>
      <c r="K93">
        <v>0.34</v>
      </c>
    </row>
    <row r="94" spans="1:18" x14ac:dyDescent="0.3">
      <c r="A94">
        <v>96</v>
      </c>
      <c r="B94" t="s">
        <v>30</v>
      </c>
      <c r="C94">
        <v>7</v>
      </c>
      <c r="D94" t="s">
        <v>13</v>
      </c>
      <c r="E94" t="s">
        <v>11</v>
      </c>
      <c r="F94">
        <v>16</v>
      </c>
      <c r="G94">
        <v>13.44</v>
      </c>
      <c r="H94">
        <v>-36.43</v>
      </c>
      <c r="I94">
        <v>-5.2964589999999996</v>
      </c>
      <c r="J94">
        <v>-2.9009019999999999</v>
      </c>
      <c r="K94">
        <v>0.7</v>
      </c>
    </row>
    <row r="95" spans="1:18" x14ac:dyDescent="0.3">
      <c r="A95">
        <v>19</v>
      </c>
      <c r="B95" t="s">
        <v>30</v>
      </c>
      <c r="C95">
        <v>7</v>
      </c>
      <c r="D95" t="s">
        <v>13</v>
      </c>
      <c r="E95" t="s">
        <v>11</v>
      </c>
      <c r="F95">
        <v>16</v>
      </c>
      <c r="G95">
        <v>13.91</v>
      </c>
      <c r="H95">
        <v>-36.49</v>
      </c>
      <c r="I95">
        <v>-5.2589300000000003</v>
      </c>
      <c r="J95">
        <v>-3.1152920000000002</v>
      </c>
      <c r="K95">
        <v>0.73</v>
      </c>
    </row>
    <row r="96" spans="1:18" x14ac:dyDescent="0.3">
      <c r="A96">
        <v>53</v>
      </c>
      <c r="B96" t="s">
        <v>30</v>
      </c>
      <c r="C96">
        <v>7</v>
      </c>
      <c r="D96" t="s">
        <v>13</v>
      </c>
      <c r="E96" t="s">
        <v>11</v>
      </c>
      <c r="F96">
        <v>16</v>
      </c>
      <c r="G96">
        <v>12.84</v>
      </c>
      <c r="H96">
        <v>-36.520000000000003</v>
      </c>
      <c r="I96">
        <v>-5.465427</v>
      </c>
      <c r="J96">
        <v>-3.3345259999999999</v>
      </c>
      <c r="K96">
        <v>6.74</v>
      </c>
    </row>
    <row r="97" spans="1:11" x14ac:dyDescent="0.3">
      <c r="A97">
        <v>97</v>
      </c>
      <c r="B97" t="s">
        <v>30</v>
      </c>
      <c r="C97">
        <v>7</v>
      </c>
      <c r="D97" t="s">
        <v>13</v>
      </c>
      <c r="E97" t="s">
        <v>11</v>
      </c>
      <c r="F97">
        <v>16</v>
      </c>
      <c r="G97">
        <v>13.41</v>
      </c>
      <c r="H97">
        <v>-36.520000000000003</v>
      </c>
      <c r="I97">
        <v>-5.5102690000000001</v>
      </c>
      <c r="J97">
        <v>-3.0220220000000002</v>
      </c>
      <c r="K97">
        <v>0.66</v>
      </c>
    </row>
    <row r="98" spans="1:11" x14ac:dyDescent="0.3">
      <c r="A98">
        <v>101</v>
      </c>
      <c r="B98" t="s">
        <v>30</v>
      </c>
      <c r="C98">
        <v>7</v>
      </c>
      <c r="D98" t="s">
        <v>13</v>
      </c>
      <c r="E98" t="s">
        <v>11</v>
      </c>
      <c r="F98">
        <v>16</v>
      </c>
      <c r="G98">
        <v>13.3</v>
      </c>
      <c r="H98">
        <v>-36.78</v>
      </c>
      <c r="I98">
        <v>-5.5546259999999998</v>
      </c>
      <c r="J98">
        <v>-2.9667849999999998</v>
      </c>
      <c r="K98">
        <v>-0.53</v>
      </c>
    </row>
    <row r="99" spans="1:11" x14ac:dyDescent="0.3">
      <c r="A99">
        <v>47</v>
      </c>
      <c r="B99" t="s">
        <v>30</v>
      </c>
      <c r="C99">
        <v>7</v>
      </c>
      <c r="D99" t="s">
        <v>13</v>
      </c>
      <c r="E99" t="s">
        <v>11</v>
      </c>
      <c r="F99">
        <v>16</v>
      </c>
      <c r="G99">
        <v>13.27</v>
      </c>
      <c r="H99">
        <v>-36.799999999999997</v>
      </c>
      <c r="I99">
        <v>-6.3434030000000003</v>
      </c>
      <c r="J99">
        <v>-3.812592</v>
      </c>
      <c r="K99">
        <v>0.68</v>
      </c>
    </row>
    <row r="100" spans="1:11" x14ac:dyDescent="0.3">
      <c r="A100">
        <v>13</v>
      </c>
      <c r="B100" t="s">
        <v>30</v>
      </c>
      <c r="C100">
        <v>7</v>
      </c>
      <c r="D100" t="s">
        <v>13</v>
      </c>
      <c r="E100" t="s">
        <v>11</v>
      </c>
      <c r="F100">
        <v>16</v>
      </c>
      <c r="G100">
        <v>13.49</v>
      </c>
      <c r="H100">
        <v>-36.92</v>
      </c>
      <c r="I100">
        <v>-5.7433779999999999</v>
      </c>
      <c r="J100">
        <v>-3.813904</v>
      </c>
      <c r="K100">
        <v>-0.15</v>
      </c>
    </row>
    <row r="101" spans="1:11" x14ac:dyDescent="0.3">
      <c r="A101">
        <v>46</v>
      </c>
      <c r="B101" t="s">
        <v>30</v>
      </c>
      <c r="C101">
        <v>7</v>
      </c>
      <c r="D101" t="s">
        <v>13</v>
      </c>
      <c r="E101" t="s">
        <v>11</v>
      </c>
      <c r="F101">
        <v>16</v>
      </c>
      <c r="G101">
        <v>13.38</v>
      </c>
      <c r="H101">
        <v>-36.950000000000003</v>
      </c>
      <c r="I101">
        <v>-4.0683100000000003</v>
      </c>
      <c r="J101">
        <v>-1.897427</v>
      </c>
      <c r="K101">
        <v>-0.23</v>
      </c>
    </row>
    <row r="102" spans="1:11" x14ac:dyDescent="0.3">
      <c r="A102">
        <v>56</v>
      </c>
      <c r="B102" t="s">
        <v>30</v>
      </c>
      <c r="C102">
        <v>7</v>
      </c>
      <c r="D102" t="s">
        <v>13</v>
      </c>
      <c r="E102" t="s">
        <v>11</v>
      </c>
      <c r="F102">
        <v>16</v>
      </c>
      <c r="G102">
        <v>12.78</v>
      </c>
      <c r="H102">
        <v>-37.17</v>
      </c>
      <c r="I102" t="s">
        <v>31</v>
      </c>
      <c r="J102" t="s">
        <v>31</v>
      </c>
      <c r="K102">
        <v>-100</v>
      </c>
    </row>
    <row r="103" spans="1:11" x14ac:dyDescent="0.3">
      <c r="A103">
        <v>54</v>
      </c>
      <c r="B103" t="s">
        <v>30</v>
      </c>
      <c r="C103">
        <v>7</v>
      </c>
      <c r="D103" t="s">
        <v>13</v>
      </c>
      <c r="E103" t="s">
        <v>11</v>
      </c>
      <c r="F103">
        <v>16</v>
      </c>
      <c r="G103">
        <v>13.51</v>
      </c>
      <c r="H103">
        <v>-37.24</v>
      </c>
      <c r="I103">
        <v>-6.0811999999999999</v>
      </c>
      <c r="J103">
        <v>-3.404045</v>
      </c>
      <c r="K103">
        <v>-2.02</v>
      </c>
    </row>
    <row r="104" spans="1:11" x14ac:dyDescent="0.3">
      <c r="A104">
        <v>30</v>
      </c>
      <c r="B104" t="s">
        <v>30</v>
      </c>
      <c r="C104">
        <v>7</v>
      </c>
      <c r="D104" t="s">
        <v>13</v>
      </c>
      <c r="E104" t="s">
        <v>11</v>
      </c>
      <c r="F104">
        <v>16</v>
      </c>
      <c r="G104">
        <v>13.73</v>
      </c>
      <c r="H104">
        <v>-37.4</v>
      </c>
      <c r="I104">
        <v>-6.8195629999999996</v>
      </c>
      <c r="J104">
        <v>-4.5026570000000001</v>
      </c>
      <c r="K104">
        <v>0.05</v>
      </c>
    </row>
    <row r="105" spans="1:11" x14ac:dyDescent="0.3">
      <c r="A105">
        <v>38</v>
      </c>
      <c r="B105" t="s">
        <v>30</v>
      </c>
      <c r="C105">
        <v>7</v>
      </c>
      <c r="D105" t="s">
        <v>13</v>
      </c>
      <c r="E105" t="s">
        <v>11</v>
      </c>
      <c r="F105">
        <v>16</v>
      </c>
      <c r="G105">
        <v>13.54</v>
      </c>
      <c r="H105">
        <v>-37.44</v>
      </c>
      <c r="I105">
        <v>-4.975212</v>
      </c>
      <c r="J105">
        <v>-2.8886989999999999</v>
      </c>
      <c r="K105">
        <v>0.63</v>
      </c>
    </row>
    <row r="106" spans="1:11" x14ac:dyDescent="0.3">
      <c r="A106">
        <v>55</v>
      </c>
      <c r="B106" t="s">
        <v>30</v>
      </c>
      <c r="C106">
        <v>7</v>
      </c>
      <c r="D106" t="s">
        <v>13</v>
      </c>
      <c r="E106" t="s">
        <v>11</v>
      </c>
      <c r="F106">
        <v>16</v>
      </c>
      <c r="G106">
        <v>13.53</v>
      </c>
      <c r="H106">
        <v>-37.54</v>
      </c>
      <c r="I106">
        <v>-5.6945990000000002</v>
      </c>
      <c r="J106">
        <v>-3.5074920000000001</v>
      </c>
      <c r="K106">
        <v>-1.72</v>
      </c>
    </row>
    <row r="107" spans="1:11" x14ac:dyDescent="0.3">
      <c r="A107">
        <v>69</v>
      </c>
      <c r="B107" t="s">
        <v>30</v>
      </c>
      <c r="C107">
        <v>7</v>
      </c>
      <c r="D107" t="s">
        <v>13</v>
      </c>
      <c r="E107" t="s">
        <v>11</v>
      </c>
      <c r="F107">
        <v>16</v>
      </c>
      <c r="G107">
        <v>13.01</v>
      </c>
      <c r="H107">
        <v>-37.57</v>
      </c>
      <c r="I107">
        <v>-6.541779</v>
      </c>
      <c r="J107">
        <v>-4.2644159999999998</v>
      </c>
      <c r="K107">
        <v>-1.01</v>
      </c>
    </row>
    <row r="108" spans="1:11" x14ac:dyDescent="0.3">
      <c r="A108">
        <v>34</v>
      </c>
      <c r="B108" t="s">
        <v>30</v>
      </c>
      <c r="C108">
        <v>7</v>
      </c>
      <c r="D108" t="s">
        <v>13</v>
      </c>
      <c r="E108" t="s">
        <v>11</v>
      </c>
      <c r="F108">
        <v>16</v>
      </c>
      <c r="G108">
        <v>13.22</v>
      </c>
      <c r="H108">
        <v>-37.74</v>
      </c>
      <c r="I108" t="s">
        <v>31</v>
      </c>
      <c r="J108" t="s">
        <v>31</v>
      </c>
      <c r="K108">
        <v>-100</v>
      </c>
    </row>
    <row r="109" spans="1:11" x14ac:dyDescent="0.3">
      <c r="A109">
        <v>35</v>
      </c>
      <c r="B109" t="s">
        <v>30</v>
      </c>
      <c r="C109">
        <v>7</v>
      </c>
      <c r="D109" t="s">
        <v>13</v>
      </c>
      <c r="E109" t="s">
        <v>11</v>
      </c>
      <c r="F109">
        <v>16</v>
      </c>
      <c r="G109">
        <v>13.66</v>
      </c>
      <c r="H109">
        <v>-37.76</v>
      </c>
      <c r="I109">
        <v>-6.1605910000000002</v>
      </c>
      <c r="J109">
        <v>-3.9595069999999999</v>
      </c>
      <c r="K109">
        <v>0.42</v>
      </c>
    </row>
    <row r="110" spans="1:11" x14ac:dyDescent="0.3">
      <c r="A110">
        <v>40</v>
      </c>
      <c r="B110" t="s">
        <v>30</v>
      </c>
      <c r="C110">
        <v>7</v>
      </c>
      <c r="D110" t="s">
        <v>13</v>
      </c>
      <c r="E110" t="s">
        <v>11</v>
      </c>
      <c r="F110">
        <v>16</v>
      </c>
      <c r="G110">
        <v>13.75</v>
      </c>
      <c r="H110">
        <v>-37.81</v>
      </c>
      <c r="I110">
        <v>-6.1906319999999999</v>
      </c>
      <c r="J110">
        <v>-3.7710210000000002</v>
      </c>
      <c r="K110">
        <v>-1.35</v>
      </c>
    </row>
    <row r="111" spans="1:11" x14ac:dyDescent="0.3">
      <c r="A111">
        <v>68</v>
      </c>
      <c r="B111" t="s">
        <v>30</v>
      </c>
      <c r="C111">
        <v>7</v>
      </c>
      <c r="D111" t="s">
        <v>13</v>
      </c>
      <c r="E111" t="s">
        <v>11</v>
      </c>
      <c r="F111">
        <v>16</v>
      </c>
      <c r="G111">
        <v>13.47</v>
      </c>
      <c r="H111">
        <v>-37.82</v>
      </c>
      <c r="I111">
        <v>-6.108765</v>
      </c>
      <c r="J111">
        <v>-3.5265080000000002</v>
      </c>
      <c r="K111">
        <v>1.52</v>
      </c>
    </row>
    <row r="112" spans="1:11" x14ac:dyDescent="0.3">
      <c r="A112">
        <v>50</v>
      </c>
      <c r="B112" t="s">
        <v>30</v>
      </c>
      <c r="C112">
        <v>7</v>
      </c>
      <c r="D112" t="s">
        <v>13</v>
      </c>
      <c r="E112" t="s">
        <v>11</v>
      </c>
      <c r="F112">
        <v>16</v>
      </c>
      <c r="G112">
        <v>13.42</v>
      </c>
      <c r="H112">
        <v>-37.86</v>
      </c>
      <c r="I112">
        <v>-6.5508230000000003</v>
      </c>
      <c r="J112">
        <v>-3.9287800000000002</v>
      </c>
      <c r="K112">
        <v>-0.9</v>
      </c>
    </row>
    <row r="113" spans="1:11" x14ac:dyDescent="0.3">
      <c r="A113">
        <v>4</v>
      </c>
      <c r="B113" t="s">
        <v>30</v>
      </c>
      <c r="C113">
        <v>7</v>
      </c>
      <c r="D113" t="s">
        <v>13</v>
      </c>
      <c r="E113" t="s">
        <v>11</v>
      </c>
      <c r="F113">
        <v>16</v>
      </c>
      <c r="G113">
        <v>13.5</v>
      </c>
      <c r="H113">
        <v>-38.119999999999997</v>
      </c>
      <c r="I113">
        <v>-6.9055939999999998</v>
      </c>
      <c r="J113">
        <v>-4.2818870000000002</v>
      </c>
      <c r="K113">
        <v>-0.28999999999999998</v>
      </c>
    </row>
    <row r="114" spans="1:11" x14ac:dyDescent="0.3">
      <c r="A114">
        <v>32</v>
      </c>
      <c r="B114" t="s">
        <v>30</v>
      </c>
      <c r="C114">
        <v>7</v>
      </c>
      <c r="D114" t="s">
        <v>13</v>
      </c>
      <c r="E114" t="s">
        <v>11</v>
      </c>
      <c r="F114">
        <v>16</v>
      </c>
      <c r="G114">
        <v>13.54</v>
      </c>
      <c r="H114">
        <v>-38.19</v>
      </c>
      <c r="I114">
        <v>-5.4119450000000002</v>
      </c>
      <c r="J114">
        <v>-3.3062019999999999</v>
      </c>
      <c r="K114">
        <v>0.14000000000000001</v>
      </c>
    </row>
    <row r="115" spans="1:11" x14ac:dyDescent="0.3">
      <c r="A115">
        <v>39</v>
      </c>
      <c r="B115" t="s">
        <v>30</v>
      </c>
      <c r="C115">
        <v>7</v>
      </c>
      <c r="D115" t="s">
        <v>13</v>
      </c>
      <c r="E115" t="s">
        <v>11</v>
      </c>
      <c r="F115">
        <v>16</v>
      </c>
      <c r="G115">
        <v>13.47</v>
      </c>
      <c r="H115">
        <v>-38.21</v>
      </c>
      <c r="I115">
        <v>-5.3163799999999997</v>
      </c>
      <c r="J115">
        <v>-3.4466589999999999</v>
      </c>
      <c r="K115">
        <v>-1.49</v>
      </c>
    </row>
    <row r="116" spans="1:11" x14ac:dyDescent="0.3">
      <c r="A116">
        <v>45</v>
      </c>
      <c r="B116" t="s">
        <v>30</v>
      </c>
      <c r="C116">
        <v>7</v>
      </c>
      <c r="D116" t="s">
        <v>13</v>
      </c>
      <c r="E116" t="s">
        <v>11</v>
      </c>
      <c r="F116">
        <v>16</v>
      </c>
      <c r="G116">
        <v>13.32</v>
      </c>
      <c r="H116">
        <v>-38.229999999999997</v>
      </c>
      <c r="I116">
        <v>-6.0260889999999998</v>
      </c>
      <c r="J116">
        <v>-3.6725159999999999</v>
      </c>
      <c r="K116">
        <v>2.31</v>
      </c>
    </row>
    <row r="117" spans="1:11" x14ac:dyDescent="0.3">
      <c r="A117">
        <v>36</v>
      </c>
      <c r="B117" t="s">
        <v>30</v>
      </c>
      <c r="C117">
        <v>7</v>
      </c>
      <c r="D117" t="s">
        <v>13</v>
      </c>
      <c r="E117" t="s">
        <v>11</v>
      </c>
      <c r="F117">
        <v>16</v>
      </c>
      <c r="G117">
        <v>13.55</v>
      </c>
      <c r="H117">
        <v>-38.270000000000003</v>
      </c>
      <c r="I117">
        <v>-6.2958790000000002</v>
      </c>
      <c r="J117">
        <v>-4.0582700000000003</v>
      </c>
      <c r="K117">
        <v>-0.19</v>
      </c>
    </row>
    <row r="118" spans="1:11" x14ac:dyDescent="0.3">
      <c r="A118">
        <v>44</v>
      </c>
      <c r="B118" t="s">
        <v>30</v>
      </c>
      <c r="C118">
        <v>7</v>
      </c>
      <c r="D118" t="s">
        <v>13</v>
      </c>
      <c r="E118" t="s">
        <v>11</v>
      </c>
      <c r="F118">
        <v>16</v>
      </c>
      <c r="G118">
        <v>13.15</v>
      </c>
      <c r="H118">
        <v>-38.49</v>
      </c>
      <c r="I118">
        <v>-5.7380449999999996</v>
      </c>
      <c r="J118">
        <v>-3.6974749999999998</v>
      </c>
      <c r="K118">
        <v>0.08</v>
      </c>
    </row>
    <row r="119" spans="1:11" x14ac:dyDescent="0.3">
      <c r="A119">
        <v>52</v>
      </c>
      <c r="B119" t="s">
        <v>30</v>
      </c>
      <c r="C119">
        <v>7</v>
      </c>
      <c r="D119" t="s">
        <v>13</v>
      </c>
      <c r="E119" t="s">
        <v>11</v>
      </c>
      <c r="F119">
        <v>16</v>
      </c>
      <c r="G119">
        <v>13.33</v>
      </c>
      <c r="H119">
        <v>-38.729999999999997</v>
      </c>
      <c r="I119">
        <v>-5.9745520000000001</v>
      </c>
      <c r="J119">
        <v>-3.8773249999999999</v>
      </c>
      <c r="K119">
        <v>-1.7</v>
      </c>
    </row>
    <row r="120" spans="1:11" x14ac:dyDescent="0.3">
      <c r="A120">
        <v>51</v>
      </c>
      <c r="B120" t="s">
        <v>30</v>
      </c>
      <c r="C120">
        <v>7</v>
      </c>
      <c r="D120" t="s">
        <v>13</v>
      </c>
      <c r="E120" t="s">
        <v>11</v>
      </c>
      <c r="F120">
        <v>16</v>
      </c>
      <c r="G120">
        <v>13.2</v>
      </c>
      <c r="H120">
        <v>-38.9</v>
      </c>
      <c r="I120">
        <v>-7.0434780000000003</v>
      </c>
      <c r="J120">
        <v>-4.8978250000000001</v>
      </c>
      <c r="K120">
        <v>-1.38</v>
      </c>
    </row>
    <row r="121" spans="1:11" x14ac:dyDescent="0.3">
      <c r="A121">
        <v>31</v>
      </c>
      <c r="B121" t="s">
        <v>30</v>
      </c>
      <c r="C121">
        <v>7</v>
      </c>
      <c r="D121" t="s">
        <v>13</v>
      </c>
      <c r="E121" t="s">
        <v>11</v>
      </c>
      <c r="F121">
        <v>16</v>
      </c>
      <c r="G121">
        <v>13.38</v>
      </c>
      <c r="H121">
        <v>-39.130000000000003</v>
      </c>
      <c r="I121">
        <v>-6.5953030000000004</v>
      </c>
      <c r="J121">
        <v>-4.200977</v>
      </c>
      <c r="K121">
        <v>-0.24</v>
      </c>
    </row>
    <row r="122" spans="1:11" x14ac:dyDescent="0.3">
      <c r="A122">
        <v>43</v>
      </c>
      <c r="B122" t="s">
        <v>30</v>
      </c>
      <c r="C122">
        <v>7</v>
      </c>
      <c r="D122" t="s">
        <v>13</v>
      </c>
      <c r="E122" t="s">
        <v>11</v>
      </c>
      <c r="F122">
        <v>16</v>
      </c>
      <c r="G122">
        <v>13.55</v>
      </c>
      <c r="H122">
        <v>-39.19</v>
      </c>
      <c r="I122">
        <v>-6.5590359999999999</v>
      </c>
      <c r="J122">
        <v>-3.9029539999999998</v>
      </c>
      <c r="K122">
        <v>0.46</v>
      </c>
    </row>
    <row r="123" spans="1:11" x14ac:dyDescent="0.3">
      <c r="A123">
        <v>3</v>
      </c>
      <c r="B123" t="s">
        <v>30</v>
      </c>
      <c r="C123">
        <v>7</v>
      </c>
      <c r="D123" t="s">
        <v>13</v>
      </c>
      <c r="E123" t="s">
        <v>11</v>
      </c>
      <c r="F123">
        <v>16</v>
      </c>
      <c r="G123">
        <v>13.57</v>
      </c>
      <c r="H123">
        <v>-40.520000000000003</v>
      </c>
      <c r="I123">
        <v>-7.1197590000000002</v>
      </c>
      <c r="J123">
        <v>-4.8935219999999999</v>
      </c>
      <c r="K123">
        <v>-2.02</v>
      </c>
    </row>
  </sheetData>
  <autoFilter ref="A1:R211" xr:uid="{881A0436-8AAF-4C1D-A2F5-1A8158D87C67}">
    <sortState xmlns:xlrd2="http://schemas.microsoft.com/office/spreadsheetml/2017/richdata2" ref="A2:R209">
      <sortCondition descending="1" ref="H1:H21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TX</vt:lpstr>
      <vt:lpstr>CH42MCS0</vt:lpstr>
      <vt:lpstr>CH58MCS0</vt:lpstr>
      <vt:lpstr>CH106MCS0</vt:lpstr>
      <vt:lpstr>CH122MCS11</vt:lpstr>
      <vt:lpstr>CH138MCS11</vt:lpstr>
      <vt:lpstr>CH155MCS11</vt:lpstr>
      <vt:lpstr>CH7rate03</vt:lpstr>
      <vt:lpstr>CH7MCS0</vt:lpstr>
      <vt:lpstr>CH7MCS11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2025-11-14T08:19:39Z</dcterms:created>
  <dcterms:modified xsi:type="dcterms:W3CDTF">2025-12-02T08:09:06Z</dcterms:modified>
</cp:coreProperties>
</file>