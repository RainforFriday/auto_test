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85" windowHeight="10620" tabRatio="1000" firstSheet="1" activeTab="4"/>
  </bookViews>
  <sheets>
    <sheet name="ReleaseNote" sheetId="3" r:id="rId1"/>
    <sheet name="REG" sheetId="4" r:id="rId2"/>
    <sheet name="CH7_HR" sheetId="8" r:id="rId3"/>
    <sheet name="CH7_11B" sheetId="6" r:id="rId4"/>
    <sheet name="CH7_LR" sheetId="7" r:id="rId5"/>
    <sheet name="CH42_MR" sheetId="15" r:id="rId6"/>
    <sheet name="CH42_HR" sheetId="9" r:id="rId7"/>
    <sheet name="CH42_LR" sheetId="21" r:id="rId8"/>
    <sheet name="CH58_MR" sheetId="16" r:id="rId9"/>
    <sheet name="CH58_HR" sheetId="10" r:id="rId10"/>
    <sheet name="CH58_LR" sheetId="22" r:id="rId11"/>
    <sheet name="CH106_MR" sheetId="17" r:id="rId12"/>
    <sheet name="CH106_HR" sheetId="11" r:id="rId13"/>
    <sheet name="CH106_LR" sheetId="23" r:id="rId14"/>
    <sheet name="CH122_MR" sheetId="18" r:id="rId15"/>
    <sheet name="CH122_HR" sheetId="12" r:id="rId16"/>
    <sheet name="CH122_LR" sheetId="24" r:id="rId17"/>
    <sheet name="CH138_MR" sheetId="19" r:id="rId18"/>
    <sheet name="CH138_HR" sheetId="13" r:id="rId19"/>
    <sheet name="CH138_LR" sheetId="25" r:id="rId20"/>
    <sheet name="CH155_MR" sheetId="20" r:id="rId21"/>
    <sheet name="CH155_HR" sheetId="14" r:id="rId22"/>
    <sheet name="CH155_LR" sheetId="26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<sst xmlns="http://schemas.openxmlformats.org/spreadsheetml/2006/main" count="3648" uniqueCount="221">
  <si>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</si>
  <si>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</si>
  <si>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</si>
  <si>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</si>
  <si>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</si>
  <si>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</si>
  <si>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</si>
  <si>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</si>
  <si>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</si>
  <si>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</si>
  <si>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</si>
  <si>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</si>
  <si>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</si>
  <si>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</si>
  <si>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</si>
  <si>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</si>
  <si>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</si>
  <si>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</si>
  <si>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</si>
  <si>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</si>
  <si>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</si>
  <si>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</si>
  <si>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</si>
  <si>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</si>
  <si>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</si>
  <si>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</si>
  <si>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</si>
  <si>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</si>
  <si>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</si>
  <si>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</si>
  <si>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</si>
  <si>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</si>
  <si>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</si>
  <si>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</si>
  <si>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</si>
  <si>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</si>
  <si>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</si>
  <si>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</si>
  <si>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</si>
  <si>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</si>
  <si>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</si>
  <si>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</si>
  <si>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</si>
  <si>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</si>
  <si>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</si>
  <si>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</si>
  <si>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</si>
  <si>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</si>
  <si>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</si>
  <si>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</si>
  <si>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</si>
  <si>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</si>
  <si>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</si>
  <si>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</si>
  <si>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</si>
  <si>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</si>
  <si>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</si>
  <si>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</si>
  <si>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</si>
  <si>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</si>
  <si>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</si>
  <si>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</si>
  <si>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</si>
  <si>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</si>
  <si>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</si>
  <si>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</si>
  <si>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</si>
  <si>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</si>
  <si>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</si>
  <si>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</si>
  <si>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</si>
  <si>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</si>
  <si>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</si>
  <si>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</si>
  <si>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</si>
  <si>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</si>
  <si>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</si>
  <si>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</si>
  <si>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</si>
  <si>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</si>
  <si>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</si>
  <si>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</si>
  <si>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</si>
  <si>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</si>
  <si>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</si>
  <si>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</si>
  <si>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</si>
  <si>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</si>
  <si>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</si>
  <si>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</si>
  <si>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</si>
  <si>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</si>
  <si>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</si>
  <si>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</si>
  <si>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</si>
  <si>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</si>
  <si>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</si>
  <si>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</si>
  <si>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</si>
  <si>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</si>
  <si>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</si>
  <si>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</si>
  <si>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</si>
  <si>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</si>
  <si>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</si>
  <si>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</si>
  <si>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</si>
  <si>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</si>
  <si>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</si>
  <si>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</si>
  <si>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</si>
  <si>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</si>
  <si>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</si>
  <si>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</si>
  <si>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</si>
  <si>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</si>
  <si>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</si>
  <si>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</si>
  <si>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</si>
  <si>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</si>
  <si>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</si>
  <si>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</si>
  <si>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</si>
  <si>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</si>
  <si>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</si>
  <si>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</si>
  <si>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</si>
  <si>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</si>
  <si>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</si>
  <si>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</si>
  <si>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</si>
  <si>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</si>
  <si>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</si>
  <si>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</si>
  <si>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</si>
  <si>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</si>
  <si>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</si>
  <si>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</si>
  <si>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</si>
  <si>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</si>
  <si>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wf_dtmx_dac_vl_it_bit</t>
  </si>
  <si>
    <t>4034807c</t>
  </si>
  <si>
    <t>wf_dtmx_dac_vl_ib_bit</t>
  </si>
  <si>
    <t>40348078</t>
  </si>
  <si>
    <t>//index 5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</si>
  <si>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</si>
  <si>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</si>
  <si>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</si>
  <si>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</si>
  <si>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</si>
  <si>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</si>
  <si>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</si>
  <si>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</si>
  <si>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</si>
  <si>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</si>
  <si>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</si>
  <si>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</si>
  <si>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</si>
  <si>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</si>
  <si>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</si>
  <si>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</si>
  <si>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</si>
  <si>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</si>
  <si>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5</t>
  </si>
  <si>
    <t>11</t>
  </si>
  <si>
    <t>17</t>
  </si>
  <si>
    <t>14</t>
  </si>
  <si>
    <t>16</t>
  </si>
  <si>
    <t>25</t>
  </si>
  <si>
    <t>26</t>
  </si>
  <si>
    <t>wf_hb_apc_rsvd</t>
  </si>
  <si>
    <t>//index 0</t>
  </si>
  <si>
    <t>wf_dtmx_cbit_hb</t>
  </si>
  <si>
    <t>12</t>
  </si>
  <si>
    <t>wf_pa_hb_vh_track_short_bit</t>
  </si>
  <si>
    <t>//index 1</t>
  </si>
  <si>
    <t>wf_pa_hb_vh_track_bit</t>
  </si>
  <si>
    <t>wf_pa_hb_input_cbit</t>
  </si>
  <si>
    <t>//index 2</t>
  </si>
  <si>
    <t>wf_pa_hb_gbit</t>
  </si>
  <si>
    <t>wf_dacIf_rnd_sw</t>
  </si>
  <si>
    <t>//index 3</t>
  </si>
  <si>
    <t>wf_dacIf_scale_step_6db</t>
  </si>
  <si>
    <t>28</t>
  </si>
  <si>
    <t>20</t>
  </si>
  <si>
    <t>18</t>
  </si>
  <si>
    <t>19</t>
  </si>
  <si>
    <t>8</t>
  </si>
  <si>
    <t>//index 4</t>
  </si>
  <si>
    <t>22</t>
  </si>
  <si>
    <t>wf_dtmx_vlo_vbit</t>
  </si>
  <si>
    <t>wf_dtmx_vh_vbit21</t>
  </si>
  <si>
    <t>wf_dtmx_dac_classAB_idx</t>
  </si>
  <si>
    <t>//index 6</t>
  </si>
  <si>
    <t>wf_pa_vl_ib_bit</t>
  </si>
  <si>
    <t>wf_pa_vl_it_bit</t>
  </si>
  <si>
    <t>23</t>
  </si>
  <si>
    <t>//index 7</t>
  </si>
  <si>
    <t>wf_pa_vm_ref_vbit</t>
  </si>
  <si>
    <t>wf_pa_vm_vbit</t>
  </si>
  <si>
    <t>//index 8</t>
  </si>
  <si>
    <t>wf_pa_vh_vbit</t>
  </si>
  <si>
    <t>//index 9</t>
  </si>
  <si>
    <t>48</t>
  </si>
  <si>
    <t>40</t>
  </si>
  <si>
    <t>33</t>
  </si>
  <si>
    <t>24</t>
  </si>
  <si>
    <t>27</t>
  </si>
  <si>
    <t>52</t>
  </si>
  <si>
    <t>32</t>
  </si>
  <si>
    <t>41</t>
  </si>
  <si>
    <t>47</t>
  </si>
  <si>
    <t>30</t>
  </si>
  <si>
    <t>39</t>
  </si>
  <si>
    <t>13</t>
  </si>
  <si>
    <t>44</t>
  </si>
  <si>
    <t>38</t>
  </si>
  <si>
    <t>63</t>
  </si>
  <si>
    <t>42</t>
  </si>
  <si>
    <t>31</t>
  </si>
  <si>
    <t>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</si>
</sst>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5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42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5" borderId="0" xfId="22" applyFont="1" applyFill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opLeftCell="B1" workbookViewId="0">
      <selection activeCell="C31" sqref="C31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39" t="s">
        <v>0</v>
      </c>
      <c r="B1" s="37" t="s">
        <v>1</v>
      </c>
      <c r="C1" s="37" t="s">
        <v>2</v>
      </c>
    </row>
    <row r="2" spans="1:3">
      <c r="A2" s="39">
        <v>20250714</v>
      </c>
      <c r="B2" s="37" t="s">
        <v>3</v>
      </c>
      <c r="C2" s="37" t="s">
        <v>4</v>
      </c>
    </row>
    <row r="3" spans="1:3">
      <c r="A3" s="39">
        <v>20250714</v>
      </c>
      <c r="B3" s="37" t="s">
        <v>5</v>
      </c>
      <c r="C3" s="37" t="s">
        <v>6</v>
      </c>
    </row>
    <row r="4" spans="1:3">
      <c r="A4" s="39">
        <v>20250718</v>
      </c>
      <c r="B4" s="37" t="s">
        <v>7</v>
      </c>
      <c r="C4" s="37" t="s">
        <v>8</v>
      </c>
    </row>
    <row r="5" spans="1:3">
      <c r="A5" s="39">
        <v>20250722</v>
      </c>
      <c r="B5" s="37" t="s">
        <v>9</v>
      </c>
      <c r="C5" s="37" t="s">
        <v>10</v>
      </c>
    </row>
    <row r="6" spans="1:3">
      <c r="A6" s="39" t="s">
        <v>11</v>
      </c>
      <c r="B6" s="37" t="s">
        <v>12</v>
      </c>
      <c r="C6" s="37" t="s">
        <v>13</v>
      </c>
    </row>
    <row r="7" spans="1:3">
      <c r="A7" s="39" t="s">
        <v>14</v>
      </c>
      <c r="B7" s="37" t="s">
        <v>15</v>
      </c>
      <c r="C7" s="37" t="s">
        <v>16</v>
      </c>
    </row>
    <row r="8" spans="1:3">
      <c r="A8" s="39" t="s">
        <v>17</v>
      </c>
      <c r="B8" s="37" t="s">
        <v>18</v>
      </c>
      <c r="C8" s="37" t="s">
        <v>19</v>
      </c>
    </row>
    <row r="9" spans="1:3">
      <c r="A9" s="39" t="s">
        <v>20</v>
      </c>
      <c r="B9" s="37" t="s">
        <v>21</v>
      </c>
      <c r="C9" s="37" t="s">
        <v>22</v>
      </c>
    </row>
    <row r="10" spans="1:3">
      <c r="A10" s="39" t="s">
        <v>20</v>
      </c>
      <c r="B10" s="37" t="s">
        <v>23</v>
      </c>
      <c r="C10" s="37" t="s">
        <v>24</v>
      </c>
    </row>
    <row r="11" ht="42.75" spans="1:3">
      <c r="A11" s="37" t="s">
        <v>25</v>
      </c>
      <c r="B11" s="37" t="s">
        <v>26</v>
      </c>
      <c r="C11" s="38" t="s">
        <v>27</v>
      </c>
    </row>
    <row r="12" spans="1:3">
      <c r="A12" s="37" t="s">
        <v>28</v>
      </c>
      <c r="B12" s="37" t="s">
        <v>29</v>
      </c>
      <c r="C12" s="37" t="s">
        <v>30</v>
      </c>
    </row>
    <row r="13" spans="1:3">
      <c r="A13" s="37" t="s">
        <v>31</v>
      </c>
      <c r="B13" s="37" t="s">
        <v>32</v>
      </c>
      <c r="C13" s="37" t="s">
        <v>33</v>
      </c>
    </row>
    <row r="14" spans="1:3">
      <c r="A14" s="37" t="s">
        <v>34</v>
      </c>
      <c r="B14" s="37" t="s">
        <v>35</v>
      </c>
      <c r="C14" s="37" t="s">
        <v>36</v>
      </c>
    </row>
    <row r="15" spans="1:3">
      <c r="A15" s="37" t="s">
        <v>37</v>
      </c>
      <c r="B15" s="37" t="s">
        <v>38</v>
      </c>
      <c r="C15" s="37" t="s">
        <v>39</v>
      </c>
    </row>
    <row r="16" spans="1:3">
      <c r="A16" s="37" t="s">
        <v>40</v>
      </c>
      <c r="B16" s="37" t="s">
        <v>41</v>
      </c>
      <c r="C16" s="37" t="s">
        <v>42</v>
      </c>
    </row>
    <row r="17" spans="1:3">
      <c r="A17" s="37" t="s">
        <v>40</v>
      </c>
      <c r="B17" s="37" t="s">
        <v>43</v>
      </c>
      <c r="C17" s="37" t="s">
        <v>44</v>
      </c>
    </row>
    <row r="18" spans="1:3">
      <c r="A18" s="37" t="s">
        <v>45</v>
      </c>
      <c r="B18" s="37" t="s">
        <v>46</v>
      </c>
      <c r="C18" s="37" t="s">
        <v>47</v>
      </c>
    </row>
    <row r="19" spans="1:3">
      <c r="A19" s="40" t="s">
        <v>48</v>
      </c>
      <c r="B19" s="41" t="s">
        <v>49</v>
      </c>
      <c r="C19" s="41" t="s">
        <v>50</v>
      </c>
    </row>
    <row r="20" spans="1:3">
      <c r="A20" s="37"/>
      <c r="B20" s="41" t="s">
        <v>51</v>
      </c>
      <c r="C20" s="41" t="s">
        <v>52</v>
      </c>
    </row>
    <row r="21" spans="1:3">
      <c r="A21" s="37"/>
      <c r="B21" s="41" t="s">
        <v>53</v>
      </c>
      <c r="C21" s="41" t="s">
        <v>54</v>
      </c>
    </row>
    <row r="22" spans="1:3">
      <c r="A22" s="37"/>
      <c r="B22" s="41" t="s">
        <v>55</v>
      </c>
      <c r="C22" s="37" t="s">
        <v>56</v>
      </c>
    </row>
    <row r="23" spans="1:3">
      <c r="A23" s="37"/>
      <c r="B23" s="41" t="s">
        <v>57</v>
      </c>
      <c r="C23" s="37" t="s">
        <v>58</v>
      </c>
    </row>
    <row r="24" spans="1:3">
      <c r="A24" s="37"/>
      <c r="B24" s="41" t="s">
        <v>59</v>
      </c>
      <c r="C24" s="37" t="s">
        <v>60</v>
      </c>
    </row>
    <row r="25" spans="1:3">
      <c r="A25" s="37"/>
      <c r="B25" s="41" t="s">
        <v>61</v>
      </c>
      <c r="C25" s="37" t="s">
        <v>62</v>
      </c>
    </row>
    <row r="26" spans="1:3">
      <c r="A26" s="37"/>
      <c r="B26" s="41" t="s">
        <v>63</v>
      </c>
      <c r="C26" s="37" t="s">
        <v>64</v>
      </c>
    </row>
    <row r="27" spans="1:3">
      <c r="A27" s="37"/>
      <c r="B27" s="37"/>
      <c r="C27" s="37"/>
    </row>
    <row r="28" spans="1:3">
      <c r="A28" s="37"/>
      <c r="B28" s="37"/>
      <c r="C28" s="37"/>
    </row>
    <row r="29" spans="1:3">
      <c r="A29" s="37"/>
      <c r="B29" s="37"/>
      <c r="C29" s="37"/>
    </row>
    <row r="30" spans="1:3">
      <c r="A30" s="37"/>
      <c r="B30" s="37"/>
      <c r="C30" s="37"/>
    </row>
    <row r="31" spans="1:3">
      <c r="A31" s="37"/>
      <c r="B31" s="37"/>
      <c r="C31" s="37"/>
    </row>
    <row r="32" spans="1:3">
      <c r="A32" s="37"/>
      <c r="B32" s="37"/>
      <c r="C32" s="37"/>
    </row>
    <row r="33" spans="1:3">
      <c r="A33" s="37"/>
      <c r="B33" s="37"/>
      <c r="C33" s="37"/>
    </row>
    <row r="34" spans="1:3">
      <c r="A34" s="37"/>
      <c r="B34" s="37"/>
      <c r="C34" s="37"/>
    </row>
    <row r="35" spans="1:3">
      <c r="A35" s="37"/>
      <c r="B35" s="37"/>
      <c r="C35" s="37"/>
    </row>
    <row r="36" spans="1:3">
      <c r="A36" s="37"/>
      <c r="B36" s="37"/>
      <c r="C36" s="37"/>
    </row>
    <row r="37" spans="1:3">
      <c r="A37" s="37"/>
      <c r="B37" s="37"/>
      <c r="C37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workbookViewId="0">
      <selection activeCell="A19" sqref="A19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36">
        <v>20250714</v>
      </c>
    </row>
    <row r="2" spans="1:5">
      <c r="A2" s="37" t="s">
        <v>65</v>
      </c>
      <c r="B2" s="37" t="s">
        <v>66</v>
      </c>
      <c r="C2" s="37" t="s">
        <v>67</v>
      </c>
      <c r="D2" s="37" t="s">
        <v>68</v>
      </c>
      <c r="E2" s="37" t="s">
        <v>69</v>
      </c>
    </row>
    <row r="3" spans="1:5">
      <c r="A3" s="37" t="s">
        <v>70</v>
      </c>
      <c r="B3" s="37">
        <v>40344048</v>
      </c>
      <c r="C3" s="37" t="s">
        <v>71</v>
      </c>
      <c r="D3" s="37" t="s">
        <v>72</v>
      </c>
      <c r="E3" s="37"/>
    </row>
    <row r="4" spans="1:5">
      <c r="A4" s="37" t="s">
        <v>73</v>
      </c>
      <c r="B4" s="37" t="s">
        <v>74</v>
      </c>
      <c r="C4" s="37" t="s">
        <v>75</v>
      </c>
      <c r="D4" s="37" t="s">
        <v>76</v>
      </c>
      <c r="E4" s="37"/>
    </row>
    <row r="5" spans="1:5">
      <c r="A5" s="37" t="s">
        <v>77</v>
      </c>
      <c r="B5" s="37" t="s">
        <v>78</v>
      </c>
      <c r="C5" s="37" t="s">
        <v>79</v>
      </c>
      <c r="D5" s="37" t="s">
        <v>80</v>
      </c>
      <c r="E5" s="37" t="s">
        <v>81</v>
      </c>
    </row>
    <row r="6" spans="1:5">
      <c r="A6" s="37"/>
      <c r="B6" s="37"/>
      <c r="C6" s="37"/>
      <c r="D6" s="37"/>
      <c r="E6" s="37"/>
    </row>
    <row r="7" spans="1:5">
      <c r="A7" s="37" t="s">
        <v>82</v>
      </c>
      <c r="B7" s="37"/>
      <c r="C7" s="37"/>
      <c r="D7" s="37"/>
      <c r="E7" s="37"/>
    </row>
    <row r="8" spans="1:5">
      <c r="A8" s="37" t="s">
        <v>65</v>
      </c>
      <c r="B8" s="37" t="s">
        <v>66</v>
      </c>
      <c r="C8" s="37" t="s">
        <v>67</v>
      </c>
      <c r="D8" s="37" t="s">
        <v>68</v>
      </c>
      <c r="E8" s="37" t="s">
        <v>69</v>
      </c>
    </row>
    <row r="9" spans="1:6">
      <c r="A9" t="s">
        <v>83</v>
      </c>
      <c r="B9" s="37" t="s">
        <v>84</v>
      </c>
      <c r="C9" s="37" t="s">
        <v>85</v>
      </c>
      <c r="D9" s="37" t="s">
        <v>86</v>
      </c>
      <c r="E9" s="37"/>
      <c r="F9" t="s">
        <v>87</v>
      </c>
    </row>
    <row r="10" spans="1:5">
      <c r="A10" s="37"/>
      <c r="B10" s="37"/>
      <c r="C10" s="37"/>
      <c r="D10" s="37"/>
      <c r="E10" s="37"/>
    </row>
    <row r="11" spans="1:5">
      <c r="A11" s="37" t="s">
        <v>20</v>
      </c>
      <c r="B11" s="37"/>
      <c r="C11" s="37"/>
      <c r="D11" s="37"/>
      <c r="E11" s="37"/>
    </row>
    <row r="12" spans="1:5">
      <c r="A12" s="37" t="s">
        <v>65</v>
      </c>
      <c r="B12" s="37" t="s">
        <v>66</v>
      </c>
      <c r="C12" s="37" t="s">
        <v>67</v>
      </c>
      <c r="D12" s="37" t="s">
        <v>68</v>
      </c>
      <c r="E12" s="37" t="s">
        <v>69</v>
      </c>
    </row>
    <row r="13" spans="1:5">
      <c r="A13" s="37" t="s">
        <v>88</v>
      </c>
      <c r="B13" s="37" t="s">
        <v>89</v>
      </c>
      <c r="C13" s="37" t="s">
        <v>90</v>
      </c>
      <c r="D13" s="37" t="s">
        <v>72</v>
      </c>
      <c r="E13" s="37" t="s">
        <v>91</v>
      </c>
    </row>
    <row r="14" spans="1:5">
      <c r="A14" s="37" t="s">
        <v>92</v>
      </c>
      <c r="B14" s="37" t="s">
        <v>89</v>
      </c>
      <c r="C14" s="37" t="s">
        <v>93</v>
      </c>
      <c r="D14" s="37" t="s">
        <v>94</v>
      </c>
      <c r="E14" s="37" t="s">
        <v>91</v>
      </c>
    </row>
    <row r="15" spans="1:5">
      <c r="A15" s="37" t="s">
        <v>95</v>
      </c>
      <c r="B15" s="37" t="s">
        <v>89</v>
      </c>
      <c r="C15" s="37" t="s">
        <v>96</v>
      </c>
      <c r="D15" s="37" t="s">
        <v>86</v>
      </c>
      <c r="E15" s="37" t="s">
        <v>91</v>
      </c>
    </row>
    <row r="16" spans="1:5">
      <c r="A16" s="37" t="s">
        <v>97</v>
      </c>
      <c r="B16" s="37" t="s">
        <v>89</v>
      </c>
      <c r="C16" s="37" t="s">
        <v>98</v>
      </c>
      <c r="D16" s="37" t="s">
        <v>86</v>
      </c>
      <c r="E16" s="37" t="s">
        <v>91</v>
      </c>
    </row>
    <row r="17" spans="1:5">
      <c r="A17" s="37" t="s">
        <v>99</v>
      </c>
      <c r="B17" s="37" t="s">
        <v>89</v>
      </c>
      <c r="C17" s="37" t="s">
        <v>100</v>
      </c>
      <c r="D17" s="37" t="s">
        <v>80</v>
      </c>
      <c r="E17" s="37" t="s">
        <v>91</v>
      </c>
    </row>
    <row r="18" spans="1:5">
      <c r="A18" s="37" t="s">
        <v>101</v>
      </c>
      <c r="B18" s="37" t="s">
        <v>89</v>
      </c>
      <c r="C18" s="37" t="s">
        <v>102</v>
      </c>
      <c r="D18" s="37" t="s">
        <v>80</v>
      </c>
      <c r="E18" s="37" t="s">
        <v>91</v>
      </c>
    </row>
    <row r="19" spans="1:5">
      <c r="A19" t="s">
        <v>103</v>
      </c>
      <c r="B19" s="37" t="s">
        <v>104</v>
      </c>
      <c r="C19" s="37" t="s">
        <v>105</v>
      </c>
      <c r="D19" s="37" t="s">
        <v>106</v>
      </c>
      <c r="E19" s="37" t="s">
        <v>91</v>
      </c>
    </row>
    <row r="20" spans="1:5">
      <c r="A20" s="37" t="s">
        <v>107</v>
      </c>
      <c r="B20" s="37" t="s">
        <v>104</v>
      </c>
      <c r="C20" s="37" t="s">
        <v>108</v>
      </c>
      <c r="D20" s="37" t="s">
        <v>109</v>
      </c>
      <c r="E20" s="37" t="s">
        <v>91</v>
      </c>
    </row>
    <row r="21" spans="1:5">
      <c r="A21" s="37" t="s">
        <v>110</v>
      </c>
      <c r="B21" s="37" t="s">
        <v>111</v>
      </c>
      <c r="C21" s="37" t="s">
        <v>112</v>
      </c>
      <c r="D21" s="37" t="s">
        <v>86</v>
      </c>
      <c r="E21" s="37"/>
    </row>
    <row r="22" spans="1:5">
      <c r="A22" s="37"/>
      <c r="B22" s="37"/>
      <c r="C22" s="37"/>
      <c r="D22" s="37"/>
      <c r="E22" s="37"/>
    </row>
    <row r="23" spans="1:5">
      <c r="A23" s="37"/>
      <c r="B23" s="37"/>
      <c r="C23" s="37"/>
      <c r="D23" s="37"/>
      <c r="E23" s="37"/>
    </row>
    <row r="24" spans="1:5">
      <c r="A24" s="37" t="s">
        <v>25</v>
      </c>
      <c r="B24" s="37"/>
      <c r="C24" s="37"/>
      <c r="D24" s="37"/>
      <c r="E24" s="37"/>
    </row>
    <row r="25" spans="1:5">
      <c r="A25" s="37" t="s">
        <v>65</v>
      </c>
      <c r="B25" s="37" t="s">
        <v>66</v>
      </c>
      <c r="C25" s="37" t="s">
        <v>67</v>
      </c>
      <c r="D25" s="37" t="s">
        <v>68</v>
      </c>
      <c r="E25" s="37" t="s">
        <v>69</v>
      </c>
    </row>
    <row r="26" spans="1:5">
      <c r="A26" s="37" t="s">
        <v>113</v>
      </c>
      <c r="B26" s="37" t="s">
        <v>78</v>
      </c>
      <c r="C26" s="37" t="s">
        <v>114</v>
      </c>
      <c r="D26" s="37" t="s">
        <v>86</v>
      </c>
      <c r="E26" s="37" t="s">
        <v>115</v>
      </c>
    </row>
    <row r="27" spans="1:6">
      <c r="A27" s="37" t="s">
        <v>116</v>
      </c>
      <c r="B27" s="37" t="s">
        <v>78</v>
      </c>
      <c r="C27" s="37" t="s">
        <v>72</v>
      </c>
      <c r="D27" s="37" t="s">
        <v>86</v>
      </c>
      <c r="E27" s="37" t="s">
        <v>115</v>
      </c>
      <c r="F27" t="s">
        <v>117</v>
      </c>
    </row>
    <row r="28" spans="3:5">
      <c r="C28" s="37"/>
      <c r="D28" s="37"/>
      <c r="E28" s="37"/>
    </row>
    <row r="29" spans="1:5">
      <c r="A29" s="37"/>
      <c r="B29" s="37"/>
      <c r="C29" s="37"/>
      <c r="D29" s="37"/>
      <c r="E29" s="37"/>
    </row>
    <row r="30" spans="1:5">
      <c r="A30" s="37" t="s">
        <v>28</v>
      </c>
      <c r="B30" s="37"/>
      <c r="C30" s="37"/>
      <c r="D30" s="37"/>
      <c r="E30" s="37"/>
    </row>
    <row r="31" spans="1:5">
      <c r="A31" s="37" t="s">
        <v>65</v>
      </c>
      <c r="B31" s="37" t="s">
        <v>66</v>
      </c>
      <c r="C31" s="37" t="s">
        <v>67</v>
      </c>
      <c r="D31" s="37" t="s">
        <v>68</v>
      </c>
      <c r="E31" s="37" t="s">
        <v>69</v>
      </c>
    </row>
    <row r="32" spans="1:5">
      <c r="A32" s="37" t="s">
        <v>88</v>
      </c>
      <c r="B32" s="37" t="s">
        <v>89</v>
      </c>
      <c r="C32" s="37" t="s">
        <v>90</v>
      </c>
      <c r="D32" s="37" t="s">
        <v>118</v>
      </c>
      <c r="E32" s="37" t="s">
        <v>91</v>
      </c>
    </row>
    <row r="33" spans="1:5">
      <c r="A33" s="37" t="s">
        <v>92</v>
      </c>
      <c r="B33" s="37" t="s">
        <v>89</v>
      </c>
      <c r="C33" s="37" t="s">
        <v>93</v>
      </c>
      <c r="D33" s="37" t="s">
        <v>72</v>
      </c>
      <c r="E33" s="37" t="s">
        <v>91</v>
      </c>
    </row>
    <row r="34" spans="1:5">
      <c r="A34" s="37" t="s">
        <v>95</v>
      </c>
      <c r="B34" s="37" t="s">
        <v>89</v>
      </c>
      <c r="C34" s="37" t="s">
        <v>96</v>
      </c>
      <c r="D34" s="37" t="s">
        <v>80</v>
      </c>
      <c r="E34" s="37" t="s">
        <v>91</v>
      </c>
    </row>
    <row r="35" spans="1:5">
      <c r="A35" s="37" t="s">
        <v>97</v>
      </c>
      <c r="B35" s="37" t="s">
        <v>89</v>
      </c>
      <c r="C35" s="37" t="s">
        <v>98</v>
      </c>
      <c r="D35" s="37" t="s">
        <v>118</v>
      </c>
      <c r="E35" s="37" t="s">
        <v>91</v>
      </c>
    </row>
    <row r="36" spans="1:5">
      <c r="A36" s="37" t="s">
        <v>99</v>
      </c>
      <c r="B36" s="37" t="s">
        <v>89</v>
      </c>
      <c r="C36" s="37" t="s">
        <v>100</v>
      </c>
      <c r="D36" s="37" t="s">
        <v>72</v>
      </c>
      <c r="E36" s="37" t="s">
        <v>91</v>
      </c>
    </row>
    <row r="37" spans="1:5">
      <c r="A37" s="37" t="s">
        <v>101</v>
      </c>
      <c r="B37" s="37" t="s">
        <v>89</v>
      </c>
      <c r="C37" s="37" t="s">
        <v>102</v>
      </c>
      <c r="D37" s="37" t="s">
        <v>118</v>
      </c>
      <c r="E37" s="37" t="s">
        <v>91</v>
      </c>
    </row>
    <row r="38" spans="1:5">
      <c r="A38" s="37" t="s">
        <v>107</v>
      </c>
      <c r="B38" s="37" t="s">
        <v>104</v>
      </c>
      <c r="C38" s="37" t="s">
        <v>108</v>
      </c>
      <c r="D38" s="37" t="s">
        <v>109</v>
      </c>
      <c r="E38" s="37" t="s">
        <v>91</v>
      </c>
    </row>
    <row r="39" spans="1:5">
      <c r="A39" t="s">
        <v>103</v>
      </c>
      <c r="B39" s="37" t="s">
        <v>104</v>
      </c>
      <c r="C39" s="37" t="s">
        <v>105</v>
      </c>
      <c r="D39" s="37" t="s">
        <v>106</v>
      </c>
      <c r="E39" s="37" t="s">
        <v>91</v>
      </c>
    </row>
    <row r="40" spans="1:5">
      <c r="A40" s="37"/>
      <c r="B40" s="37"/>
      <c r="C40" s="37"/>
      <c r="D40" s="37"/>
      <c r="E40" s="37"/>
    </row>
    <row r="41" spans="1:5">
      <c r="A41" s="37"/>
      <c r="B41" s="37"/>
      <c r="C41" s="37"/>
      <c r="D41" s="37"/>
      <c r="E41" s="37"/>
    </row>
    <row r="42" spans="1:5">
      <c r="A42" s="37" t="s">
        <v>31</v>
      </c>
      <c r="B42" s="37"/>
      <c r="C42" s="37"/>
      <c r="D42" s="37"/>
      <c r="E42" s="37"/>
    </row>
    <row r="43" spans="1:5">
      <c r="A43" s="37" t="s">
        <v>65</v>
      </c>
      <c r="B43" s="37" t="s">
        <v>66</v>
      </c>
      <c r="C43" s="37" t="s">
        <v>67</v>
      </c>
      <c r="D43" s="37" t="s">
        <v>68</v>
      </c>
      <c r="E43" s="37" t="s">
        <v>69</v>
      </c>
    </row>
    <row r="44" spans="1:5">
      <c r="A44" s="37" t="s">
        <v>77</v>
      </c>
      <c r="B44" s="37">
        <v>40344030</v>
      </c>
      <c r="C44" s="37" t="s">
        <v>79</v>
      </c>
      <c r="D44" s="37" t="s">
        <v>86</v>
      </c>
      <c r="E44" s="37"/>
    </row>
    <row r="45" spans="1:5">
      <c r="A45" s="37" t="s">
        <v>119</v>
      </c>
      <c r="B45" s="37" t="s">
        <v>74</v>
      </c>
      <c r="C45" s="37" t="s">
        <v>120</v>
      </c>
      <c r="D45" s="37" t="s">
        <v>86</v>
      </c>
      <c r="E45" s="37"/>
    </row>
    <row r="46" spans="1:5">
      <c r="A46" s="37"/>
      <c r="B46" s="37"/>
      <c r="C46" s="37"/>
      <c r="D46" s="37"/>
      <c r="E46" s="37"/>
    </row>
    <row r="47" spans="1:5">
      <c r="A47" s="37"/>
      <c r="B47" s="37"/>
      <c r="C47" s="37"/>
      <c r="D47" s="37"/>
      <c r="E47" s="37"/>
    </row>
    <row r="48" spans="1:5">
      <c r="A48" s="37" t="s">
        <v>37</v>
      </c>
      <c r="B48" s="37"/>
      <c r="C48" s="37"/>
      <c r="D48" s="37"/>
      <c r="E48" s="37"/>
    </row>
    <row r="49" spans="1:5">
      <c r="A49" s="37" t="s">
        <v>65</v>
      </c>
      <c r="B49" s="37" t="s">
        <v>66</v>
      </c>
      <c r="C49" s="37" t="s">
        <v>67</v>
      </c>
      <c r="D49" s="37" t="s">
        <v>68</v>
      </c>
      <c r="E49" s="37" t="s">
        <v>69</v>
      </c>
    </row>
    <row r="50" spans="1:5">
      <c r="A50" s="37" t="s">
        <v>121</v>
      </c>
      <c r="B50" s="37" t="s">
        <v>122</v>
      </c>
      <c r="C50" s="37" t="s">
        <v>123</v>
      </c>
      <c r="D50" s="37" t="s">
        <v>72</v>
      </c>
      <c r="E50" s="37" t="s">
        <v>124</v>
      </c>
    </row>
    <row r="51" spans="1:5">
      <c r="A51" s="37" t="s">
        <v>125</v>
      </c>
      <c r="B51" s="37" t="s">
        <v>84</v>
      </c>
      <c r="C51" s="37" t="s">
        <v>126</v>
      </c>
      <c r="D51" s="37" t="s">
        <v>127</v>
      </c>
      <c r="E51" s="37" t="s">
        <v>124</v>
      </c>
    </row>
    <row r="52" spans="1:5">
      <c r="A52" s="37"/>
      <c r="B52" s="37"/>
      <c r="C52" s="37"/>
      <c r="D52" s="37"/>
      <c r="E52" s="37"/>
    </row>
    <row r="53" spans="1:5">
      <c r="A53" s="37" t="s">
        <v>128</v>
      </c>
      <c r="B53" s="37"/>
      <c r="C53" s="37"/>
      <c r="D53" s="37"/>
      <c r="E53" s="37"/>
    </row>
    <row r="54" spans="1:5">
      <c r="A54" s="37" t="s">
        <v>65</v>
      </c>
      <c r="B54" s="37" t="s">
        <v>66</v>
      </c>
      <c r="C54" s="37" t="s">
        <v>67</v>
      </c>
      <c r="D54" s="37" t="s">
        <v>68</v>
      </c>
      <c r="E54" s="37" t="s">
        <v>69</v>
      </c>
    </row>
    <row r="55" ht="69" customHeight="1" spans="1:5">
      <c r="A55" s="37" t="s">
        <v>73</v>
      </c>
      <c r="B55" s="37" t="s">
        <v>74</v>
      </c>
      <c r="C55" s="37" t="s">
        <v>75</v>
      </c>
      <c r="D55" s="38" t="s">
        <v>129</v>
      </c>
      <c r="E55" s="37" t="s">
        <v>115</v>
      </c>
    </row>
    <row r="56" spans="1:5">
      <c r="A56" s="37"/>
      <c r="B56" s="37"/>
      <c r="C56" s="37"/>
      <c r="D56" s="37"/>
      <c r="E56" s="37"/>
    </row>
    <row r="57" spans="1:5">
      <c r="A57" s="37"/>
      <c r="B57" s="37"/>
      <c r="C57" s="37"/>
      <c r="D57" s="37"/>
      <c r="E57" s="37"/>
    </row>
    <row r="58" spans="1:5">
      <c r="A58" s="37"/>
      <c r="B58" s="37"/>
      <c r="C58" s="37"/>
      <c r="D58" s="37"/>
      <c r="E58" s="37"/>
    </row>
    <row r="59" spans="1:5">
      <c r="A59" s="37"/>
      <c r="B59" s="37"/>
      <c r="C59" s="37"/>
      <c r="D59" s="37"/>
      <c r="E59" s="37"/>
    </row>
    <row r="60" spans="1:5">
      <c r="A60" s="37"/>
      <c r="B60" s="37"/>
      <c r="C60" s="37"/>
      <c r="D60" s="37"/>
      <c r="E60" s="37"/>
    </row>
    <row r="61" spans="1:5">
      <c r="A61" s="37"/>
      <c r="B61" s="37"/>
      <c r="C61" s="37"/>
      <c r="D61" s="37"/>
      <c r="E61" s="37"/>
    </row>
    <row r="62" spans="1:5">
      <c r="A62" s="37"/>
      <c r="B62" s="37"/>
      <c r="C62" s="37"/>
      <c r="D62" s="37"/>
      <c r="E62" s="37"/>
    </row>
    <row r="63" spans="1:5">
      <c r="A63" s="37"/>
      <c r="B63" s="37"/>
      <c r="C63" s="37"/>
      <c r="D63" s="37"/>
      <c r="E63" s="37"/>
    </row>
    <row r="64" spans="1:5">
      <c r="A64" s="37"/>
      <c r="B64" s="37"/>
      <c r="C64" s="37"/>
      <c r="D64" s="37"/>
      <c r="E64" s="37"/>
    </row>
    <row r="65" spans="1:5">
      <c r="A65" s="37"/>
      <c r="B65" s="37"/>
      <c r="C65" s="37"/>
      <c r="D65" s="37"/>
      <c r="E65" s="37"/>
    </row>
    <row r="66" spans="1:5">
      <c r="A66" s="37"/>
      <c r="B66" s="37"/>
      <c r="C66" s="37"/>
      <c r="D66" s="37"/>
      <c r="E66" s="37"/>
    </row>
    <row r="67" spans="1:5">
      <c r="A67" s="37"/>
      <c r="B67" s="37"/>
      <c r="C67" s="37"/>
      <c r="D67" s="37"/>
      <c r="E67" s="37"/>
    </row>
    <row r="68" spans="1:5">
      <c r="A68" s="37"/>
      <c r="B68" s="37"/>
      <c r="C68" s="37"/>
      <c r="D68" s="37"/>
      <c r="E68" s="37"/>
    </row>
    <row r="69" spans="1:5">
      <c r="A69" s="37"/>
      <c r="B69" s="37"/>
      <c r="C69" s="37"/>
      <c r="D69" s="37"/>
      <c r="E69" s="37"/>
    </row>
    <row r="70" spans="1:5">
      <c r="A70" s="37"/>
      <c r="B70" s="37"/>
      <c r="C70" s="37"/>
      <c r="D70" s="37"/>
      <c r="E70" s="37"/>
    </row>
    <row r="71" spans="1:5">
      <c r="A71" s="37"/>
      <c r="B71" s="37"/>
      <c r="C71" s="37"/>
      <c r="D71" s="37"/>
      <c r="E71" s="37"/>
    </row>
    <row r="72" spans="1:5">
      <c r="A72" s="37"/>
      <c r="B72" s="37"/>
      <c r="C72" s="37"/>
      <c r="D72" s="37"/>
      <c r="E72" s="37"/>
    </row>
    <row r="73" spans="1:5">
      <c r="A73" s="37"/>
      <c r="B73" s="37"/>
      <c r="C73" s="37"/>
      <c r="D73" s="37"/>
      <c r="E73" s="37"/>
    </row>
    <row r="74" spans="1:5">
      <c r="A74" s="37"/>
      <c r="B74" s="37"/>
      <c r="C74" s="37"/>
      <c r="D74" s="37"/>
      <c r="E74" s="37"/>
    </row>
    <row r="75" spans="1:5">
      <c r="A75" s="37"/>
      <c r="B75" s="37"/>
      <c r="C75" s="37"/>
      <c r="D75" s="37"/>
      <c r="E75" s="37"/>
    </row>
    <row r="76" spans="1:5">
      <c r="A76" s="37"/>
      <c r="B76" s="37"/>
      <c r="C76" s="37"/>
      <c r="D76" s="37"/>
      <c r="E76" s="37"/>
    </row>
    <row r="77" spans="1:5">
      <c r="A77" s="37"/>
      <c r="B77" s="37"/>
      <c r="C77" s="37"/>
      <c r="D77" s="37"/>
      <c r="E77" s="37"/>
    </row>
    <row r="78" spans="1:5">
      <c r="A78" s="37"/>
      <c r="B78" s="37"/>
      <c r="C78" s="37"/>
      <c r="D78" s="37"/>
      <c r="E78" s="37"/>
    </row>
    <row r="79" spans="1:5">
      <c r="A79" s="37"/>
      <c r="B79" s="37"/>
      <c r="C79" s="37"/>
      <c r="D79" s="37"/>
      <c r="E79" s="37"/>
    </row>
    <row r="80" spans="1:5">
      <c r="A80" s="37"/>
      <c r="B80" s="37"/>
      <c r="C80" s="37"/>
      <c r="D80" s="37"/>
      <c r="E80" s="37"/>
    </row>
    <row r="81" spans="1:5">
      <c r="A81" s="37"/>
      <c r="B81" s="37"/>
      <c r="C81" s="37"/>
      <c r="D81" s="37"/>
      <c r="E81" s="37"/>
    </row>
    <row r="82" spans="1:5">
      <c r="A82" s="37"/>
      <c r="B82" s="37"/>
      <c r="C82" s="37"/>
      <c r="D82" s="37"/>
      <c r="E82" s="3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42</v>
      </c>
      <c r="C2" s="3">
        <v>37</v>
      </c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V2" s="30"/>
      <c r="W2" s="22" t="s">
        <v>141</v>
      </c>
      <c r="X2" s="31" t="e">
        <f>O16</f>
        <v>#REF!</v>
      </c>
      <c r="Y2" t="e">
        <f>"0x"&amp;RIGHT("00000000"&amp;X2,8)&amp;","</f>
        <v>#REF!</v>
      </c>
      <c r="Z2" s="32"/>
    </row>
    <row r="3" spans="1:26">
      <c r="A3" s="3" t="s">
        <v>142</v>
      </c>
      <c r="B3" s="3">
        <v>36</v>
      </c>
      <c r="C3" s="3">
        <v>32</v>
      </c>
      <c r="D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V3" s="30">
        <v>5</v>
      </c>
      <c r="W3" s="22" t="s">
        <v>143</v>
      </c>
      <c r="X3" s="31" t="e">
        <f>N17</f>
        <v>#REF!</v>
      </c>
      <c r="Y3" t="e">
        <f>"0x"&amp;RIGHT("00000000"&amp;X3,8)&amp;","</f>
        <v>#REF!</v>
      </c>
      <c r="Z3" s="32" t="s">
        <v>144</v>
      </c>
    </row>
    <row r="4" spans="1:26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V4" s="30"/>
      <c r="W4" s="22" t="s">
        <v>141</v>
      </c>
      <c r="X4" s="31" t="e">
        <f>J16</f>
        <v>#REF!</v>
      </c>
      <c r="Y4" t="e">
        <f t="shared" ref="Y4:Y16" si="0">"0x"&amp;RIGHT("00000000"&amp;X4,8)&amp;","</f>
        <v>#REF!</v>
      </c>
      <c r="Z4" s="32"/>
    </row>
    <row r="5" spans="1:26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V5" s="30" t="s">
        <v>145</v>
      </c>
      <c r="W5" s="22" t="s">
        <v>143</v>
      </c>
      <c r="X5" s="31" t="e">
        <f>I17</f>
        <v>#REF!</v>
      </c>
      <c r="Y5" t="e">
        <f t="shared" si="0"/>
        <v>#REF!</v>
      </c>
      <c r="Z5" s="32" t="s">
        <v>146</v>
      </c>
    </row>
    <row r="6" spans="1:26">
      <c r="A6" s="14"/>
      <c r="B6" s="14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V6" s="30"/>
      <c r="W6" s="22" t="s">
        <v>141</v>
      </c>
      <c r="X6" s="31" t="e">
        <f>I16</f>
        <v>#REF!</v>
      </c>
      <c r="Y6" t="e">
        <f t="shared" si="0"/>
        <v>#REF!</v>
      </c>
      <c r="Z6" s="32"/>
    </row>
    <row r="7" spans="1:26">
      <c r="A7" s="12" t="s">
        <v>147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V7" s="30" t="s">
        <v>148</v>
      </c>
      <c r="W7" s="22" t="s">
        <v>143</v>
      </c>
      <c r="X7" s="31" t="e">
        <f>H17</f>
        <v>#REF!</v>
      </c>
      <c r="Y7" t="e">
        <f t="shared" si="0"/>
        <v>#REF!</v>
      </c>
      <c r="Z7" s="32" t="s">
        <v>149</v>
      </c>
    </row>
    <row r="8" spans="1:26">
      <c r="A8" s="12" t="s">
        <v>150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V8" s="30"/>
      <c r="W8" s="22" t="s">
        <v>141</v>
      </c>
      <c r="X8" s="31" t="e">
        <f>H16</f>
        <v>#REF!</v>
      </c>
      <c r="Y8" t="e">
        <f t="shared" si="0"/>
        <v>#REF!</v>
      </c>
      <c r="Z8" s="32"/>
    </row>
    <row r="9" spans="1:26">
      <c r="A9" s="12" t="s">
        <v>151</v>
      </c>
      <c r="B9" s="14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V9" s="30" t="s">
        <v>152</v>
      </c>
      <c r="W9" s="22" t="s">
        <v>143</v>
      </c>
      <c r="X9" s="31" t="e">
        <f>G17</f>
        <v>#REF!</v>
      </c>
      <c r="Y9" t="e">
        <f t="shared" si="0"/>
        <v>#REF!</v>
      </c>
      <c r="Z9" s="32" t="s">
        <v>153</v>
      </c>
    </row>
    <row r="10" spans="1:26">
      <c r="A10" s="15" t="s">
        <v>154</v>
      </c>
      <c r="V10" s="30"/>
      <c r="W10" s="22" t="s">
        <v>141</v>
      </c>
      <c r="X10" s="31" t="e">
        <f>G16</f>
        <v>#REF!</v>
      </c>
      <c r="Y10" t="e">
        <f t="shared" si="0"/>
        <v>#REF!</v>
      </c>
      <c r="Z10" s="32"/>
    </row>
    <row r="11" spans="22:26">
      <c r="V11" s="30" t="s">
        <v>155</v>
      </c>
      <c r="W11" s="22" t="s">
        <v>143</v>
      </c>
      <c r="X11" s="31" t="e">
        <f>F17</f>
        <v>#REF!</v>
      </c>
      <c r="Y11" t="e">
        <f t="shared" si="0"/>
        <v>#REF!</v>
      </c>
      <c r="Z11" s="32" t="s">
        <v>156</v>
      </c>
    </row>
    <row r="12" spans="22:26">
      <c r="V12" s="30"/>
      <c r="W12" s="22" t="s">
        <v>141</v>
      </c>
      <c r="X12" s="31" t="e">
        <f>F16</f>
        <v>#REF!</v>
      </c>
      <c r="Y12" t="e">
        <f t="shared" si="0"/>
        <v>#REF!</v>
      </c>
      <c r="Z12" s="32"/>
    </row>
    <row r="13" spans="22:26">
      <c r="V13" s="30" t="s">
        <v>157</v>
      </c>
      <c r="W13" s="22" t="s">
        <v>143</v>
      </c>
      <c r="X13" s="31" t="e">
        <f>E17</f>
        <v>#REF!</v>
      </c>
      <c r="Y13" t="e">
        <f t="shared" si="0"/>
        <v>#REF!</v>
      </c>
      <c r="Z13" s="32" t="s">
        <v>158</v>
      </c>
    </row>
    <row r="14" spans="1:26">
      <c r="A14" t="s">
        <v>159</v>
      </c>
      <c r="V14" s="30"/>
      <c r="W14" s="22" t="s">
        <v>141</v>
      </c>
      <c r="X14" s="31" t="e">
        <f>E16</f>
        <v>#REF!</v>
      </c>
      <c r="Y14" t="e">
        <f t="shared" si="0"/>
        <v>#REF!</v>
      </c>
      <c r="Z14" s="32"/>
    </row>
    <row r="15" spans="1:26">
      <c r="A15" s="16" t="s">
        <v>160</v>
      </c>
      <c r="B15" s="16"/>
      <c r="C15" s="16"/>
      <c r="D15" s="17">
        <v>26</v>
      </c>
      <c r="E15" s="17">
        <v>24</v>
      </c>
      <c r="F15" s="17">
        <v>22</v>
      </c>
      <c r="G15" s="17">
        <v>20</v>
      </c>
      <c r="H15" s="17">
        <v>18</v>
      </c>
      <c r="I15" s="17">
        <v>16</v>
      </c>
      <c r="J15" s="17">
        <v>14</v>
      </c>
      <c r="K15" s="17">
        <v>12</v>
      </c>
      <c r="L15" s="17">
        <v>10</v>
      </c>
      <c r="M15" s="17">
        <v>8</v>
      </c>
      <c r="N15" s="17">
        <v>6</v>
      </c>
      <c r="O15" s="17">
        <v>4</v>
      </c>
      <c r="P15" s="17">
        <v>2</v>
      </c>
      <c r="Q15" s="17">
        <v>0</v>
      </c>
      <c r="R15" s="17">
        <v>-2</v>
      </c>
      <c r="S15" s="17">
        <v>-4</v>
      </c>
      <c r="V15" s="30" t="s">
        <v>161</v>
      </c>
      <c r="W15" s="22" t="s">
        <v>143</v>
      </c>
      <c r="X15" s="31" t="e">
        <f>D17</f>
        <v>#REF!</v>
      </c>
      <c r="Y15" t="e">
        <f t="shared" si="0"/>
        <v>#REF!</v>
      </c>
      <c r="Z15" s="32" t="s">
        <v>162</v>
      </c>
    </row>
    <row r="16" spans="1:26">
      <c r="A16" s="18" t="s">
        <v>141</v>
      </c>
      <c r="B16" s="19"/>
      <c r="C16" s="19"/>
      <c r="D16" s="18" t="e">
        <f>DEC2HEX(POWER(2,$C3-32)*D3+POWER(2,$C2-32)*D2+POWER(2,#REF!-32)*#REF!+POWER(2,#REF!-32)*#REF!+POWER(2,#REF!-32)*#REF!+POWER(2,#REF!-32)*#REF!+POWER(2,#REF!-32)*#REF!+POWER(2,#REF!-32)*#REF!+POWER(2,#REF!-32)*#REF!+POWER(2,#REF!-32)*#REF!+POWER(2,#REF!-32)*#REF!)</f>
        <v>#REF!</v>
      </c>
      <c r="E16" s="18" t="e">
        <f>DEC2HEX(POWER(2,$C3-32)*E3+POWER(2,$C2-32)*E2+POWER(2,#REF!-32)*#REF!+POWER(2,#REF!-32)*#REF!+POWER(2,#REF!-32)*#REF!+POWER(2,#REF!-32)*#REF!+POWER(2,#REF!-32)*#REF!+POWER(2,#REF!-32)*#REF!+POWER(2,#REF!-32)*#REF!+POWER(2,#REF!-32)*#REF!+POWER(2,#REF!-32)*#REF!)</f>
        <v>#REF!</v>
      </c>
      <c r="F16" s="18" t="e">
        <f>DEC2HEX(POWER(2,$C3-32)*F3+POWER(2,$C2-32)*F2+POWER(2,#REF!-32)*#REF!+POWER(2,#REF!-32)*#REF!+POWER(2,#REF!-32)*#REF!+POWER(2,#REF!-32)*#REF!+POWER(2,#REF!-32)*#REF!+POWER(2,#REF!-32)*#REF!+POWER(2,#REF!-32)*#REF!+POWER(2,#REF!-32)*#REF!+POWER(2,#REF!-32)*#REF!)</f>
        <v>#REF!</v>
      </c>
      <c r="G16" s="18" t="e">
        <f>DEC2HEX(POWER(2,$C3-32)*G3+POWER(2,$C2-32)*G2+POWER(2,#REF!-32)*#REF!+POWER(2,#REF!-32)*#REF!+POWER(2,#REF!-32)*#REF!+POWER(2,#REF!-32)*#REF!+POWER(2,#REF!-32)*#REF!+POWER(2,#REF!-32)*#REF!+POWER(2,#REF!-32)*#REF!+POWER(2,#REF!-32)*#REF!+POWER(2,#REF!-32)*#REF!)</f>
        <v>#REF!</v>
      </c>
      <c r="H16" s="18" t="e">
        <f>DEC2HEX(POWER(2,$C3-32)*H3+POWER(2,$C2-32)*H2+POWER(2,#REF!-32)*#REF!+POWER(2,#REF!-32)*#REF!+POWER(2,#REF!-32)*#REF!+POWER(2,#REF!-32)*#REF!+POWER(2,#REF!-32)*#REF!+POWER(2,#REF!-32)*#REF!+POWER(2,#REF!-32)*#REF!+POWER(2,#REF!-32)*#REF!+POWER(2,#REF!-32)*#REF!)</f>
        <v>#REF!</v>
      </c>
      <c r="I16" s="18" t="e">
        <f>DEC2HEX(POWER(2,$C3-32)*I3+POWER(2,$C2-32)*I2+POWER(2,#REF!-32)*#REF!+POWER(2,#REF!-32)*#REF!+POWER(2,#REF!-32)*#REF!+POWER(2,#REF!-32)*#REF!+POWER(2,#REF!-32)*#REF!+POWER(2,#REF!-32)*#REF!+POWER(2,#REF!-32)*#REF!+POWER(2,#REF!-32)*#REF!+POWER(2,#REF!-32)*#REF!)</f>
        <v>#REF!</v>
      </c>
      <c r="J16" s="18" t="e">
        <f>DEC2HEX(POWER(2,$C3-32)*J3+POWER(2,$C2-32)*J2+POWER(2,#REF!-32)*#REF!+POWER(2,#REF!-32)*#REF!+POWER(2,#REF!-32)*#REF!+POWER(2,#REF!-32)*#REF!+POWER(2,#REF!-32)*#REF!+POWER(2,#REF!-32)*#REF!+POWER(2,#REF!-32)*#REF!+POWER(2,#REF!-32)*#REF!+POWER(2,#REF!-32)*#REF!)</f>
        <v>#REF!</v>
      </c>
      <c r="K16" s="18" t="e">
        <f>DEC2HEX(POWER(2,$C3-32)*K3+POWER(2,$C2-32)*K2+POWER(2,#REF!-32)*#REF!+POWER(2,#REF!-32)*#REF!+POWER(2,#REF!-32)*#REF!+POWER(2,#REF!-32)*#REF!+POWER(2,#REF!-32)*#REF!+POWER(2,#REF!-32)*#REF!+POWER(2,#REF!-32)*#REF!+POWER(2,#REF!-32)*#REF!+POWER(2,#REF!-32)*#REF!)</f>
        <v>#REF!</v>
      </c>
      <c r="L16" s="18" t="e">
        <f>DEC2HEX(POWER(2,$C3-32)*L3+POWER(2,$C2-32)*L2+POWER(2,#REF!-32)*#REF!+POWER(2,#REF!-32)*#REF!+POWER(2,#REF!-32)*#REF!+POWER(2,#REF!-32)*#REF!+POWER(2,#REF!-32)*#REF!+POWER(2,#REF!-32)*#REF!+POWER(2,#REF!-32)*#REF!+POWER(2,#REF!-32)*#REF!+POWER(2,#REF!-32)*#REF!)</f>
        <v>#REF!</v>
      </c>
      <c r="M16" s="18" t="e">
        <f>DEC2HEX(POWER(2,$C3-32)*M3+POWER(2,$C2-32)*M2+POWER(2,#REF!-32)*#REF!+POWER(2,#REF!-32)*#REF!+POWER(2,#REF!-32)*#REF!+POWER(2,#REF!-32)*#REF!+POWER(2,#REF!-32)*#REF!+POWER(2,#REF!-32)*#REF!+POWER(2,#REF!-32)*#REF!+POWER(2,#REF!-32)*#REF!+POWER(2,#REF!-32)*#REF!)</f>
        <v>#REF!</v>
      </c>
      <c r="N16" s="18" t="e">
        <f>DEC2HEX(POWER(2,$C3-32)*N3+POWER(2,$C2-32)*N2+POWER(2,#REF!-32)*#REF!+POWER(2,#REF!-32)*#REF!+POWER(2,#REF!-32)*#REF!+POWER(2,#REF!-32)*#REF!+POWER(2,#REF!-32)*#REF!+POWER(2,#REF!-32)*#REF!+POWER(2,#REF!-32)*#REF!+POWER(2,#REF!-32)*#REF!+POWER(2,#REF!-32)*#REF!)</f>
        <v>#REF!</v>
      </c>
      <c r="O16" s="18" t="e">
        <f>DEC2HEX(POWER(2,$C3-32)*O3+POWER(2,$C2-32)*O2+POWER(2,#REF!-32)*#REF!+POWER(2,#REF!-32)*#REF!+POWER(2,#REF!-32)*#REF!+POWER(2,#REF!-32)*#REF!+POWER(2,#REF!-32)*#REF!+POWER(2,#REF!-32)*#REF!+POWER(2,#REF!-32)*#REF!+POWER(2,#REF!-32)*#REF!+POWER(2,#REF!-32)*#REF!)</f>
        <v>#REF!</v>
      </c>
      <c r="P16" s="18" t="e">
        <f>DEC2HEX(POWER(2,$C3-32)*P3+POWER(2,$C2-32)*P2+POWER(2,#REF!-32)*#REF!+POWER(2,#REF!-32)*#REF!+POWER(2,#REF!-32)*#REF!+POWER(2,#REF!-32)*#REF!+POWER(2,#REF!-32)*#REF!+POWER(2,#REF!-32)*#REF!+POWER(2,#REF!-32)*#REF!+POWER(2,#REF!-32)*#REF!+POWER(2,#REF!-32)*#REF!)</f>
        <v>#REF!</v>
      </c>
      <c r="Q16" s="18" t="e">
        <f>DEC2HEX(POWER(2,$C3-32)*Q3+POWER(2,$C2-32)*Q2+POWER(2,#REF!-32)*#REF!+POWER(2,#REF!-32)*#REF!+POWER(2,#REF!-32)*#REF!+POWER(2,#REF!-32)*#REF!+POWER(2,#REF!-32)*#REF!+POWER(2,#REF!-32)*#REF!+POWER(2,#REF!-32)*#REF!+POWER(2,#REF!-32)*#REF!+POWER(2,#REF!-32)*#REF!)</f>
        <v>#REF!</v>
      </c>
      <c r="R16" s="18" t="e">
        <f>DEC2HEX(POWER(2,$C3-32)*R3+POWER(2,$C2-32)*R2+POWER(2,#REF!-32)*#REF!+POWER(2,#REF!-32)*#REF!+POWER(2,#REF!-32)*#REF!+POWER(2,#REF!-32)*#REF!+POWER(2,#REF!-32)*#REF!+POWER(2,#REF!-32)*#REF!+POWER(2,#REF!-32)*#REF!+POWER(2,#REF!-32)*#REF!+POWER(2,#REF!-32)*#REF!)</f>
        <v>#REF!</v>
      </c>
      <c r="S16" s="18" t="e">
        <f>DEC2HEX(POWER(2,$C3-32)*S3+POWER(2,$C2-32)*S2+POWER(2,#REF!-32)*#REF!+POWER(2,#REF!-32)*#REF!+POWER(2,#REF!-32)*#REF!+POWER(2,#REF!-32)*#REF!+POWER(2,#REF!-32)*#REF!+POWER(2,#REF!-32)*#REF!+POWER(2,#REF!-32)*#REF!+POWER(2,#REF!-32)*#REF!+POWER(2,#REF!-32)*#REF!)</f>
        <v>#REF!</v>
      </c>
      <c r="V16" s="29"/>
      <c r="W16" s="22" t="s">
        <v>141</v>
      </c>
      <c r="X16" s="31" t="e">
        <f>D16</f>
        <v>#REF!</v>
      </c>
      <c r="Y16" t="e">
        <f t="shared" si="0"/>
        <v>#REF!</v>
      </c>
      <c r="Z16" s="32"/>
    </row>
    <row r="17" spans="1:19">
      <c r="A17" s="18" t="s">
        <v>143</v>
      </c>
      <c r="B17" s="19"/>
      <c r="C17" s="19"/>
      <c r="D17" s="18" t="e">
        <f>DEC2HEX(POWER(2,#REF!)*#REF!+POWER(2,#REF!)*#REF!+POWER(2,#REF!)*#REF!+POWER(2,#REF!)*#REF!+POWER(2,#REF!)*#REF!+POWER(2,#REF!)*#REF!+POWER(2,#REF!)*#REF!+POWER(2,#REF!)*#REF!)</f>
        <v>#REF!</v>
      </c>
      <c r="E17" s="18" t="e">
        <f>DEC2HEX(POWER(2,#REF!)*#REF!+POWER(2,#REF!)*#REF!+POWER(2,#REF!)*#REF!+POWER(2,#REF!)*#REF!+POWER(2,#REF!)*#REF!+POWER(2,#REF!)*#REF!+POWER(2,#REF!)*#REF!+POWER(2,#REF!)*#REF!)</f>
        <v>#REF!</v>
      </c>
      <c r="F17" s="18" t="e">
        <f>DEC2HEX(POWER(2,#REF!)*#REF!+POWER(2,#REF!)*#REF!+POWER(2,#REF!)*#REF!+POWER(2,#REF!)*#REF!+POWER(2,#REF!)*#REF!+POWER(2,#REF!)*#REF!+POWER(2,#REF!)*#REF!+POWER(2,#REF!)*#REF!)</f>
        <v>#REF!</v>
      </c>
      <c r="G17" s="18" t="e">
        <f>DEC2HEX(POWER(2,#REF!)*#REF!+POWER(2,#REF!)*#REF!+POWER(2,#REF!)*#REF!+POWER(2,#REF!)*#REF!+POWER(2,#REF!)*#REF!+POWER(2,#REF!)*#REF!+POWER(2,#REF!)*#REF!+POWER(2,#REF!)*#REF!)</f>
        <v>#REF!</v>
      </c>
      <c r="H17" s="18" t="e">
        <f>DEC2HEX(POWER(2,#REF!)*#REF!+POWER(2,#REF!)*#REF!+POWER(2,#REF!)*#REF!+POWER(2,#REF!)*#REF!+POWER(2,#REF!)*#REF!+POWER(2,#REF!)*#REF!+POWER(2,#REF!)*#REF!+POWER(2,#REF!)*#REF!)</f>
        <v>#REF!</v>
      </c>
      <c r="I17" s="18" t="e">
        <f>DEC2HEX(POWER(2,#REF!)*#REF!+POWER(2,#REF!)*#REF!+POWER(2,#REF!)*#REF!+POWER(2,#REF!)*#REF!+POWER(2,#REF!)*#REF!+POWER(2,#REF!)*#REF!+POWER(2,#REF!)*#REF!+POWER(2,#REF!)*#REF!)</f>
        <v>#REF!</v>
      </c>
      <c r="J17" s="18" t="e">
        <f>DEC2HEX(POWER(2,#REF!)*#REF!+POWER(2,#REF!)*#REF!+POWER(2,#REF!)*#REF!+POWER(2,#REF!)*#REF!+POWER(2,#REF!)*#REF!+POWER(2,#REF!)*#REF!+POWER(2,#REF!)*#REF!+POWER(2,#REF!)*#REF!)</f>
        <v>#REF!</v>
      </c>
      <c r="K17" s="18" t="e">
        <f>DEC2HEX(POWER(2,#REF!)*#REF!+POWER(2,#REF!)*#REF!+POWER(2,#REF!)*#REF!+POWER(2,#REF!)*#REF!+POWER(2,#REF!)*#REF!+POWER(2,#REF!)*#REF!+POWER(2,#REF!)*#REF!+POWER(2,#REF!)*#REF!)</f>
        <v>#REF!</v>
      </c>
      <c r="L17" s="18" t="e">
        <f>DEC2HEX(POWER(2,#REF!)*#REF!+POWER(2,#REF!)*#REF!+POWER(2,#REF!)*#REF!+POWER(2,#REF!)*#REF!+POWER(2,#REF!)*#REF!+POWER(2,#REF!)*#REF!+POWER(2,#REF!)*#REF!+POWER(2,#REF!)*#REF!)</f>
        <v>#REF!</v>
      </c>
      <c r="M17" s="18" t="e">
        <f>DEC2HEX(POWER(2,#REF!)*#REF!+POWER(2,#REF!)*#REF!+POWER(2,#REF!)*#REF!+POWER(2,#REF!)*#REF!+POWER(2,#REF!)*#REF!+POWER(2,#REF!)*#REF!+POWER(2,#REF!)*#REF!+POWER(2,#REF!)*#REF!)</f>
        <v>#REF!</v>
      </c>
      <c r="N17" s="18" t="e">
        <f>DEC2HEX(POWER(2,#REF!)*#REF!+POWER(2,#REF!)*#REF!+POWER(2,#REF!)*#REF!+POWER(2,#REF!)*#REF!+POWER(2,#REF!)*#REF!+POWER(2,#REF!)*#REF!+POWER(2,#REF!)*#REF!+POWER(2,#REF!)*#REF!)</f>
        <v>#REF!</v>
      </c>
      <c r="O17" s="18" t="e">
        <f>DEC2HEX(POWER(2,#REF!)*#REF!+POWER(2,#REF!)*#REF!+POWER(2,#REF!)*#REF!+POWER(2,#REF!)*#REF!+POWER(2,#REF!)*#REF!+POWER(2,#REF!)*#REF!+POWER(2,#REF!)*#REF!+POWER(2,#REF!)*#REF!)</f>
        <v>#REF!</v>
      </c>
      <c r="P17" s="18" t="e">
        <f>DEC2HEX(POWER(2,#REF!)*#REF!+POWER(2,#REF!)*#REF!+POWER(2,#REF!)*#REF!+POWER(2,#REF!)*#REF!+POWER(2,#REF!)*#REF!+POWER(2,#REF!)*#REF!+POWER(2,#REF!)*#REF!+POWER(2,#REF!)*#REF!)</f>
        <v>#REF!</v>
      </c>
      <c r="Q17" s="18" t="e">
        <f>DEC2HEX(POWER(2,#REF!)*#REF!+POWER(2,#REF!)*#REF!+POWER(2,#REF!)*#REF!+POWER(2,#REF!)*#REF!+POWER(2,#REF!)*#REF!+POWER(2,#REF!)*#REF!+POWER(2,#REF!)*#REF!+POWER(2,#REF!)*#REF!)</f>
        <v>#REF!</v>
      </c>
      <c r="R17" s="18" t="e">
        <f>DEC2HEX(POWER(2,#REF!)*#REF!+POWER(2,#REF!)*#REF!+POWER(2,#REF!)*#REF!+POWER(2,#REF!)*#REF!+POWER(2,#REF!)*#REF!+POWER(2,#REF!)*#REF!+POWER(2,#REF!)*#REF!+POWER(2,#REF!)*#REF!)</f>
        <v>#REF!</v>
      </c>
      <c r="S17" s="18" t="e">
        <f>DEC2HEX(POWER(2,#REF!)*#REF!+POWER(2,#REF!)*#REF!+POWER(2,#REF!)*#REF!+POWER(2,#REF!)*#REF!+POWER(2,#REF!)*#REF!+POWER(2,#REF!)*#REF!+POWER(2,#REF!)*#REF!+POWER(2,#REF!)*#REF!)</f>
        <v>#REF!</v>
      </c>
    </row>
    <row r="18" spans="1:19">
      <c r="A18" s="20"/>
      <c r="B18" s="21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21" spans="1:7">
      <c r="A21" s="23"/>
      <c r="B21" s="23"/>
      <c r="C21" s="23"/>
      <c r="D21" s="23"/>
      <c r="E21" s="24"/>
      <c r="F21" s="24"/>
      <c r="G21" s="24"/>
    </row>
    <row r="22" spans="1:7">
      <c r="A22" s="23"/>
      <c r="B22" s="23"/>
      <c r="C22" s="23"/>
      <c r="D22" s="23"/>
      <c r="E22" s="24"/>
      <c r="F22" s="24"/>
      <c r="G22" s="24"/>
    </row>
    <row r="23" spans="1:7">
      <c r="A23" s="23"/>
      <c r="B23" s="23"/>
      <c r="C23" s="23"/>
      <c r="D23" s="23"/>
      <c r="E23" s="24"/>
      <c r="F23" s="24"/>
      <c r="G23" s="24"/>
    </row>
    <row r="24" spans="1:7">
      <c r="A24" s="23"/>
      <c r="B24" s="23"/>
      <c r="C24" s="23"/>
      <c r="D24" s="23"/>
      <c r="E24" s="24"/>
      <c r="F24" s="24"/>
      <c r="G24" s="24"/>
    </row>
    <row r="25" spans="1:7">
      <c r="A25" s="23"/>
      <c r="B25" s="23"/>
      <c r="C25" s="23"/>
      <c r="D25" s="23"/>
      <c r="E25" s="24"/>
      <c r="F25" s="24"/>
      <c r="G25" s="24"/>
    </row>
    <row r="26" spans="1:7">
      <c r="A26" s="23"/>
      <c r="B26" s="23"/>
      <c r="C26" s="23"/>
      <c r="D26" s="23"/>
      <c r="E26" s="24"/>
      <c r="F26" s="24"/>
      <c r="G26" s="24"/>
    </row>
    <row r="27" spans="1:7">
      <c r="A27" s="20"/>
      <c r="B27" s="25"/>
      <c r="C27" s="25"/>
      <c r="D27" s="25"/>
      <c r="E27" s="24"/>
      <c r="F27" s="24"/>
      <c r="G27" s="24"/>
    </row>
    <row r="28" spans="1:7">
      <c r="A28" s="20"/>
      <c r="B28" s="25"/>
      <c r="C28" s="25"/>
      <c r="D28" s="25"/>
      <c r="E28" s="24"/>
      <c r="F28" s="24"/>
      <c r="G28" s="24"/>
    </row>
    <row r="29" spans="1:7">
      <c r="A29" s="20"/>
      <c r="B29" s="25"/>
      <c r="C29" s="25"/>
      <c r="D29" s="25"/>
      <c r="E29" s="24"/>
      <c r="F29" s="24"/>
      <c r="G29" s="24"/>
    </row>
    <row r="30" spans="1:7">
      <c r="A30" s="20"/>
      <c r="B30" s="25"/>
      <c r="C30" s="25"/>
      <c r="D30" s="25"/>
      <c r="E30" s="24"/>
      <c r="F30" s="24"/>
      <c r="G30" s="24"/>
    </row>
    <row r="31" spans="1:7">
      <c r="A31" s="20"/>
      <c r="B31" s="25"/>
      <c r="C31" s="25"/>
      <c r="D31" s="25"/>
      <c r="E31" s="24"/>
      <c r="F31" s="24"/>
      <c r="G31" s="24"/>
    </row>
    <row r="32" spans="1:7">
      <c r="A32" s="20"/>
      <c r="B32" s="26"/>
      <c r="C32" s="26"/>
      <c r="D32" s="26"/>
      <c r="E32" s="21"/>
      <c r="F32" s="24"/>
      <c r="G32" s="24"/>
    </row>
    <row r="33" spans="1:7">
      <c r="A33" s="20"/>
      <c r="B33" s="25"/>
      <c r="C33" s="25"/>
      <c r="D33" s="25"/>
      <c r="E33" s="24"/>
      <c r="F33" s="24"/>
      <c r="G33" s="24"/>
    </row>
    <row r="34" spans="1:7">
      <c r="A34" s="27"/>
      <c r="B34" s="23"/>
      <c r="C34" s="23"/>
      <c r="D34" s="23"/>
      <c r="E34" s="24"/>
      <c r="F34" s="24"/>
      <c r="G34" s="24"/>
    </row>
    <row r="35" spans="1:7">
      <c r="A35" s="20"/>
      <c r="B35" s="25"/>
      <c r="C35" s="25"/>
      <c r="D35" s="25"/>
      <c r="E35" s="24"/>
      <c r="F35" s="24"/>
      <c r="G35" s="24"/>
    </row>
    <row r="36" spans="1:7">
      <c r="A36" s="20"/>
      <c r="B36" s="28"/>
      <c r="C36" s="28"/>
      <c r="D36" s="26"/>
      <c r="E36" s="24"/>
      <c r="F36" s="24"/>
      <c r="G36" s="24"/>
    </row>
    <row r="37" spans="1:7">
      <c r="A37" s="20"/>
      <c r="B37" s="25"/>
      <c r="C37" s="25"/>
      <c r="D37" s="25"/>
      <c r="E37" s="24"/>
      <c r="F37" s="24"/>
      <c r="G37" s="24"/>
    </row>
    <row r="38" spans="1:7">
      <c r="A38" s="20"/>
      <c r="B38" s="25"/>
      <c r="C38" s="25"/>
      <c r="D38" s="25"/>
      <c r="E38" s="24"/>
      <c r="F38" s="24"/>
      <c r="G38" s="24"/>
    </row>
    <row r="39" spans="1:7">
      <c r="A39" s="20"/>
      <c r="B39" s="25"/>
      <c r="C39" s="25"/>
      <c r="D39" s="25"/>
      <c r="E39" s="24"/>
      <c r="F39" s="24"/>
      <c r="G39" s="24"/>
    </row>
    <row r="40" spans="1:7">
      <c r="A40" s="20"/>
      <c r="B40" s="25"/>
      <c r="C40" s="25"/>
      <c r="D40" s="25"/>
      <c r="E40" s="24"/>
      <c r="F40" s="24"/>
      <c r="G40" s="24"/>
    </row>
    <row r="41" spans="1:7">
      <c r="A41" s="20"/>
      <c r="B41" s="25"/>
      <c r="C41" s="25"/>
      <c r="D41" s="25"/>
      <c r="E41" s="24"/>
      <c r="F41" s="24"/>
      <c r="G41" s="24"/>
    </row>
    <row r="42" spans="1:7">
      <c r="A42" s="20"/>
      <c r="B42" s="25"/>
      <c r="C42" s="25"/>
      <c r="D42" s="25"/>
      <c r="E42" s="24"/>
      <c r="F42" s="24"/>
      <c r="G42" s="24"/>
    </row>
    <row r="43" spans="1:7">
      <c r="A43" s="20"/>
      <c r="B43" s="25"/>
      <c r="C43" s="25"/>
      <c r="D43" s="25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12"/>
      <c r="B48" s="33"/>
      <c r="C48" s="33"/>
      <c r="D48" s="33"/>
      <c r="E48" s="24"/>
      <c r="F48" s="24"/>
      <c r="G48" s="24"/>
    </row>
    <row r="49" spans="1:7">
      <c r="A49" s="12"/>
      <c r="B49" s="33"/>
      <c r="C49" s="33"/>
      <c r="D49" s="33"/>
      <c r="E49" s="24"/>
      <c r="F49" s="24"/>
      <c r="G49" s="24"/>
    </row>
    <row r="50" spans="1:7">
      <c r="A50" s="24"/>
      <c r="B50" s="24"/>
      <c r="C50" s="24"/>
      <c r="D50" s="24"/>
      <c r="E50" s="24"/>
      <c r="F50" s="24"/>
      <c r="G50" s="24"/>
    </row>
    <row r="51" spans="1:7">
      <c r="A51" s="24"/>
      <c r="B51" s="24"/>
      <c r="C51" s="24"/>
      <c r="D51" s="24"/>
      <c r="E51" s="24"/>
      <c r="F51" s="24"/>
      <c r="G51" s="24"/>
    </row>
    <row r="52" spans="1:7">
      <c r="A52" s="24"/>
      <c r="B52" s="24"/>
      <c r="C52" s="24"/>
      <c r="D52" s="24"/>
      <c r="E52" s="24"/>
      <c r="F52" s="24"/>
      <c r="G52" s="24"/>
    </row>
    <row r="53" spans="1:7">
      <c r="A53" s="24"/>
      <c r="B53" s="24"/>
      <c r="C53" s="24"/>
      <c r="D53" s="24"/>
      <c r="E53" s="24"/>
      <c r="F53" s="24"/>
      <c r="G53" s="24"/>
    </row>
    <row r="54" spans="1:7">
      <c r="A54" s="24"/>
      <c r="B54" s="24"/>
      <c r="C54" s="24"/>
      <c r="D54" s="24"/>
      <c r="E54" s="24"/>
      <c r="F54" s="24"/>
      <c r="G54" s="2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D7" sqref="D7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42</v>
      </c>
      <c r="C2" s="3">
        <v>37</v>
      </c>
      <c r="D2" s="3">
        <v>63</v>
      </c>
      <c r="E2" s="5">
        <v>19</v>
      </c>
      <c r="F2" s="5">
        <v>10</v>
      </c>
      <c r="G2" s="5" t="s">
        <v>127</v>
      </c>
      <c r="H2" s="5">
        <v>5</v>
      </c>
      <c r="I2" s="5" t="s">
        <v>163</v>
      </c>
      <c r="J2" s="5">
        <v>4</v>
      </c>
      <c r="K2" s="5" t="s">
        <v>106</v>
      </c>
      <c r="L2" s="5">
        <v>4</v>
      </c>
      <c r="M2" s="5" t="s">
        <v>163</v>
      </c>
      <c r="N2" s="5" t="s">
        <v>94</v>
      </c>
      <c r="O2" s="5">
        <v>3</v>
      </c>
      <c r="P2" s="5" t="s">
        <v>163</v>
      </c>
      <c r="Q2" s="5">
        <v>4</v>
      </c>
      <c r="R2" s="5" t="s">
        <v>80</v>
      </c>
      <c r="S2" s="5">
        <v>2</v>
      </c>
      <c r="V2" s="30"/>
      <c r="W2" s="22" t="s">
        <v>141</v>
      </c>
      <c r="X2" s="31" t="e">
        <f>O16</f>
        <v>#REF!</v>
      </c>
      <c r="Y2" t="e">
        <f>"0x"&amp;RIGHT("00000000"&amp;X2,8)&amp;","</f>
        <v>#REF!</v>
      </c>
      <c r="Z2" s="32"/>
    </row>
    <row r="3" spans="1:26">
      <c r="A3" s="3" t="s">
        <v>142</v>
      </c>
      <c r="B3" s="3">
        <v>36</v>
      </c>
      <c r="C3" s="3">
        <v>32</v>
      </c>
      <c r="D3" s="3">
        <v>31</v>
      </c>
      <c r="E3" s="7">
        <v>11</v>
      </c>
      <c r="F3" s="7">
        <v>8</v>
      </c>
      <c r="G3" s="7" t="s">
        <v>164</v>
      </c>
      <c r="H3" s="7">
        <v>28</v>
      </c>
      <c r="I3" s="7" t="s">
        <v>165</v>
      </c>
      <c r="J3" s="7">
        <v>20</v>
      </c>
      <c r="K3" s="7" t="s">
        <v>109</v>
      </c>
      <c r="L3" s="7">
        <v>20</v>
      </c>
      <c r="M3" s="7" t="s">
        <v>165</v>
      </c>
      <c r="N3" s="7" t="s">
        <v>166</v>
      </c>
      <c r="O3" s="7">
        <v>27</v>
      </c>
      <c r="P3" s="7" t="s">
        <v>167</v>
      </c>
      <c r="Q3" s="7">
        <v>14</v>
      </c>
      <c r="R3" s="7" t="s">
        <v>168</v>
      </c>
      <c r="S3" s="7">
        <v>28</v>
      </c>
      <c r="V3" s="30">
        <v>5</v>
      </c>
      <c r="W3" s="22" t="s">
        <v>143</v>
      </c>
      <c r="X3" s="31" t="e">
        <f>N17</f>
        <v>#REF!</v>
      </c>
      <c r="Y3" t="e">
        <f>"0x"&amp;RIGHT("00000000"&amp;X3,8)&amp;","</f>
        <v>#REF!</v>
      </c>
      <c r="Z3" s="32" t="s">
        <v>144</v>
      </c>
    </row>
    <row r="4" spans="1:26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V4" s="30"/>
      <c r="W4" s="22" t="s">
        <v>141</v>
      </c>
      <c r="X4" s="31" t="e">
        <f>J16</f>
        <v>#REF!</v>
      </c>
      <c r="Y4" t="e">
        <f t="shared" ref="Y4:Y16" si="0">"0x"&amp;RIGHT("00000000"&amp;X4,8)&amp;","</f>
        <v>#REF!</v>
      </c>
      <c r="Z4" s="32"/>
    </row>
    <row r="5" spans="1:26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V5" s="30" t="s">
        <v>145</v>
      </c>
      <c r="W5" s="22" t="s">
        <v>143</v>
      </c>
      <c r="X5" s="31" t="e">
        <f>I17</f>
        <v>#REF!</v>
      </c>
      <c r="Y5" t="e">
        <f t="shared" si="0"/>
        <v>#REF!</v>
      </c>
      <c r="Z5" s="32" t="s">
        <v>146</v>
      </c>
    </row>
    <row r="6" spans="1:26">
      <c r="A6" s="14"/>
      <c r="B6" s="14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V6" s="30"/>
      <c r="W6" s="22" t="s">
        <v>141</v>
      </c>
      <c r="X6" s="31" t="e">
        <f>I16</f>
        <v>#REF!</v>
      </c>
      <c r="Y6" t="e">
        <f t="shared" si="0"/>
        <v>#REF!</v>
      </c>
      <c r="Z6" s="32"/>
    </row>
    <row r="7" spans="1:26">
      <c r="A7" s="12" t="s">
        <v>147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V7" s="30" t="s">
        <v>148</v>
      </c>
      <c r="W7" s="22" t="s">
        <v>143</v>
      </c>
      <c r="X7" s="31" t="e">
        <f>H17</f>
        <v>#REF!</v>
      </c>
      <c r="Y7" t="e">
        <f t="shared" si="0"/>
        <v>#REF!</v>
      </c>
      <c r="Z7" s="32" t="s">
        <v>149</v>
      </c>
    </row>
    <row r="8" spans="1:26">
      <c r="A8" s="12" t="s">
        <v>150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V8" s="30"/>
      <c r="W8" s="22" t="s">
        <v>141</v>
      </c>
      <c r="X8" s="31" t="e">
        <f>H16</f>
        <v>#REF!</v>
      </c>
      <c r="Y8" t="e">
        <f t="shared" si="0"/>
        <v>#REF!</v>
      </c>
      <c r="Z8" s="32"/>
    </row>
    <row r="9" spans="1:26">
      <c r="A9" s="12" t="s">
        <v>151</v>
      </c>
      <c r="B9" s="14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V9" s="30" t="s">
        <v>152</v>
      </c>
      <c r="W9" s="22" t="s">
        <v>143</v>
      </c>
      <c r="X9" s="31" t="e">
        <f>G17</f>
        <v>#REF!</v>
      </c>
      <c r="Y9" t="e">
        <f t="shared" si="0"/>
        <v>#REF!</v>
      </c>
      <c r="Z9" s="32" t="s">
        <v>153</v>
      </c>
    </row>
    <row r="10" spans="1:26">
      <c r="A10" s="15" t="s">
        <v>154</v>
      </c>
      <c r="V10" s="30"/>
      <c r="W10" s="22" t="s">
        <v>141</v>
      </c>
      <c r="X10" s="31" t="e">
        <f>G16</f>
        <v>#REF!</v>
      </c>
      <c r="Y10" t="e">
        <f t="shared" si="0"/>
        <v>#REF!</v>
      </c>
      <c r="Z10" s="32"/>
    </row>
    <row r="11" spans="22:26">
      <c r="V11" s="30" t="s">
        <v>155</v>
      </c>
      <c r="W11" s="22" t="s">
        <v>143</v>
      </c>
      <c r="X11" s="31" t="e">
        <f>F17</f>
        <v>#REF!</v>
      </c>
      <c r="Y11" t="e">
        <f t="shared" si="0"/>
        <v>#REF!</v>
      </c>
      <c r="Z11" s="32" t="s">
        <v>156</v>
      </c>
    </row>
    <row r="12" spans="22:26">
      <c r="V12" s="30"/>
      <c r="W12" s="22" t="s">
        <v>141</v>
      </c>
      <c r="X12" s="31" t="e">
        <f>F16</f>
        <v>#REF!</v>
      </c>
      <c r="Y12" t="e">
        <f t="shared" si="0"/>
        <v>#REF!</v>
      </c>
      <c r="Z12" s="32"/>
    </row>
    <row r="13" spans="22:26">
      <c r="V13" s="30" t="s">
        <v>157</v>
      </c>
      <c r="W13" s="22" t="s">
        <v>143</v>
      </c>
      <c r="X13" s="31" t="e">
        <f>E17</f>
        <v>#REF!</v>
      </c>
      <c r="Y13" t="e">
        <f t="shared" si="0"/>
        <v>#REF!</v>
      </c>
      <c r="Z13" s="32" t="s">
        <v>158</v>
      </c>
    </row>
    <row r="14" spans="1:26">
      <c r="A14" t="s">
        <v>159</v>
      </c>
      <c r="V14" s="30"/>
      <c r="W14" s="22" t="s">
        <v>141</v>
      </c>
      <c r="X14" s="31" t="e">
        <f>E16</f>
        <v>#REF!</v>
      </c>
      <c r="Y14" t="e">
        <f t="shared" si="0"/>
        <v>#REF!</v>
      </c>
      <c r="Z14" s="32"/>
    </row>
    <row r="15" spans="1:26">
      <c r="A15" s="16" t="s">
        <v>160</v>
      </c>
      <c r="B15" s="16"/>
      <c r="C15" s="16"/>
      <c r="D15" s="17">
        <v>28</v>
      </c>
      <c r="E15" s="17">
        <v>26</v>
      </c>
      <c r="F15" s="17">
        <v>24</v>
      </c>
      <c r="G15" s="17">
        <v>22</v>
      </c>
      <c r="H15" s="17">
        <v>20</v>
      </c>
      <c r="I15" s="17">
        <v>18</v>
      </c>
      <c r="J15" s="17">
        <v>16</v>
      </c>
      <c r="K15" s="17">
        <v>14</v>
      </c>
      <c r="L15" s="17">
        <v>12</v>
      </c>
      <c r="M15" s="17">
        <v>10</v>
      </c>
      <c r="N15" s="17">
        <v>8</v>
      </c>
      <c r="O15" s="17">
        <v>6</v>
      </c>
      <c r="P15" s="17">
        <v>4</v>
      </c>
      <c r="Q15" s="17">
        <v>2</v>
      </c>
      <c r="R15" s="17">
        <v>0</v>
      </c>
      <c r="S15" s="17">
        <v>-2</v>
      </c>
      <c r="V15" s="30" t="s">
        <v>161</v>
      </c>
      <c r="W15" s="22" t="s">
        <v>143</v>
      </c>
      <c r="X15" s="31" t="e">
        <f>D17</f>
        <v>#REF!</v>
      </c>
      <c r="Y15" t="e">
        <f t="shared" si="0"/>
        <v>#REF!</v>
      </c>
      <c r="Z15" s="32" t="s">
        <v>162</v>
      </c>
    </row>
    <row r="16" spans="1:26">
      <c r="A16" s="18" t="s">
        <v>141</v>
      </c>
      <c r="B16" s="19"/>
      <c r="C16" s="19"/>
      <c r="D16" s="18" t="e">
        <f>DEC2HEX(POWER(2,$C3-32)*D3+POWER(2,$C2-32)*D2+POWER(2,#REF!-32)*#REF!+POWER(2,#REF!-32)*#REF!+POWER(2,#REF!-32)*#REF!+POWER(2,#REF!-32)*#REF!+POWER(2,#REF!-32)*#REF!+POWER(2,#REF!-32)*#REF!+POWER(2,#REF!-32)*#REF!+POWER(2,#REF!-32)*#REF!+POWER(2,#REF!-32)*#REF!)</f>
        <v>#REF!</v>
      </c>
      <c r="E16" s="18" t="e">
        <f>DEC2HEX(POWER(2,$C3-32)*E3+POWER(2,$C2-32)*E2+POWER(2,#REF!-32)*#REF!+POWER(2,#REF!-32)*#REF!+POWER(2,#REF!-32)*#REF!+POWER(2,#REF!-32)*#REF!+POWER(2,#REF!-32)*#REF!+POWER(2,#REF!-32)*#REF!+POWER(2,#REF!-32)*#REF!+POWER(2,#REF!-32)*#REF!+POWER(2,#REF!-32)*#REF!)</f>
        <v>#REF!</v>
      </c>
      <c r="F16" s="18" t="e">
        <f>DEC2HEX(POWER(2,$C3-32)*F3+POWER(2,$C2-32)*F2+POWER(2,#REF!-32)*#REF!+POWER(2,#REF!-32)*#REF!+POWER(2,#REF!-32)*#REF!+POWER(2,#REF!-32)*#REF!+POWER(2,#REF!-32)*#REF!+POWER(2,#REF!-32)*#REF!+POWER(2,#REF!-32)*#REF!+POWER(2,#REF!-32)*#REF!+POWER(2,#REF!-32)*#REF!)</f>
        <v>#REF!</v>
      </c>
      <c r="G16" s="18" t="e">
        <f>DEC2HEX(POWER(2,$C3-32)*G3+POWER(2,$C2-32)*G2+POWER(2,#REF!-32)*#REF!+POWER(2,#REF!-32)*#REF!+POWER(2,#REF!-32)*#REF!+POWER(2,#REF!-32)*#REF!+POWER(2,#REF!-32)*#REF!+POWER(2,#REF!-32)*#REF!+POWER(2,#REF!-32)*#REF!+POWER(2,#REF!-32)*#REF!+POWER(2,#REF!-32)*#REF!)</f>
        <v>#REF!</v>
      </c>
      <c r="H16" s="18" t="e">
        <f>DEC2HEX(POWER(2,$C3-32)*H3+POWER(2,$C2-32)*H2+POWER(2,#REF!-32)*#REF!+POWER(2,#REF!-32)*#REF!+POWER(2,#REF!-32)*#REF!+POWER(2,#REF!-32)*#REF!+POWER(2,#REF!-32)*#REF!+POWER(2,#REF!-32)*#REF!+POWER(2,#REF!-32)*#REF!+POWER(2,#REF!-32)*#REF!+POWER(2,#REF!-32)*#REF!)</f>
        <v>#REF!</v>
      </c>
      <c r="I16" s="18" t="e">
        <f>DEC2HEX(POWER(2,$C3-32)*I3+POWER(2,$C2-32)*I2+POWER(2,#REF!-32)*#REF!+POWER(2,#REF!-32)*#REF!+POWER(2,#REF!-32)*#REF!+POWER(2,#REF!-32)*#REF!+POWER(2,#REF!-32)*#REF!+POWER(2,#REF!-32)*#REF!+POWER(2,#REF!-32)*#REF!+POWER(2,#REF!-32)*#REF!+POWER(2,#REF!-32)*#REF!)</f>
        <v>#REF!</v>
      </c>
      <c r="J16" s="18" t="e">
        <f>DEC2HEX(POWER(2,$C3-32)*J3+POWER(2,$C2-32)*J2+POWER(2,#REF!-32)*#REF!+POWER(2,#REF!-32)*#REF!+POWER(2,#REF!-32)*#REF!+POWER(2,#REF!-32)*#REF!+POWER(2,#REF!-32)*#REF!+POWER(2,#REF!-32)*#REF!+POWER(2,#REF!-32)*#REF!+POWER(2,#REF!-32)*#REF!+POWER(2,#REF!-32)*#REF!)</f>
        <v>#REF!</v>
      </c>
      <c r="K16" s="18" t="e">
        <f>DEC2HEX(POWER(2,$C3-32)*K3+POWER(2,$C2-32)*K2+POWER(2,#REF!-32)*#REF!+POWER(2,#REF!-32)*#REF!+POWER(2,#REF!-32)*#REF!+POWER(2,#REF!-32)*#REF!+POWER(2,#REF!-32)*#REF!+POWER(2,#REF!-32)*#REF!+POWER(2,#REF!-32)*#REF!+POWER(2,#REF!-32)*#REF!+POWER(2,#REF!-32)*#REF!)</f>
        <v>#REF!</v>
      </c>
      <c r="L16" s="18" t="e">
        <f>DEC2HEX(POWER(2,$C3-32)*L3+POWER(2,$C2-32)*L2+POWER(2,#REF!-32)*#REF!+POWER(2,#REF!-32)*#REF!+POWER(2,#REF!-32)*#REF!+POWER(2,#REF!-32)*#REF!+POWER(2,#REF!-32)*#REF!+POWER(2,#REF!-32)*#REF!+POWER(2,#REF!-32)*#REF!+POWER(2,#REF!-32)*#REF!+POWER(2,#REF!-32)*#REF!)</f>
        <v>#REF!</v>
      </c>
      <c r="M16" s="18" t="e">
        <f>DEC2HEX(POWER(2,$C3-32)*M3+POWER(2,$C2-32)*M2+POWER(2,#REF!-32)*#REF!+POWER(2,#REF!-32)*#REF!+POWER(2,#REF!-32)*#REF!+POWER(2,#REF!-32)*#REF!+POWER(2,#REF!-32)*#REF!+POWER(2,#REF!-32)*#REF!+POWER(2,#REF!-32)*#REF!+POWER(2,#REF!-32)*#REF!+POWER(2,#REF!-32)*#REF!)</f>
        <v>#REF!</v>
      </c>
      <c r="N16" s="18" t="e">
        <f>DEC2HEX(POWER(2,$C3-32)*N3+POWER(2,$C2-32)*N2+POWER(2,#REF!-32)*#REF!+POWER(2,#REF!-32)*#REF!+POWER(2,#REF!-32)*#REF!+POWER(2,#REF!-32)*#REF!+POWER(2,#REF!-32)*#REF!+POWER(2,#REF!-32)*#REF!+POWER(2,#REF!-32)*#REF!+POWER(2,#REF!-32)*#REF!+POWER(2,#REF!-32)*#REF!)</f>
        <v>#REF!</v>
      </c>
      <c r="O16" s="18" t="e">
        <f>DEC2HEX(POWER(2,$C3-32)*O3+POWER(2,$C2-32)*O2+POWER(2,#REF!-32)*#REF!+POWER(2,#REF!-32)*#REF!+POWER(2,#REF!-32)*#REF!+POWER(2,#REF!-32)*#REF!+POWER(2,#REF!-32)*#REF!+POWER(2,#REF!-32)*#REF!+POWER(2,#REF!-32)*#REF!+POWER(2,#REF!-32)*#REF!+POWER(2,#REF!-32)*#REF!)</f>
        <v>#REF!</v>
      </c>
      <c r="P16" s="18" t="e">
        <f>DEC2HEX(POWER(2,$C3-32)*P3+POWER(2,$C2-32)*P2+POWER(2,#REF!-32)*#REF!+POWER(2,#REF!-32)*#REF!+POWER(2,#REF!-32)*#REF!+POWER(2,#REF!-32)*#REF!+POWER(2,#REF!-32)*#REF!+POWER(2,#REF!-32)*#REF!+POWER(2,#REF!-32)*#REF!+POWER(2,#REF!-32)*#REF!+POWER(2,#REF!-32)*#REF!)</f>
        <v>#REF!</v>
      </c>
      <c r="Q16" s="18" t="e">
        <f>DEC2HEX(POWER(2,$C3-32)*Q3+POWER(2,$C2-32)*Q2+POWER(2,#REF!-32)*#REF!+POWER(2,#REF!-32)*#REF!+POWER(2,#REF!-32)*#REF!+POWER(2,#REF!-32)*#REF!+POWER(2,#REF!-32)*#REF!+POWER(2,#REF!-32)*#REF!+POWER(2,#REF!-32)*#REF!+POWER(2,#REF!-32)*#REF!+POWER(2,#REF!-32)*#REF!)</f>
        <v>#REF!</v>
      </c>
      <c r="R16" s="18" t="e">
        <f>DEC2HEX(POWER(2,$C3-32)*R3+POWER(2,$C2-32)*R2+POWER(2,#REF!-32)*#REF!+POWER(2,#REF!-32)*#REF!+POWER(2,#REF!-32)*#REF!+POWER(2,#REF!-32)*#REF!+POWER(2,#REF!-32)*#REF!+POWER(2,#REF!-32)*#REF!+POWER(2,#REF!-32)*#REF!+POWER(2,#REF!-32)*#REF!+POWER(2,#REF!-32)*#REF!)</f>
        <v>#REF!</v>
      </c>
      <c r="S16" s="18" t="e">
        <f>DEC2HEX(POWER(2,$C3-32)*S3+POWER(2,$C2-32)*S2+POWER(2,#REF!-32)*#REF!+POWER(2,#REF!-32)*#REF!+POWER(2,#REF!-32)*#REF!+POWER(2,#REF!-32)*#REF!+POWER(2,#REF!-32)*#REF!+POWER(2,#REF!-32)*#REF!+POWER(2,#REF!-32)*#REF!+POWER(2,#REF!-32)*#REF!+POWER(2,#REF!-32)*#REF!)</f>
        <v>#REF!</v>
      </c>
      <c r="V16" s="29"/>
      <c r="W16" s="22" t="s">
        <v>141</v>
      </c>
      <c r="X16" s="31" t="e">
        <f>D16</f>
        <v>#REF!</v>
      </c>
      <c r="Y16" t="e">
        <f t="shared" si="0"/>
        <v>#REF!</v>
      </c>
      <c r="Z16" s="32"/>
    </row>
    <row r="17" spans="1:19">
      <c r="A17" s="18" t="s">
        <v>143</v>
      </c>
      <c r="B17" s="19"/>
      <c r="C17" s="19"/>
      <c r="D17" s="18" t="e">
        <f>DEC2HEX(POWER(2,#REF!)*#REF!+POWER(2,#REF!)*#REF!+POWER(2,#REF!)*#REF!+POWER(2,#REF!)*#REF!+POWER(2,#REF!)*#REF!+POWER(2,#REF!)*#REF!+POWER(2,#REF!)*#REF!+POWER(2,#REF!)*#REF!)</f>
        <v>#REF!</v>
      </c>
      <c r="E17" s="18" t="e">
        <f>DEC2HEX(POWER(2,#REF!)*#REF!+POWER(2,#REF!)*#REF!+POWER(2,#REF!)*#REF!+POWER(2,#REF!)*#REF!+POWER(2,#REF!)*#REF!+POWER(2,#REF!)*#REF!+POWER(2,#REF!)*#REF!+POWER(2,#REF!)*#REF!)</f>
        <v>#REF!</v>
      </c>
      <c r="F17" s="18" t="e">
        <f>DEC2HEX(POWER(2,#REF!)*#REF!+POWER(2,#REF!)*#REF!+POWER(2,#REF!)*#REF!+POWER(2,#REF!)*#REF!+POWER(2,#REF!)*#REF!+POWER(2,#REF!)*#REF!+POWER(2,#REF!)*#REF!+POWER(2,#REF!)*#REF!)</f>
        <v>#REF!</v>
      </c>
      <c r="G17" s="18" t="e">
        <f>DEC2HEX(POWER(2,#REF!)*#REF!+POWER(2,#REF!)*#REF!+POWER(2,#REF!)*#REF!+POWER(2,#REF!)*#REF!+POWER(2,#REF!)*#REF!+POWER(2,#REF!)*#REF!+POWER(2,#REF!)*#REF!+POWER(2,#REF!)*#REF!)</f>
        <v>#REF!</v>
      </c>
      <c r="H17" s="18" t="e">
        <f>DEC2HEX(POWER(2,#REF!)*#REF!+POWER(2,#REF!)*#REF!+POWER(2,#REF!)*#REF!+POWER(2,#REF!)*#REF!+POWER(2,#REF!)*#REF!+POWER(2,#REF!)*#REF!+POWER(2,#REF!)*#REF!+POWER(2,#REF!)*#REF!)</f>
        <v>#REF!</v>
      </c>
      <c r="I17" s="18" t="e">
        <f>DEC2HEX(POWER(2,#REF!)*#REF!+POWER(2,#REF!)*#REF!+POWER(2,#REF!)*#REF!+POWER(2,#REF!)*#REF!+POWER(2,#REF!)*#REF!+POWER(2,#REF!)*#REF!+POWER(2,#REF!)*#REF!+POWER(2,#REF!)*#REF!)</f>
        <v>#REF!</v>
      </c>
      <c r="J17" s="18" t="e">
        <f>DEC2HEX(POWER(2,#REF!)*#REF!+POWER(2,#REF!)*#REF!+POWER(2,#REF!)*#REF!+POWER(2,#REF!)*#REF!+POWER(2,#REF!)*#REF!+POWER(2,#REF!)*#REF!+POWER(2,#REF!)*#REF!+POWER(2,#REF!)*#REF!)</f>
        <v>#REF!</v>
      </c>
      <c r="K17" s="18" t="e">
        <f>DEC2HEX(POWER(2,#REF!)*#REF!+POWER(2,#REF!)*#REF!+POWER(2,#REF!)*#REF!+POWER(2,#REF!)*#REF!+POWER(2,#REF!)*#REF!+POWER(2,#REF!)*#REF!+POWER(2,#REF!)*#REF!+POWER(2,#REF!)*#REF!)</f>
        <v>#REF!</v>
      </c>
      <c r="L17" s="18" t="e">
        <f>DEC2HEX(POWER(2,#REF!)*#REF!+POWER(2,#REF!)*#REF!+POWER(2,#REF!)*#REF!+POWER(2,#REF!)*#REF!+POWER(2,#REF!)*#REF!+POWER(2,#REF!)*#REF!+POWER(2,#REF!)*#REF!+POWER(2,#REF!)*#REF!)</f>
        <v>#REF!</v>
      </c>
      <c r="M17" s="18" t="e">
        <f>DEC2HEX(POWER(2,#REF!)*#REF!+POWER(2,#REF!)*#REF!+POWER(2,#REF!)*#REF!+POWER(2,#REF!)*#REF!+POWER(2,#REF!)*#REF!+POWER(2,#REF!)*#REF!+POWER(2,#REF!)*#REF!+POWER(2,#REF!)*#REF!)</f>
        <v>#REF!</v>
      </c>
      <c r="N17" s="18" t="e">
        <f>DEC2HEX(POWER(2,#REF!)*#REF!+POWER(2,#REF!)*#REF!+POWER(2,#REF!)*#REF!+POWER(2,#REF!)*#REF!+POWER(2,#REF!)*#REF!+POWER(2,#REF!)*#REF!+POWER(2,#REF!)*#REF!+POWER(2,#REF!)*#REF!)</f>
        <v>#REF!</v>
      </c>
      <c r="O17" s="18" t="e">
        <f>DEC2HEX(POWER(2,#REF!)*#REF!+POWER(2,#REF!)*#REF!+POWER(2,#REF!)*#REF!+POWER(2,#REF!)*#REF!+POWER(2,#REF!)*#REF!+POWER(2,#REF!)*#REF!+POWER(2,#REF!)*#REF!+POWER(2,#REF!)*#REF!)</f>
        <v>#REF!</v>
      </c>
      <c r="P17" s="18" t="e">
        <f>DEC2HEX(POWER(2,#REF!)*#REF!+POWER(2,#REF!)*#REF!+POWER(2,#REF!)*#REF!+POWER(2,#REF!)*#REF!+POWER(2,#REF!)*#REF!+POWER(2,#REF!)*#REF!+POWER(2,#REF!)*#REF!+POWER(2,#REF!)*#REF!)</f>
        <v>#REF!</v>
      </c>
      <c r="Q17" s="18" t="e">
        <f>DEC2HEX(POWER(2,#REF!)*#REF!+POWER(2,#REF!)*#REF!+POWER(2,#REF!)*#REF!+POWER(2,#REF!)*#REF!+POWER(2,#REF!)*#REF!+POWER(2,#REF!)*#REF!+POWER(2,#REF!)*#REF!+POWER(2,#REF!)*#REF!)</f>
        <v>#REF!</v>
      </c>
      <c r="R17" s="18" t="e">
        <f>DEC2HEX(POWER(2,#REF!)*#REF!+POWER(2,#REF!)*#REF!+POWER(2,#REF!)*#REF!+POWER(2,#REF!)*#REF!+POWER(2,#REF!)*#REF!+POWER(2,#REF!)*#REF!+POWER(2,#REF!)*#REF!+POWER(2,#REF!)*#REF!)</f>
        <v>#REF!</v>
      </c>
      <c r="S17" s="18" t="e">
        <f>DEC2HEX(POWER(2,#REF!)*#REF!+POWER(2,#REF!)*#REF!+POWER(2,#REF!)*#REF!+POWER(2,#REF!)*#REF!+POWER(2,#REF!)*#REF!+POWER(2,#REF!)*#REF!+POWER(2,#REF!)*#REF!+POWER(2,#REF!)*#REF!)</f>
        <v>#REF!</v>
      </c>
    </row>
    <row r="18" spans="1:19">
      <c r="A18" s="20"/>
      <c r="B18" s="21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21" spans="1:7">
      <c r="A21" s="23"/>
      <c r="B21" s="23"/>
      <c r="C21" s="23"/>
      <c r="D21" s="23"/>
      <c r="E21" s="24"/>
      <c r="F21" s="24"/>
      <c r="G21" s="24"/>
    </row>
    <row r="22" spans="1:7">
      <c r="A22" s="23"/>
      <c r="B22" s="23"/>
      <c r="C22" s="23"/>
      <c r="D22" s="23"/>
      <c r="E22" s="24"/>
      <c r="F22" s="24"/>
      <c r="G22" s="24"/>
    </row>
    <row r="23" spans="1:7">
      <c r="A23" s="23"/>
      <c r="B23" s="23"/>
      <c r="C23" s="23"/>
      <c r="D23" s="23"/>
      <c r="E23" s="24"/>
      <c r="F23" s="24"/>
      <c r="G23" s="24"/>
    </row>
    <row r="24" spans="1:7">
      <c r="A24" s="23"/>
      <c r="B24" s="23"/>
      <c r="C24" s="23"/>
      <c r="D24" s="23"/>
      <c r="E24" s="24"/>
      <c r="F24" s="24"/>
      <c r="G24" s="24"/>
    </row>
    <row r="25" spans="1:7">
      <c r="A25" s="23"/>
      <c r="B25" s="23"/>
      <c r="C25" s="23"/>
      <c r="D25" s="23"/>
      <c r="E25" s="24"/>
      <c r="F25" s="24"/>
      <c r="G25" s="24"/>
    </row>
    <row r="26" spans="1:7">
      <c r="A26" s="23"/>
      <c r="B26" s="23"/>
      <c r="C26" s="23"/>
      <c r="D26" s="23"/>
      <c r="E26" s="24"/>
      <c r="F26" s="24"/>
      <c r="G26" s="24"/>
    </row>
    <row r="27" spans="1:7">
      <c r="A27" s="20"/>
      <c r="B27" s="25"/>
      <c r="C27" s="25"/>
      <c r="D27" s="25"/>
      <c r="E27" s="24"/>
      <c r="F27" s="24"/>
      <c r="G27" s="24"/>
    </row>
    <row r="28" spans="1:7">
      <c r="A28" s="20"/>
      <c r="B28" s="25"/>
      <c r="C28" s="25"/>
      <c r="D28" s="25"/>
      <c r="E28" s="24"/>
      <c r="F28" s="24"/>
      <c r="G28" s="24"/>
    </row>
    <row r="29" spans="1:7">
      <c r="A29" s="20"/>
      <c r="B29" s="25"/>
      <c r="C29" s="25"/>
      <c r="D29" s="25"/>
      <c r="E29" s="24"/>
      <c r="F29" s="24"/>
      <c r="G29" s="24"/>
    </row>
    <row r="30" spans="1:7">
      <c r="A30" s="20"/>
      <c r="B30" s="25"/>
      <c r="C30" s="25"/>
      <c r="D30" s="25"/>
      <c r="E30" s="24"/>
      <c r="F30" s="24"/>
      <c r="G30" s="24"/>
    </row>
    <row r="31" spans="1:7">
      <c r="A31" s="20"/>
      <c r="B31" s="25"/>
      <c r="C31" s="25"/>
      <c r="D31" s="25"/>
      <c r="E31" s="24"/>
      <c r="F31" s="24"/>
      <c r="G31" s="24"/>
    </row>
    <row r="32" spans="1:7">
      <c r="A32" s="20"/>
      <c r="B32" s="26"/>
      <c r="C32" s="26"/>
      <c r="D32" s="26"/>
      <c r="E32" s="21"/>
      <c r="F32" s="24"/>
      <c r="G32" s="24"/>
    </row>
    <row r="33" spans="1:7">
      <c r="A33" s="20"/>
      <c r="B33" s="25"/>
      <c r="C33" s="25"/>
      <c r="D33" s="25"/>
      <c r="E33" s="24"/>
      <c r="F33" s="24"/>
      <c r="G33" s="24"/>
    </row>
    <row r="34" spans="1:7">
      <c r="A34" s="27"/>
      <c r="B34" s="23"/>
      <c r="C34" s="23"/>
      <c r="D34" s="23"/>
      <c r="E34" s="24"/>
      <c r="F34" s="24"/>
      <c r="G34" s="24"/>
    </row>
    <row r="35" spans="1:7">
      <c r="A35" s="20"/>
      <c r="B35" s="25"/>
      <c r="C35" s="25"/>
      <c r="D35" s="25"/>
      <c r="E35" s="24"/>
      <c r="F35" s="24"/>
      <c r="G35" s="24"/>
    </row>
    <row r="36" spans="1:7">
      <c r="A36" s="20"/>
      <c r="B36" s="28"/>
      <c r="C36" s="28"/>
      <c r="D36" s="26"/>
      <c r="E36" s="24"/>
      <c r="F36" s="24"/>
      <c r="G36" s="24"/>
    </row>
    <row r="37" spans="1:7">
      <c r="A37" s="20"/>
      <c r="B37" s="25"/>
      <c r="C37" s="25"/>
      <c r="D37" s="25"/>
      <c r="E37" s="24"/>
      <c r="F37" s="24"/>
      <c r="G37" s="24"/>
    </row>
    <row r="38" spans="1:7">
      <c r="A38" s="20"/>
      <c r="B38" s="25"/>
      <c r="C38" s="25"/>
      <c r="D38" s="25"/>
      <c r="E38" s="24"/>
      <c r="F38" s="24"/>
      <c r="G38" s="24"/>
    </row>
    <row r="39" spans="1:7">
      <c r="A39" s="20"/>
      <c r="B39" s="25"/>
      <c r="C39" s="25"/>
      <c r="D39" s="25"/>
      <c r="E39" s="24"/>
      <c r="F39" s="24"/>
      <c r="G39" s="24"/>
    </row>
    <row r="40" spans="1:7">
      <c r="A40" s="20"/>
      <c r="B40" s="25"/>
      <c r="C40" s="25"/>
      <c r="D40" s="25"/>
      <c r="E40" s="24"/>
      <c r="F40" s="24"/>
      <c r="G40" s="24"/>
    </row>
    <row r="41" spans="1:7">
      <c r="A41" s="20"/>
      <c r="B41" s="25"/>
      <c r="C41" s="25"/>
      <c r="D41" s="25"/>
      <c r="E41" s="24"/>
      <c r="F41" s="24"/>
      <c r="G41" s="24"/>
    </row>
    <row r="42" spans="1:7">
      <c r="A42" s="20"/>
      <c r="B42" s="25"/>
      <c r="C42" s="25"/>
      <c r="D42" s="25"/>
      <c r="E42" s="24"/>
      <c r="F42" s="24"/>
      <c r="G42" s="24"/>
    </row>
    <row r="43" spans="1:7">
      <c r="A43" s="20"/>
      <c r="B43" s="25"/>
      <c r="C43" s="25"/>
      <c r="D43" s="25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12"/>
      <c r="B48" s="33"/>
      <c r="C48" s="33"/>
      <c r="D48" s="33"/>
      <c r="E48" s="24"/>
      <c r="F48" s="24"/>
      <c r="G48" s="24"/>
    </row>
    <row r="49" spans="1:7">
      <c r="A49" s="12"/>
      <c r="B49" s="33"/>
      <c r="C49" s="33"/>
      <c r="D49" s="33"/>
      <c r="E49" s="24"/>
      <c r="F49" s="24"/>
      <c r="G49" s="24"/>
    </row>
    <row r="50" spans="1:7">
      <c r="A50" s="24"/>
      <c r="B50" s="24"/>
      <c r="C50" s="24"/>
      <c r="D50" s="24"/>
      <c r="E50" s="24"/>
      <c r="F50" s="24"/>
      <c r="G50" s="24"/>
    </row>
    <row r="51" spans="1:7">
      <c r="A51" s="24"/>
      <c r="B51" s="24"/>
      <c r="C51" s="24"/>
      <c r="D51" s="24"/>
      <c r="E51" s="24"/>
      <c r="F51" s="24"/>
      <c r="G51" s="24"/>
    </row>
    <row r="52" spans="1:7">
      <c r="A52" s="24"/>
      <c r="B52" s="24"/>
      <c r="C52" s="24"/>
      <c r="D52" s="24"/>
      <c r="E52" s="24"/>
      <c r="F52" s="24"/>
      <c r="G52" s="24"/>
    </row>
    <row r="53" spans="1:7">
      <c r="A53" s="24"/>
      <c r="B53" s="24"/>
      <c r="C53" s="24"/>
      <c r="D53" s="24"/>
      <c r="E53" s="24"/>
      <c r="F53" s="24"/>
      <c r="G53" s="24"/>
    </row>
    <row r="54" spans="1:7">
      <c r="A54" s="24"/>
      <c r="B54" s="24"/>
      <c r="C54" s="24"/>
      <c r="D54" s="24"/>
      <c r="E54" s="24"/>
      <c r="F54" s="24"/>
      <c r="G54" s="2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tabSelected="1" workbookViewId="0">
      <selection activeCell="B20" sqref="B2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42</v>
      </c>
      <c r="C2" s="3">
        <v>37</v>
      </c>
      <c r="D2" s="3">
        <v>63</v>
      </c>
      <c r="E2" s="5">
        <v>63</v>
      </c>
      <c r="F2" s="5">
        <v>34</v>
      </c>
      <c r="G2" s="5" t="s">
        <v>169</v>
      </c>
      <c r="H2" s="5">
        <v>17</v>
      </c>
      <c r="I2" s="5">
        <v>17</v>
      </c>
      <c r="J2" s="5">
        <v>18</v>
      </c>
      <c r="K2" s="5">
        <v>17</v>
      </c>
      <c r="L2" s="5">
        <v>16</v>
      </c>
      <c r="M2" s="5">
        <v>16</v>
      </c>
      <c r="N2" s="5">
        <v>16</v>
      </c>
      <c r="O2" s="5">
        <v>21</v>
      </c>
      <c r="P2" s="5">
        <v>18</v>
      </c>
      <c r="Q2" s="5">
        <v>13</v>
      </c>
      <c r="R2" s="5">
        <v>10</v>
      </c>
      <c r="S2" s="5">
        <v>8</v>
      </c>
      <c r="V2" s="30"/>
      <c r="W2" s="22" t="s">
        <v>141</v>
      </c>
      <c r="X2" s="31" t="e">
        <f>O16</f>
        <v>#REF!</v>
      </c>
      <c r="Y2" t="e">
        <f>"0x"&amp;RIGHT("00000000"&amp;X2,8)&amp;","</f>
        <v>#REF!</v>
      </c>
      <c r="Z2" s="32"/>
    </row>
    <row r="3" spans="1:26">
      <c r="A3" s="3" t="s">
        <v>142</v>
      </c>
      <c r="B3" s="3">
        <v>36</v>
      </c>
      <c r="C3" s="3">
        <v>32</v>
      </c>
      <c r="D3" s="3">
        <v>30</v>
      </c>
      <c r="E3" s="7">
        <v>31</v>
      </c>
      <c r="F3" s="7">
        <v>4</v>
      </c>
      <c r="G3" s="7">
        <v>4</v>
      </c>
      <c r="H3" s="7">
        <v>4</v>
      </c>
      <c r="I3" s="7">
        <v>18</v>
      </c>
      <c r="J3" s="7">
        <v>23</v>
      </c>
      <c r="K3" s="7">
        <v>18</v>
      </c>
      <c r="L3" s="7">
        <v>20</v>
      </c>
      <c r="M3" s="7">
        <v>27</v>
      </c>
      <c r="N3" s="7">
        <v>1</v>
      </c>
      <c r="O3" s="7">
        <v>19</v>
      </c>
      <c r="P3" s="7">
        <v>15</v>
      </c>
      <c r="Q3" s="7">
        <v>20</v>
      </c>
      <c r="R3" s="7">
        <v>16</v>
      </c>
      <c r="S3" s="7">
        <v>10</v>
      </c>
      <c r="V3" s="30">
        <v>5</v>
      </c>
      <c r="W3" s="22" t="s">
        <v>143</v>
      </c>
      <c r="X3" s="31" t="e">
        <f>N17</f>
        <v>#REF!</v>
      </c>
      <c r="Y3" t="e">
        <f>"0x"&amp;RIGHT("00000000"&amp;X3,8)&amp;","</f>
        <v>#REF!</v>
      </c>
      <c r="Z3" s="32" t="s">
        <v>144</v>
      </c>
    </row>
    <row r="4" spans="1:26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V4" s="30"/>
      <c r="W4" s="22" t="s">
        <v>141</v>
      </c>
      <c r="X4" s="31" t="e">
        <f>J16</f>
        <v>#REF!</v>
      </c>
      <c r="Y4" t="e">
        <f t="shared" ref="Y4:Y16" si="0">"0x"&amp;RIGHT("00000000"&amp;X4,8)&amp;","</f>
        <v>#REF!</v>
      </c>
      <c r="Z4" s="32"/>
    </row>
    <row r="5" spans="1:26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V5" s="30" t="s">
        <v>145</v>
      </c>
      <c r="W5" s="22" t="s">
        <v>143</v>
      </c>
      <c r="X5" s="31" t="e">
        <f>I17</f>
        <v>#REF!</v>
      </c>
      <c r="Y5" t="e">
        <f t="shared" si="0"/>
        <v>#REF!</v>
      </c>
      <c r="Z5" s="32" t="s">
        <v>146</v>
      </c>
    </row>
    <row r="6" spans="1:26">
      <c r="A6" s="14"/>
      <c r="B6" s="14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V6" s="30"/>
      <c r="W6" s="22" t="s">
        <v>141</v>
      </c>
      <c r="X6" s="31" t="e">
        <f>I16</f>
        <v>#REF!</v>
      </c>
      <c r="Y6" t="e">
        <f t="shared" si="0"/>
        <v>#REF!</v>
      </c>
      <c r="Z6" s="32"/>
    </row>
    <row r="7" spans="1:26">
      <c r="A7" s="12" t="s">
        <v>147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V7" s="30" t="s">
        <v>148</v>
      </c>
      <c r="W7" s="22" t="s">
        <v>143</v>
      </c>
      <c r="X7" s="31" t="e">
        <f>H17</f>
        <v>#REF!</v>
      </c>
      <c r="Y7" t="e">
        <f t="shared" si="0"/>
        <v>#REF!</v>
      </c>
      <c r="Z7" s="32" t="s">
        <v>149</v>
      </c>
    </row>
    <row r="8" spans="1:26">
      <c r="A8" s="12" t="s">
        <v>150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V8" s="30"/>
      <c r="W8" s="22" t="s">
        <v>141</v>
      </c>
      <c r="X8" s="31" t="e">
        <f>H16</f>
        <v>#REF!</v>
      </c>
      <c r="Y8" t="e">
        <f t="shared" si="0"/>
        <v>#REF!</v>
      </c>
      <c r="Z8" s="32"/>
    </row>
    <row r="9" spans="1:26">
      <c r="A9" s="12" t="s">
        <v>151</v>
      </c>
      <c r="B9" s="14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V9" s="30" t="s">
        <v>152</v>
      </c>
      <c r="W9" s="22" t="s">
        <v>143</v>
      </c>
      <c r="X9" s="31" t="e">
        <f>G17</f>
        <v>#REF!</v>
      </c>
      <c r="Y9" t="e">
        <f t="shared" si="0"/>
        <v>#REF!</v>
      </c>
      <c r="Z9" s="32" t="s">
        <v>153</v>
      </c>
    </row>
    <row r="10" spans="1:26">
      <c r="A10" s="15" t="s">
        <v>154</v>
      </c>
      <c r="V10" s="30"/>
      <c r="W10" s="22" t="s">
        <v>141</v>
      </c>
      <c r="X10" s="31" t="e">
        <f>G16</f>
        <v>#REF!</v>
      </c>
      <c r="Y10" t="e">
        <f t="shared" si="0"/>
        <v>#REF!</v>
      </c>
      <c r="Z10" s="32"/>
    </row>
    <row r="11" spans="22:26">
      <c r="V11" s="30" t="s">
        <v>155</v>
      </c>
      <c r="W11" s="22" t="s">
        <v>143</v>
      </c>
      <c r="X11" s="31" t="e">
        <f>F17</f>
        <v>#REF!</v>
      </c>
      <c r="Y11" t="e">
        <f t="shared" si="0"/>
        <v>#REF!</v>
      </c>
      <c r="Z11" s="32" t="s">
        <v>156</v>
      </c>
    </row>
    <row r="12" spans="22:26">
      <c r="V12" s="30"/>
      <c r="W12" s="22" t="s">
        <v>141</v>
      </c>
      <c r="X12" s="31" t="e">
        <f>F16</f>
        <v>#REF!</v>
      </c>
      <c r="Y12" t="e">
        <f t="shared" si="0"/>
        <v>#REF!</v>
      </c>
      <c r="Z12" s="32"/>
    </row>
    <row r="13" spans="22:26">
      <c r="V13" s="30" t="s">
        <v>157</v>
      </c>
      <c r="W13" s="22" t="s">
        <v>143</v>
      </c>
      <c r="X13" s="31" t="e">
        <f>E17</f>
        <v>#REF!</v>
      </c>
      <c r="Y13" t="e">
        <f t="shared" si="0"/>
        <v>#REF!</v>
      </c>
      <c r="Z13" s="32" t="s">
        <v>158</v>
      </c>
    </row>
    <row r="14" spans="1:26">
      <c r="A14" t="s">
        <v>159</v>
      </c>
      <c r="V14" s="30"/>
      <c r="W14" s="22" t="s">
        <v>141</v>
      </c>
      <c r="X14" s="31" t="e">
        <f>E16</f>
        <v>#REF!</v>
      </c>
      <c r="Y14" t="e">
        <f t="shared" si="0"/>
        <v>#REF!</v>
      </c>
      <c r="Z14" s="32"/>
    </row>
    <row r="15" spans="1:26">
      <c r="A15" s="16" t="s">
        <v>160</v>
      </c>
      <c r="B15" s="16"/>
      <c r="C15" s="16"/>
      <c r="D15" s="17">
        <v>26</v>
      </c>
      <c r="E15" s="17">
        <v>24</v>
      </c>
      <c r="F15" s="17">
        <v>22</v>
      </c>
      <c r="G15" s="17">
        <v>20</v>
      </c>
      <c r="H15" s="17">
        <v>18</v>
      </c>
      <c r="I15" s="17">
        <v>16</v>
      </c>
      <c r="J15" s="17">
        <v>14</v>
      </c>
      <c r="K15" s="17">
        <v>12</v>
      </c>
      <c r="L15" s="17">
        <v>10</v>
      </c>
      <c r="M15" s="17">
        <v>8</v>
      </c>
      <c r="N15" s="17">
        <v>6</v>
      </c>
      <c r="O15" s="17">
        <v>4</v>
      </c>
      <c r="P15" s="17">
        <v>2</v>
      </c>
      <c r="Q15" s="17">
        <v>0</v>
      </c>
      <c r="R15" s="17">
        <v>-2</v>
      </c>
      <c r="S15" s="17">
        <v>-4</v>
      </c>
      <c r="V15" s="30" t="s">
        <v>161</v>
      </c>
      <c r="W15" s="22" t="s">
        <v>143</v>
      </c>
      <c r="X15" s="31" t="e">
        <f>D17</f>
        <v>#REF!</v>
      </c>
      <c r="Y15" t="e">
        <f t="shared" si="0"/>
        <v>#REF!</v>
      </c>
      <c r="Z15" s="32" t="s">
        <v>162</v>
      </c>
    </row>
    <row r="16" spans="1:26">
      <c r="A16" s="18" t="s">
        <v>141</v>
      </c>
      <c r="B16" s="19"/>
      <c r="C16" s="19"/>
      <c r="D16" s="18" t="e">
        <f>DEC2HEX(POWER(2,$C3-32)*D3+POWER(2,$C2-32)*D2+POWER(2,#REF!-32)*#REF!+POWER(2,#REF!-32)*#REF!+POWER(2,#REF!-32)*#REF!+POWER(2,#REF!-32)*#REF!+POWER(2,#REF!-32)*#REF!+POWER(2,#REF!-32)*#REF!+POWER(2,#REF!-32)*#REF!+POWER(2,#REF!-32)*#REF!+POWER(2,#REF!-32)*#REF!)</f>
        <v>#REF!</v>
      </c>
      <c r="E16" s="18" t="e">
        <f>DEC2HEX(POWER(2,$C3-32)*E3+POWER(2,$C2-32)*E2+POWER(2,#REF!-32)*#REF!+POWER(2,#REF!-32)*#REF!+POWER(2,#REF!-32)*#REF!+POWER(2,#REF!-32)*#REF!+POWER(2,#REF!-32)*#REF!+POWER(2,#REF!-32)*#REF!+POWER(2,#REF!-32)*#REF!+POWER(2,#REF!-32)*#REF!+POWER(2,#REF!-32)*#REF!)</f>
        <v>#REF!</v>
      </c>
      <c r="F16" s="18" t="e">
        <f>DEC2HEX(POWER(2,$C3-32)*F3+POWER(2,$C2-32)*F2+POWER(2,#REF!-32)*#REF!+POWER(2,#REF!-32)*#REF!+POWER(2,#REF!-32)*#REF!+POWER(2,#REF!-32)*#REF!+POWER(2,#REF!-32)*#REF!+POWER(2,#REF!-32)*#REF!+POWER(2,#REF!-32)*#REF!+POWER(2,#REF!-32)*#REF!+POWER(2,#REF!-32)*#REF!)</f>
        <v>#REF!</v>
      </c>
      <c r="G16" s="18" t="e">
        <f>DEC2HEX(POWER(2,$C3-32)*G3+POWER(2,$C2-32)*G2+POWER(2,#REF!-32)*#REF!+POWER(2,#REF!-32)*#REF!+POWER(2,#REF!-32)*#REF!+POWER(2,#REF!-32)*#REF!+POWER(2,#REF!-32)*#REF!+POWER(2,#REF!-32)*#REF!+POWER(2,#REF!-32)*#REF!+POWER(2,#REF!-32)*#REF!+POWER(2,#REF!-32)*#REF!)</f>
        <v>#REF!</v>
      </c>
      <c r="H16" s="18" t="e">
        <f>DEC2HEX(POWER(2,$C3-32)*H3+POWER(2,$C2-32)*H2+POWER(2,#REF!-32)*#REF!+POWER(2,#REF!-32)*#REF!+POWER(2,#REF!-32)*#REF!+POWER(2,#REF!-32)*#REF!+POWER(2,#REF!-32)*#REF!+POWER(2,#REF!-32)*#REF!+POWER(2,#REF!-32)*#REF!+POWER(2,#REF!-32)*#REF!+POWER(2,#REF!-32)*#REF!)</f>
        <v>#REF!</v>
      </c>
      <c r="I16" s="18" t="e">
        <f>DEC2HEX(POWER(2,$C3-32)*I3+POWER(2,$C2-32)*I2+POWER(2,#REF!-32)*#REF!+POWER(2,#REF!-32)*#REF!+POWER(2,#REF!-32)*#REF!+POWER(2,#REF!-32)*#REF!+POWER(2,#REF!-32)*#REF!+POWER(2,#REF!-32)*#REF!+POWER(2,#REF!-32)*#REF!+POWER(2,#REF!-32)*#REF!+POWER(2,#REF!-32)*#REF!)</f>
        <v>#REF!</v>
      </c>
      <c r="J16" s="18" t="e">
        <f>DEC2HEX(POWER(2,$C3-32)*J3+POWER(2,$C2-32)*J2+POWER(2,#REF!-32)*#REF!+POWER(2,#REF!-32)*#REF!+POWER(2,#REF!-32)*#REF!+POWER(2,#REF!-32)*#REF!+POWER(2,#REF!-32)*#REF!+POWER(2,#REF!-32)*#REF!+POWER(2,#REF!-32)*#REF!+POWER(2,#REF!-32)*#REF!+POWER(2,#REF!-32)*#REF!)</f>
        <v>#REF!</v>
      </c>
      <c r="K16" s="18" t="e">
        <f>DEC2HEX(POWER(2,$C3-32)*K3+POWER(2,$C2-32)*K2+POWER(2,#REF!-32)*#REF!+POWER(2,#REF!-32)*#REF!+POWER(2,#REF!-32)*#REF!+POWER(2,#REF!-32)*#REF!+POWER(2,#REF!-32)*#REF!+POWER(2,#REF!-32)*#REF!+POWER(2,#REF!-32)*#REF!+POWER(2,#REF!-32)*#REF!+POWER(2,#REF!-32)*#REF!)</f>
        <v>#REF!</v>
      </c>
      <c r="L16" s="18" t="e">
        <f>DEC2HEX(POWER(2,$C3-32)*L3+POWER(2,$C2-32)*L2+POWER(2,#REF!-32)*#REF!+POWER(2,#REF!-32)*#REF!+POWER(2,#REF!-32)*#REF!+POWER(2,#REF!-32)*#REF!+POWER(2,#REF!-32)*#REF!+POWER(2,#REF!-32)*#REF!+POWER(2,#REF!-32)*#REF!+POWER(2,#REF!-32)*#REF!+POWER(2,#REF!-32)*#REF!)</f>
        <v>#REF!</v>
      </c>
      <c r="M16" s="18" t="e">
        <f>DEC2HEX(POWER(2,$C3-32)*M3+POWER(2,$C2-32)*M2+POWER(2,#REF!-32)*#REF!+POWER(2,#REF!-32)*#REF!+POWER(2,#REF!-32)*#REF!+POWER(2,#REF!-32)*#REF!+POWER(2,#REF!-32)*#REF!+POWER(2,#REF!-32)*#REF!+POWER(2,#REF!-32)*#REF!+POWER(2,#REF!-32)*#REF!+POWER(2,#REF!-32)*#REF!)</f>
        <v>#REF!</v>
      </c>
      <c r="N16" s="18" t="e">
        <f>DEC2HEX(POWER(2,$C3-32)*N3+POWER(2,$C2-32)*N2+POWER(2,#REF!-32)*#REF!+POWER(2,#REF!-32)*#REF!+POWER(2,#REF!-32)*#REF!+POWER(2,#REF!-32)*#REF!+POWER(2,#REF!-32)*#REF!+POWER(2,#REF!-32)*#REF!+POWER(2,#REF!-32)*#REF!+POWER(2,#REF!-32)*#REF!+POWER(2,#REF!-32)*#REF!)</f>
        <v>#REF!</v>
      </c>
      <c r="O16" s="18" t="e">
        <f>DEC2HEX(POWER(2,$C3-32)*O3+POWER(2,$C2-32)*O2+POWER(2,#REF!-32)*#REF!+POWER(2,#REF!-32)*#REF!+POWER(2,#REF!-32)*#REF!+POWER(2,#REF!-32)*#REF!+POWER(2,#REF!-32)*#REF!+POWER(2,#REF!-32)*#REF!+POWER(2,#REF!-32)*#REF!+POWER(2,#REF!-32)*#REF!+POWER(2,#REF!-32)*#REF!)</f>
        <v>#REF!</v>
      </c>
      <c r="P16" s="18" t="e">
        <f>DEC2HEX(POWER(2,$C3-32)*P3+POWER(2,$C2-32)*P2+POWER(2,#REF!-32)*#REF!+POWER(2,#REF!-32)*#REF!+POWER(2,#REF!-32)*#REF!+POWER(2,#REF!-32)*#REF!+POWER(2,#REF!-32)*#REF!+POWER(2,#REF!-32)*#REF!+POWER(2,#REF!-32)*#REF!+POWER(2,#REF!-32)*#REF!+POWER(2,#REF!-32)*#REF!)</f>
        <v>#REF!</v>
      </c>
      <c r="Q16" s="18" t="e">
        <f>DEC2HEX(POWER(2,$C3-32)*Q3+POWER(2,$C2-32)*Q2+POWER(2,#REF!-32)*#REF!+POWER(2,#REF!-32)*#REF!+POWER(2,#REF!-32)*#REF!+POWER(2,#REF!-32)*#REF!+POWER(2,#REF!-32)*#REF!+POWER(2,#REF!-32)*#REF!+POWER(2,#REF!-32)*#REF!+POWER(2,#REF!-32)*#REF!+POWER(2,#REF!-32)*#REF!)</f>
        <v>#REF!</v>
      </c>
      <c r="R16" s="18" t="e">
        <f>DEC2HEX(POWER(2,$C3-32)*R3+POWER(2,$C2-32)*R2+POWER(2,#REF!-32)*#REF!+POWER(2,#REF!-32)*#REF!+POWER(2,#REF!-32)*#REF!+POWER(2,#REF!-32)*#REF!+POWER(2,#REF!-32)*#REF!+POWER(2,#REF!-32)*#REF!+POWER(2,#REF!-32)*#REF!+POWER(2,#REF!-32)*#REF!+POWER(2,#REF!-32)*#REF!)</f>
        <v>#REF!</v>
      </c>
      <c r="S16" s="18" t="e">
        <f>DEC2HEX(POWER(2,$C3-32)*S3+POWER(2,$C2-32)*S2+POWER(2,#REF!-32)*#REF!+POWER(2,#REF!-32)*#REF!+POWER(2,#REF!-32)*#REF!+POWER(2,#REF!-32)*#REF!+POWER(2,#REF!-32)*#REF!+POWER(2,#REF!-32)*#REF!+POWER(2,#REF!-32)*#REF!+POWER(2,#REF!-32)*#REF!+POWER(2,#REF!-32)*#REF!)</f>
        <v>#REF!</v>
      </c>
      <c r="V16" s="29"/>
      <c r="W16" s="22" t="s">
        <v>141</v>
      </c>
      <c r="X16" s="31" t="e">
        <f>D16</f>
        <v>#REF!</v>
      </c>
      <c r="Y16" t="e">
        <f t="shared" si="0"/>
        <v>#REF!</v>
      </c>
      <c r="Z16" s="32"/>
    </row>
    <row r="17" spans="1:19">
      <c r="A17" s="18" t="s">
        <v>143</v>
      </c>
      <c r="B17" s="19"/>
      <c r="C17" s="19"/>
      <c r="D17" s="18" t="e">
        <f>DEC2HEX(POWER(2,#REF!)*#REF!+POWER(2,#REF!)*#REF!+POWER(2,#REF!)*#REF!+POWER(2,#REF!)*#REF!+POWER(2,#REF!)*#REF!+POWER(2,#REF!)*#REF!+POWER(2,#REF!)*#REF!+POWER(2,#REF!)*#REF!)</f>
        <v>#REF!</v>
      </c>
      <c r="E17" s="18" t="e">
        <f>DEC2HEX(POWER(2,#REF!)*#REF!+POWER(2,#REF!)*#REF!+POWER(2,#REF!)*#REF!+POWER(2,#REF!)*#REF!+POWER(2,#REF!)*#REF!+POWER(2,#REF!)*#REF!+POWER(2,#REF!)*#REF!+POWER(2,#REF!)*#REF!)</f>
        <v>#REF!</v>
      </c>
      <c r="F17" s="18" t="e">
        <f>DEC2HEX(POWER(2,#REF!)*#REF!+POWER(2,#REF!)*#REF!+POWER(2,#REF!)*#REF!+POWER(2,#REF!)*#REF!+POWER(2,#REF!)*#REF!+POWER(2,#REF!)*#REF!+POWER(2,#REF!)*#REF!+POWER(2,#REF!)*#REF!)</f>
        <v>#REF!</v>
      </c>
      <c r="G17" s="18" t="e">
        <f>DEC2HEX(POWER(2,#REF!)*#REF!+POWER(2,#REF!)*#REF!+POWER(2,#REF!)*#REF!+POWER(2,#REF!)*#REF!+POWER(2,#REF!)*#REF!+POWER(2,#REF!)*#REF!+POWER(2,#REF!)*#REF!+POWER(2,#REF!)*#REF!)</f>
        <v>#REF!</v>
      </c>
      <c r="H17" s="18" t="e">
        <f>DEC2HEX(POWER(2,#REF!)*#REF!+POWER(2,#REF!)*#REF!+POWER(2,#REF!)*#REF!+POWER(2,#REF!)*#REF!+POWER(2,#REF!)*#REF!+POWER(2,#REF!)*#REF!+POWER(2,#REF!)*#REF!+POWER(2,#REF!)*#REF!)</f>
        <v>#REF!</v>
      </c>
      <c r="I17" s="18" t="e">
        <f>DEC2HEX(POWER(2,#REF!)*#REF!+POWER(2,#REF!)*#REF!+POWER(2,#REF!)*#REF!+POWER(2,#REF!)*#REF!+POWER(2,#REF!)*#REF!+POWER(2,#REF!)*#REF!+POWER(2,#REF!)*#REF!+POWER(2,#REF!)*#REF!)</f>
        <v>#REF!</v>
      </c>
      <c r="J17" s="18" t="e">
        <f>DEC2HEX(POWER(2,#REF!)*#REF!+POWER(2,#REF!)*#REF!+POWER(2,#REF!)*#REF!+POWER(2,#REF!)*#REF!+POWER(2,#REF!)*#REF!+POWER(2,#REF!)*#REF!+POWER(2,#REF!)*#REF!+POWER(2,#REF!)*#REF!)</f>
        <v>#REF!</v>
      </c>
      <c r="K17" s="18" t="e">
        <f>DEC2HEX(POWER(2,#REF!)*#REF!+POWER(2,#REF!)*#REF!+POWER(2,#REF!)*#REF!+POWER(2,#REF!)*#REF!+POWER(2,#REF!)*#REF!+POWER(2,#REF!)*#REF!+POWER(2,#REF!)*#REF!+POWER(2,#REF!)*#REF!)</f>
        <v>#REF!</v>
      </c>
      <c r="L17" s="18" t="e">
        <f>DEC2HEX(POWER(2,#REF!)*#REF!+POWER(2,#REF!)*#REF!+POWER(2,#REF!)*#REF!+POWER(2,#REF!)*#REF!+POWER(2,#REF!)*#REF!+POWER(2,#REF!)*#REF!+POWER(2,#REF!)*#REF!+POWER(2,#REF!)*#REF!)</f>
        <v>#REF!</v>
      </c>
      <c r="M17" s="18" t="e">
        <f>DEC2HEX(POWER(2,#REF!)*#REF!+POWER(2,#REF!)*#REF!+POWER(2,#REF!)*#REF!+POWER(2,#REF!)*#REF!+POWER(2,#REF!)*#REF!+POWER(2,#REF!)*#REF!+POWER(2,#REF!)*#REF!+POWER(2,#REF!)*#REF!)</f>
        <v>#REF!</v>
      </c>
      <c r="N17" s="18" t="e">
        <f>DEC2HEX(POWER(2,#REF!)*#REF!+POWER(2,#REF!)*#REF!+POWER(2,#REF!)*#REF!+POWER(2,#REF!)*#REF!+POWER(2,#REF!)*#REF!+POWER(2,#REF!)*#REF!+POWER(2,#REF!)*#REF!+POWER(2,#REF!)*#REF!)</f>
        <v>#REF!</v>
      </c>
      <c r="O17" s="18" t="e">
        <f>DEC2HEX(POWER(2,#REF!)*#REF!+POWER(2,#REF!)*#REF!+POWER(2,#REF!)*#REF!+POWER(2,#REF!)*#REF!+POWER(2,#REF!)*#REF!+POWER(2,#REF!)*#REF!+POWER(2,#REF!)*#REF!+POWER(2,#REF!)*#REF!)</f>
        <v>#REF!</v>
      </c>
      <c r="P17" s="18" t="e">
        <f>DEC2HEX(POWER(2,#REF!)*#REF!+POWER(2,#REF!)*#REF!+POWER(2,#REF!)*#REF!+POWER(2,#REF!)*#REF!+POWER(2,#REF!)*#REF!+POWER(2,#REF!)*#REF!+POWER(2,#REF!)*#REF!+POWER(2,#REF!)*#REF!)</f>
        <v>#REF!</v>
      </c>
      <c r="Q17" s="18" t="e">
        <f>DEC2HEX(POWER(2,#REF!)*#REF!+POWER(2,#REF!)*#REF!+POWER(2,#REF!)*#REF!+POWER(2,#REF!)*#REF!+POWER(2,#REF!)*#REF!+POWER(2,#REF!)*#REF!+POWER(2,#REF!)*#REF!+POWER(2,#REF!)*#REF!)</f>
        <v>#REF!</v>
      </c>
      <c r="R17" s="18" t="e">
        <f>DEC2HEX(POWER(2,#REF!)*#REF!+POWER(2,#REF!)*#REF!+POWER(2,#REF!)*#REF!+POWER(2,#REF!)*#REF!+POWER(2,#REF!)*#REF!+POWER(2,#REF!)*#REF!+POWER(2,#REF!)*#REF!+POWER(2,#REF!)*#REF!)</f>
        <v>#REF!</v>
      </c>
      <c r="S17" s="18" t="e">
        <f>DEC2HEX(POWER(2,#REF!)*#REF!+POWER(2,#REF!)*#REF!+POWER(2,#REF!)*#REF!+POWER(2,#REF!)*#REF!+POWER(2,#REF!)*#REF!+POWER(2,#REF!)*#REF!+POWER(2,#REF!)*#REF!+POWER(2,#REF!)*#REF!)</f>
        <v>#REF!</v>
      </c>
    </row>
    <row r="18" spans="1:19">
      <c r="A18" s="20"/>
      <c r="B18" s="21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21" spans="1:7">
      <c r="A21" s="23"/>
      <c r="B21" s="23"/>
      <c r="C21" s="23"/>
      <c r="D21" s="23"/>
      <c r="E21" s="24"/>
      <c r="F21" s="24"/>
      <c r="G21" s="24"/>
    </row>
    <row r="22" spans="1:7">
      <c r="A22" s="23"/>
      <c r="B22" s="23"/>
      <c r="C22" s="23"/>
      <c r="D22" s="23"/>
      <c r="E22" s="24"/>
      <c r="F22" s="24"/>
      <c r="G22" s="24"/>
    </row>
    <row r="23" spans="1:7">
      <c r="A23" s="23"/>
      <c r="B23" s="23"/>
      <c r="C23" s="23"/>
      <c r="D23" s="23"/>
      <c r="E23" s="24"/>
      <c r="F23" s="24"/>
      <c r="G23" s="24"/>
    </row>
    <row r="24" spans="1:7">
      <c r="A24" s="23"/>
      <c r="B24" s="23"/>
      <c r="C24" s="23"/>
      <c r="D24" s="23"/>
      <c r="E24" s="24"/>
      <c r="F24" s="24"/>
      <c r="G24" s="24"/>
    </row>
    <row r="25" spans="1:7">
      <c r="A25" s="23"/>
      <c r="B25" s="23"/>
      <c r="C25" s="23"/>
      <c r="D25" s="23"/>
      <c r="E25" s="24"/>
      <c r="F25" s="24"/>
      <c r="G25" s="24"/>
    </row>
    <row r="26" spans="1:7">
      <c r="A26" s="23"/>
      <c r="B26" s="23"/>
      <c r="C26" s="23"/>
      <c r="D26" s="23"/>
      <c r="E26" s="24"/>
      <c r="F26" s="24"/>
      <c r="G26" s="24"/>
    </row>
    <row r="27" spans="1:7">
      <c r="A27" s="20"/>
      <c r="B27" s="25"/>
      <c r="C27" s="25"/>
      <c r="D27" s="25"/>
      <c r="E27" s="24"/>
      <c r="F27" s="24"/>
      <c r="G27" s="24"/>
    </row>
    <row r="28" spans="1:7">
      <c r="A28" s="20"/>
      <c r="B28" s="25"/>
      <c r="C28" s="25"/>
      <c r="D28" s="25"/>
      <c r="E28" s="24"/>
      <c r="F28" s="24"/>
      <c r="G28" s="24"/>
    </row>
    <row r="29" spans="1:7">
      <c r="A29" s="20"/>
      <c r="B29" s="25"/>
      <c r="C29" s="25"/>
      <c r="D29" s="25"/>
      <c r="E29" s="24"/>
      <c r="F29" s="24"/>
      <c r="G29" s="24"/>
    </row>
    <row r="30" spans="1:7">
      <c r="A30" s="20"/>
      <c r="B30" s="25"/>
      <c r="C30" s="25"/>
      <c r="D30" s="25"/>
      <c r="E30" s="24"/>
      <c r="F30" s="24"/>
      <c r="G30" s="24"/>
    </row>
    <row r="31" spans="1:7">
      <c r="A31" s="20"/>
      <c r="B31" s="25"/>
      <c r="C31" s="25"/>
      <c r="D31" s="25"/>
      <c r="E31" s="24"/>
      <c r="F31" s="24"/>
      <c r="G31" s="24"/>
    </row>
    <row r="32" spans="1:7">
      <c r="A32" s="20"/>
      <c r="B32" s="26"/>
      <c r="C32" s="26"/>
      <c r="D32" s="26"/>
      <c r="E32" s="21"/>
      <c r="F32" s="24"/>
      <c r="G32" s="24"/>
    </row>
    <row r="33" spans="1:7">
      <c r="A33" s="20"/>
      <c r="B33" s="25"/>
      <c r="C33" s="25"/>
      <c r="D33" s="25"/>
      <c r="E33" s="24"/>
      <c r="F33" s="24"/>
      <c r="G33" s="24"/>
    </row>
    <row r="34" spans="1:7">
      <c r="A34" s="27"/>
      <c r="B34" s="23"/>
      <c r="C34" s="23"/>
      <c r="D34" s="23"/>
      <c r="E34" s="24"/>
      <c r="F34" s="24"/>
      <c r="G34" s="24"/>
    </row>
    <row r="35" spans="1:7">
      <c r="A35" s="20"/>
      <c r="B35" s="25"/>
      <c r="C35" s="25"/>
      <c r="D35" s="25"/>
      <c r="E35" s="24"/>
      <c r="F35" s="24"/>
      <c r="G35" s="24"/>
    </row>
    <row r="36" spans="1:7">
      <c r="A36" s="20"/>
      <c r="B36" s="28"/>
      <c r="C36" s="28"/>
      <c r="D36" s="26"/>
      <c r="E36" s="24"/>
      <c r="F36" s="24"/>
      <c r="G36" s="24"/>
    </row>
    <row r="37" spans="1:7">
      <c r="A37" s="20"/>
      <c r="B37" s="25"/>
      <c r="C37" s="25"/>
      <c r="D37" s="25"/>
      <c r="E37" s="24"/>
      <c r="F37" s="24"/>
      <c r="G37" s="24"/>
    </row>
    <row r="38" spans="1:7">
      <c r="A38" s="20"/>
      <c r="B38" s="25"/>
      <c r="C38" s="25"/>
      <c r="D38" s="25"/>
      <c r="E38" s="24"/>
      <c r="F38" s="24"/>
      <c r="G38" s="24"/>
    </row>
    <row r="39" spans="1:7">
      <c r="A39" s="20"/>
      <c r="B39" s="25"/>
      <c r="C39" s="25"/>
      <c r="D39" s="25"/>
      <c r="E39" s="24"/>
      <c r="F39" s="24"/>
      <c r="G39" s="24"/>
    </row>
    <row r="40" spans="1:7">
      <c r="A40" s="20"/>
      <c r="B40" s="25"/>
      <c r="C40" s="25"/>
      <c r="D40" s="25"/>
      <c r="E40" s="24"/>
      <c r="F40" s="24"/>
      <c r="G40" s="24"/>
    </row>
    <row r="41" spans="1:7">
      <c r="A41" s="20"/>
      <c r="B41" s="25"/>
      <c r="C41" s="25"/>
      <c r="D41" s="25"/>
      <c r="E41" s="24"/>
      <c r="F41" s="24"/>
      <c r="G41" s="24"/>
    </row>
    <row r="42" spans="1:7">
      <c r="A42" s="20"/>
      <c r="B42" s="25"/>
      <c r="C42" s="25"/>
      <c r="D42" s="25"/>
      <c r="E42" s="24"/>
      <c r="F42" s="24"/>
      <c r="G42" s="24"/>
    </row>
    <row r="43" spans="1:7">
      <c r="A43" s="20"/>
      <c r="B43" s="25"/>
      <c r="C43" s="25"/>
      <c r="D43" s="25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12"/>
      <c r="B48" s="33"/>
      <c r="C48" s="33"/>
      <c r="D48" s="33"/>
      <c r="E48" s="24"/>
      <c r="F48" s="24"/>
      <c r="G48" s="24"/>
    </row>
    <row r="49" spans="1:7">
      <c r="A49" s="12"/>
      <c r="B49" s="33"/>
      <c r="C49" s="33"/>
      <c r="D49" s="33"/>
      <c r="E49" s="24"/>
      <c r="F49" s="24"/>
      <c r="G49" s="24"/>
    </row>
    <row r="50" spans="1:7">
      <c r="A50" s="24"/>
      <c r="B50" s="24"/>
      <c r="C50" s="24"/>
      <c r="D50" s="24"/>
      <c r="E50" s="24"/>
      <c r="F50" s="24"/>
      <c r="G50" s="24"/>
    </row>
    <row r="51" spans="1:7">
      <c r="A51" s="24"/>
      <c r="B51" s="24"/>
      <c r="C51" s="24"/>
      <c r="D51" s="24"/>
      <c r="E51" s="24"/>
      <c r="F51" s="24"/>
      <c r="G51" s="24"/>
    </row>
    <row r="52" spans="1:7">
      <c r="A52" s="24"/>
      <c r="B52" s="24"/>
      <c r="C52" s="24"/>
      <c r="D52" s="24"/>
      <c r="E52" s="24"/>
      <c r="F52" s="24"/>
      <c r="G52" s="24"/>
    </row>
    <row r="53" spans="1:7">
      <c r="A53" s="24"/>
      <c r="B53" s="24"/>
      <c r="C53" s="24"/>
      <c r="D53" s="24"/>
      <c r="E53" s="24"/>
      <c r="F53" s="24"/>
      <c r="G53" s="24"/>
    </row>
    <row r="54" spans="1:7">
      <c r="A54" s="24"/>
      <c r="B54" s="24"/>
      <c r="C54" s="24"/>
      <c r="D54" s="24"/>
      <c r="E54" s="24"/>
      <c r="F54" s="24"/>
      <c r="G54" s="2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12</v>
      </c>
      <c r="E3" s="4">
        <v>12</v>
      </c>
      <c r="F3" s="4" t="s">
        <v>173</v>
      </c>
      <c r="G3" s="4" t="s">
        <v>173</v>
      </c>
      <c r="H3" s="4" t="s">
        <v>173</v>
      </c>
      <c r="I3" s="4" t="s">
        <v>173</v>
      </c>
      <c r="J3" s="4">
        <v>12</v>
      </c>
      <c r="K3" s="4" t="s">
        <v>173</v>
      </c>
      <c r="L3" s="4" t="s">
        <v>173</v>
      </c>
      <c r="M3" s="4" t="s">
        <v>173</v>
      </c>
      <c r="N3" s="4" t="s">
        <v>173</v>
      </c>
      <c r="O3" s="4">
        <v>12</v>
      </c>
      <c r="P3" s="4" t="s">
        <v>173</v>
      </c>
      <c r="Q3" s="4" t="s">
        <v>173</v>
      </c>
      <c r="R3" s="4" t="s">
        <v>173</v>
      </c>
      <c r="S3" s="4" t="s">
        <v>173</v>
      </c>
      <c r="V3" s="30"/>
      <c r="W3" s="22">
        <v>40348064</v>
      </c>
      <c r="X3" s="31" t="str">
        <f>S33</f>
        <v>D9E640D4</v>
      </c>
      <c r="Y3" t="str">
        <f t="shared" si="0"/>
        <v>0xD9E640D4,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D9E64115</v>
      </c>
      <c r="Y5" t="str">
        <f t="shared" si="0"/>
        <v>0xD9E64115,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163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D9E64172</v>
      </c>
      <c r="Y7" t="str">
        <f t="shared" si="0"/>
        <v>0xD9E64172,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D9E641E8</v>
      </c>
      <c r="Y9" t="str">
        <f t="shared" si="0"/>
        <v>0xD9E641E8,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52</v>
      </c>
      <c r="F10" s="6" t="s">
        <v>183</v>
      </c>
      <c r="G10" s="6" t="s">
        <v>112</v>
      </c>
      <c r="H10" s="5" t="s">
        <v>184</v>
      </c>
      <c r="I10" s="6" t="s">
        <v>185</v>
      </c>
      <c r="J10" s="5">
        <v>21</v>
      </c>
      <c r="K10" s="6" t="s">
        <v>76</v>
      </c>
      <c r="L10" s="5" t="s">
        <v>185</v>
      </c>
      <c r="M10" s="6" t="s">
        <v>76</v>
      </c>
      <c r="N10" s="5" t="s">
        <v>168</v>
      </c>
      <c r="O10" s="6" t="s">
        <v>186</v>
      </c>
      <c r="P10" s="5" t="s">
        <v>76</v>
      </c>
      <c r="Q10" s="5" t="s">
        <v>164</v>
      </c>
      <c r="R10" s="5" t="s">
        <v>187</v>
      </c>
      <c r="S10" s="5" t="s">
        <v>106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20</v>
      </c>
      <c r="F11" s="5" t="s">
        <v>184</v>
      </c>
      <c r="G11" s="5" t="s">
        <v>184</v>
      </c>
      <c r="H11" s="5" t="s">
        <v>189</v>
      </c>
      <c r="I11" s="5" t="s">
        <v>183</v>
      </c>
      <c r="J11" s="5">
        <v>28</v>
      </c>
      <c r="K11" s="5" t="s">
        <v>189</v>
      </c>
      <c r="L11" s="5" t="s">
        <v>169</v>
      </c>
      <c r="M11" s="5" t="s">
        <v>184</v>
      </c>
      <c r="N11" s="5" t="s">
        <v>184</v>
      </c>
      <c r="O11" s="5">
        <v>8</v>
      </c>
      <c r="P11" s="5" t="s">
        <v>187</v>
      </c>
      <c r="Q11" s="5" t="s">
        <v>185</v>
      </c>
      <c r="R11" s="5" t="s">
        <v>112</v>
      </c>
      <c r="S11" s="5" t="s">
        <v>184</v>
      </c>
      <c r="V11" s="30"/>
      <c r="W11" s="22">
        <v>40348064</v>
      </c>
      <c r="X11" s="31" t="str">
        <f>O33</f>
        <v>D9E64268</v>
      </c>
      <c r="Y11" t="str">
        <f t="shared" si="0"/>
        <v>0xD9E64268,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D9E64334</v>
      </c>
      <c r="Y13" t="str">
        <f t="shared" si="0"/>
        <v>0xD9E64334,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2</v>
      </c>
      <c r="E14" s="7" t="s">
        <v>118</v>
      </c>
      <c r="F14" s="7" t="s">
        <v>118</v>
      </c>
      <c r="G14" s="7" t="s">
        <v>118</v>
      </c>
      <c r="H14" s="3">
        <v>2</v>
      </c>
      <c r="I14" s="7" t="s">
        <v>118</v>
      </c>
      <c r="J14" s="7" t="s">
        <v>118</v>
      </c>
      <c r="K14" s="7" t="s">
        <v>118</v>
      </c>
      <c r="L14" s="3">
        <v>2</v>
      </c>
      <c r="M14" s="7" t="s">
        <v>118</v>
      </c>
      <c r="N14" s="7" t="s">
        <v>118</v>
      </c>
      <c r="O14" s="7" t="s">
        <v>118</v>
      </c>
      <c r="P14" s="3">
        <v>2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D9E681F4</v>
      </c>
      <c r="Y15" t="str">
        <f t="shared" si="0"/>
        <v>0xD9E681F4,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D9E6825A</v>
      </c>
      <c r="Y17" t="str">
        <f t="shared" si="0"/>
        <v>0xD9E6825A,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D9E701F6</v>
      </c>
      <c r="Y19" t="str">
        <f t="shared" si="0"/>
        <v>0xD9E701F6,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D9E702BC</v>
      </c>
      <c r="Y21" t="str">
        <f t="shared" si="0"/>
        <v>0xD9E702BC,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D9E7425C</v>
      </c>
      <c r="Y23" t="str">
        <f t="shared" si="0"/>
        <v>0xD9E7425C,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D9E78296</v>
      </c>
      <c r="Y25" t="str">
        <f t="shared" si="0"/>
        <v>0xD9E78296,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D9E7C2B4</v>
      </c>
      <c r="Y27" t="str">
        <f t="shared" si="0"/>
        <v>0xD9E7C2B4,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D9E7C394</v>
      </c>
      <c r="Y29" t="str">
        <f t="shared" si="0"/>
        <v>0xD9E7C394,</v>
      </c>
      <c r="Z29" s="32"/>
    </row>
    <row r="30" spans="22:26">
      <c r="V30" s="30" t="s">
        <v>157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D9E7C694</v>
      </c>
      <c r="Y31" t="str">
        <f t="shared" si="0"/>
        <v>0xD9E7C694,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8" t="str">
        <f t="shared" si="1"/>
        <v>D9E7C394</v>
      </c>
      <c r="G33" s="18" t="str">
        <f t="shared" si="1"/>
        <v>D9E7C2B4</v>
      </c>
      <c r="H33" s="18" t="str">
        <f t="shared" si="1"/>
        <v>D9E78296</v>
      </c>
      <c r="I33" s="18" t="str">
        <f t="shared" si="1"/>
        <v>D9E7425C</v>
      </c>
      <c r="J33" s="18" t="str">
        <f t="shared" si="1"/>
        <v>D9E702BC</v>
      </c>
      <c r="K33" s="18" t="str">
        <f t="shared" si="1"/>
        <v>D9E701F6</v>
      </c>
      <c r="L33" s="18" t="str">
        <f t="shared" si="1"/>
        <v>D9E6825A</v>
      </c>
      <c r="M33" s="18" t="str">
        <f t="shared" si="1"/>
        <v>D9E681F4</v>
      </c>
      <c r="N33" s="18" t="str">
        <f t="shared" si="1"/>
        <v>D9E64334</v>
      </c>
      <c r="O33" s="18" t="str">
        <f t="shared" si="1"/>
        <v>D9E64268</v>
      </c>
      <c r="P33" s="18" t="str">
        <f t="shared" si="1"/>
        <v>D9E641E8</v>
      </c>
      <c r="Q33" s="18" t="str">
        <f t="shared" si="1"/>
        <v>D9E64172</v>
      </c>
      <c r="R33" s="18" t="str">
        <f t="shared" si="1"/>
        <v>D9E64115</v>
      </c>
      <c r="S33" s="18" t="str">
        <f t="shared" si="1"/>
        <v>D9E640D4</v>
      </c>
      <c r="V33" s="29"/>
      <c r="W33" s="22">
        <v>40348064</v>
      </c>
      <c r="X33" s="31" t="str">
        <f>D33</f>
        <v>D9EFC7FF</v>
      </c>
      <c r="Y33" t="str">
        <f t="shared" si="0"/>
        <v>0xD9EFC7FF,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27" sqref="F27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8</v>
      </c>
      <c r="E3" s="4">
        <v>19</v>
      </c>
      <c r="F3" s="4">
        <v>31</v>
      </c>
      <c r="G3" s="4">
        <v>31</v>
      </c>
      <c r="H3" s="4">
        <v>31</v>
      </c>
      <c r="I3" s="4">
        <v>31</v>
      </c>
      <c r="J3" s="4">
        <v>31</v>
      </c>
      <c r="K3" s="4">
        <v>31</v>
      </c>
      <c r="L3" s="4">
        <v>31</v>
      </c>
      <c r="M3" s="4">
        <v>31</v>
      </c>
      <c r="N3" s="4">
        <v>31</v>
      </c>
      <c r="O3" s="4">
        <v>31</v>
      </c>
      <c r="P3" s="4">
        <v>31</v>
      </c>
      <c r="Q3" s="4">
        <v>31</v>
      </c>
      <c r="R3" s="4">
        <v>31</v>
      </c>
      <c r="S3" s="4">
        <v>31</v>
      </c>
      <c r="V3" s="30"/>
      <c r="W3" s="22">
        <v>40348064</v>
      </c>
      <c r="X3" s="31" t="str">
        <f>S33</f>
        <v>FFEE4136</v>
      </c>
      <c r="Y3" t="str">
        <f t="shared" si="0"/>
        <v>0xFFEE4136,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FFEE4196</v>
      </c>
      <c r="Y5" t="str">
        <f t="shared" si="0"/>
        <v>0xFFEE4196,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FFEE4216</v>
      </c>
      <c r="Y7" t="str">
        <f t="shared" si="0"/>
        <v>0xFFEE4216,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FFEE812F</v>
      </c>
      <c r="Y9" t="str">
        <f t="shared" si="0"/>
        <v>0xFFEE812F,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6" t="s">
        <v>203</v>
      </c>
      <c r="F10" s="6" t="s">
        <v>204</v>
      </c>
      <c r="G10" s="6" t="s">
        <v>205</v>
      </c>
      <c r="H10" s="6" t="s">
        <v>183</v>
      </c>
      <c r="I10" s="6" t="s">
        <v>206</v>
      </c>
      <c r="J10" s="6" t="s">
        <v>112</v>
      </c>
      <c r="K10" s="6" t="s">
        <v>185</v>
      </c>
      <c r="L10" s="6">
        <v>18</v>
      </c>
      <c r="M10" s="6" t="s">
        <v>166</v>
      </c>
      <c r="N10" s="6" t="s">
        <v>166</v>
      </c>
      <c r="O10" s="6" t="s">
        <v>166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FFEE81D0</v>
      </c>
      <c r="Y11" t="str">
        <f t="shared" si="0"/>
        <v>0xFFEE81D0,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FFEEC1D2</v>
      </c>
      <c r="Y13" t="str">
        <f t="shared" si="0"/>
        <v>0xFFEEC1D2,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FFEF01DA</v>
      </c>
      <c r="Y15" t="str">
        <f t="shared" si="0"/>
        <v>0xFFEF01DA,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3">
        <v>20</v>
      </c>
      <c r="G17" s="4" t="s">
        <v>184</v>
      </c>
      <c r="H17" s="3">
        <v>20</v>
      </c>
      <c r="I17" s="4" t="s">
        <v>184</v>
      </c>
      <c r="J17" s="3">
        <v>20</v>
      </c>
      <c r="K17" s="4" t="s">
        <v>184</v>
      </c>
      <c r="L17" s="3">
        <v>20</v>
      </c>
      <c r="M17" s="4" t="s">
        <v>184</v>
      </c>
      <c r="N17" s="3">
        <v>20</v>
      </c>
      <c r="O17" s="4" t="s">
        <v>184</v>
      </c>
      <c r="P17" s="3">
        <v>20</v>
      </c>
      <c r="Q17" s="4" t="s">
        <v>184</v>
      </c>
      <c r="R17" s="3">
        <v>20</v>
      </c>
      <c r="S17" s="4" t="s">
        <v>184</v>
      </c>
      <c r="V17" s="30"/>
      <c r="W17" s="22">
        <v>40348064</v>
      </c>
      <c r="X17" s="31" t="str">
        <f>L33</f>
        <v>FFEF0258</v>
      </c>
      <c r="Y17" t="str">
        <f t="shared" si="0"/>
        <v>0xFFEF0258,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FFEF4250</v>
      </c>
      <c r="Y19" t="str">
        <f t="shared" si="0"/>
        <v>0xFFEF4250,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FFEF82B0</v>
      </c>
      <c r="Y21" t="str">
        <f t="shared" si="0"/>
        <v>0xFFEF82B0,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FFEF8310</v>
      </c>
      <c r="Y23" t="str">
        <f t="shared" si="0"/>
        <v>0xFFEF8310,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FFEF8390</v>
      </c>
      <c r="Y25" t="str">
        <f t="shared" si="0"/>
        <v>0xFFEF8390,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FFEFC436</v>
      </c>
      <c r="Y27" t="str">
        <f t="shared" si="0"/>
        <v>0xFFEFC436,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FFEFC516</v>
      </c>
      <c r="Y29" t="str">
        <f t="shared" si="0"/>
        <v>0xFFEFC516,</v>
      </c>
      <c r="Z29" s="32"/>
    </row>
    <row r="30" spans="22:26">
      <c r="V30" s="30" t="s">
        <v>157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E7EFC61F</v>
      </c>
      <c r="Y31" t="str">
        <f t="shared" si="0"/>
        <v>0xE7EFC61F,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D1EFC7FF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E7EFC61F</v>
      </c>
      <c r="F33" s="18" t="str">
        <f t="shared" si="1"/>
        <v>FFEFC516</v>
      </c>
      <c r="G33" s="18" t="str">
        <f t="shared" si="1"/>
        <v>FFEFC436</v>
      </c>
      <c r="H33" s="18" t="str">
        <f t="shared" si="1"/>
        <v>FFEF8390</v>
      </c>
      <c r="I33" s="18" t="str">
        <f t="shared" si="1"/>
        <v>FFEF8310</v>
      </c>
      <c r="J33" s="18" t="str">
        <f t="shared" si="1"/>
        <v>FFEF82B0</v>
      </c>
      <c r="K33" s="18" t="str">
        <f t="shared" si="1"/>
        <v>FFEF4250</v>
      </c>
      <c r="L33" s="18" t="str">
        <f t="shared" si="1"/>
        <v>FFEF0258</v>
      </c>
      <c r="M33" s="18" t="str">
        <f t="shared" si="1"/>
        <v>FFEF01DA</v>
      </c>
      <c r="N33" s="18" t="str">
        <f t="shared" si="1"/>
        <v>FFEEC1D2</v>
      </c>
      <c r="O33" s="18" t="str">
        <f t="shared" si="1"/>
        <v>FFEE81D0</v>
      </c>
      <c r="P33" s="18" t="str">
        <f t="shared" si="1"/>
        <v>FFEE812F</v>
      </c>
      <c r="Q33" s="18" t="str">
        <f t="shared" si="1"/>
        <v>FFEE4216</v>
      </c>
      <c r="R33" s="18" t="str">
        <f t="shared" si="1"/>
        <v>FFEE4196</v>
      </c>
      <c r="S33" s="18" t="str">
        <f t="shared" si="1"/>
        <v>FFEE4136</v>
      </c>
      <c r="V33" s="29"/>
      <c r="W33" s="22">
        <v>40348064</v>
      </c>
      <c r="X33" s="31" t="str">
        <f>D33</f>
        <v>D1EFC7FF</v>
      </c>
      <c r="Y33" t="str">
        <f t="shared" si="0"/>
        <v>0xD1EFC7FF,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12</v>
      </c>
      <c r="E3" s="4">
        <v>12</v>
      </c>
      <c r="F3" s="4" t="s">
        <v>173</v>
      </c>
      <c r="G3" s="4" t="s">
        <v>173</v>
      </c>
      <c r="H3" s="4" t="s">
        <v>173</v>
      </c>
      <c r="I3" s="4" t="s">
        <v>173</v>
      </c>
      <c r="J3" s="4">
        <v>12</v>
      </c>
      <c r="K3" s="4" t="s">
        <v>173</v>
      </c>
      <c r="L3" s="4" t="s">
        <v>173</v>
      </c>
      <c r="M3" s="4" t="s">
        <v>173</v>
      </c>
      <c r="N3" s="4" t="s">
        <v>173</v>
      </c>
      <c r="O3" s="4">
        <v>12</v>
      </c>
      <c r="P3" s="4" t="s">
        <v>173</v>
      </c>
      <c r="Q3" s="4" t="s">
        <v>173</v>
      </c>
      <c r="R3" s="4" t="s">
        <v>173</v>
      </c>
      <c r="S3" s="4" t="s">
        <v>173</v>
      </c>
      <c r="V3" s="30"/>
      <c r="W3" s="22">
        <v>40348064</v>
      </c>
      <c r="X3" s="31" t="str">
        <f>S33</f>
        <v>D9E640D4</v>
      </c>
      <c r="Y3" t="str">
        <f t="shared" si="0"/>
        <v>0xD9E640D4,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D9E64115</v>
      </c>
      <c r="Y5" t="str">
        <f t="shared" si="0"/>
        <v>0xD9E64115,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163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D9E64172</v>
      </c>
      <c r="Y7" t="str">
        <f t="shared" si="0"/>
        <v>0xD9E64172,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D9E641E8</v>
      </c>
      <c r="Y9" t="str">
        <f t="shared" si="0"/>
        <v>0xD9E641E8,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52</v>
      </c>
      <c r="F10" s="6" t="s">
        <v>207</v>
      </c>
      <c r="G10" s="6" t="s">
        <v>112</v>
      </c>
      <c r="H10" s="6" t="s">
        <v>186</v>
      </c>
      <c r="I10" s="6" t="s">
        <v>165</v>
      </c>
      <c r="J10" s="5">
        <v>21</v>
      </c>
      <c r="K10" s="6" t="s">
        <v>76</v>
      </c>
      <c r="L10" s="5" t="s">
        <v>185</v>
      </c>
      <c r="M10" s="6" t="s">
        <v>76</v>
      </c>
      <c r="N10" s="5" t="s">
        <v>168</v>
      </c>
      <c r="O10" s="6" t="s">
        <v>185</v>
      </c>
      <c r="P10" s="5" t="s">
        <v>76</v>
      </c>
      <c r="Q10" s="5" t="s">
        <v>164</v>
      </c>
      <c r="R10" s="5" t="s">
        <v>187</v>
      </c>
      <c r="S10" s="5" t="s">
        <v>106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20</v>
      </c>
      <c r="F11" s="5" t="s">
        <v>184</v>
      </c>
      <c r="G11" s="5" t="s">
        <v>184</v>
      </c>
      <c r="H11" s="5" t="s">
        <v>189</v>
      </c>
      <c r="I11" s="5" t="s">
        <v>183</v>
      </c>
      <c r="J11" s="5">
        <v>28</v>
      </c>
      <c r="K11" s="5" t="s">
        <v>189</v>
      </c>
      <c r="L11" s="5" t="s">
        <v>169</v>
      </c>
      <c r="M11" s="5" t="s">
        <v>184</v>
      </c>
      <c r="N11" s="5" t="s">
        <v>184</v>
      </c>
      <c r="O11" s="5">
        <v>8</v>
      </c>
      <c r="P11" s="5" t="s">
        <v>187</v>
      </c>
      <c r="Q11" s="5" t="s">
        <v>185</v>
      </c>
      <c r="R11" s="5" t="s">
        <v>112</v>
      </c>
      <c r="S11" s="5" t="s">
        <v>184</v>
      </c>
      <c r="V11" s="30"/>
      <c r="W11" s="22">
        <v>40348064</v>
      </c>
      <c r="X11" s="31" t="str">
        <f>O33</f>
        <v>D9E64248</v>
      </c>
      <c r="Y11" t="str">
        <f t="shared" si="0"/>
        <v>0xD9E64248,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D9E64334</v>
      </c>
      <c r="Y13" t="str">
        <f t="shared" si="0"/>
        <v>0xD9E64334,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D9E681F4</v>
      </c>
      <c r="Y15" t="str">
        <f t="shared" si="0"/>
        <v>0xD9E681F4,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D9E6825A</v>
      </c>
      <c r="Y17" t="str">
        <f t="shared" si="0"/>
        <v>0xD9E6825A,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D9E701F6</v>
      </c>
      <c r="Y19" t="str">
        <f t="shared" si="0"/>
        <v>0xD9E701F6,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D9E702BC</v>
      </c>
      <c r="Y21" t="str">
        <f t="shared" si="0"/>
        <v>0xD9E702BC,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D9E7423C</v>
      </c>
      <c r="Y23" t="str">
        <f t="shared" si="0"/>
        <v>0xD9E7423C,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D9E78276</v>
      </c>
      <c r="Y25" t="str">
        <f t="shared" si="0"/>
        <v>0xD9E78276,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D9E7C2B4</v>
      </c>
      <c r="Y27" t="str">
        <f t="shared" si="0"/>
        <v>0xD9E7C2B4,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D9E7C374</v>
      </c>
      <c r="Y29" t="str">
        <f t="shared" si="0"/>
        <v>0xD9E7C374,</v>
      </c>
      <c r="Z29" s="32"/>
    </row>
    <row r="30" spans="22:26">
      <c r="V30" s="30" t="s">
        <v>157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D9E7C694</v>
      </c>
      <c r="Y31" t="str">
        <f t="shared" si="0"/>
        <v>0xD9E7C694,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8" t="str">
        <f t="shared" si="1"/>
        <v>D9E7C374</v>
      </c>
      <c r="G33" s="18" t="str">
        <f t="shared" si="1"/>
        <v>D9E7C2B4</v>
      </c>
      <c r="H33" s="18" t="str">
        <f t="shared" si="1"/>
        <v>D9E78276</v>
      </c>
      <c r="I33" s="18" t="str">
        <f t="shared" si="1"/>
        <v>D9E7423C</v>
      </c>
      <c r="J33" s="18" t="str">
        <f t="shared" si="1"/>
        <v>D9E702BC</v>
      </c>
      <c r="K33" s="18" t="str">
        <f t="shared" si="1"/>
        <v>D9E701F6</v>
      </c>
      <c r="L33" s="18" t="str">
        <f t="shared" si="1"/>
        <v>D9E6825A</v>
      </c>
      <c r="M33" s="18" t="str">
        <f t="shared" si="1"/>
        <v>D9E681F4</v>
      </c>
      <c r="N33" s="18" t="str">
        <f t="shared" si="1"/>
        <v>D9E64334</v>
      </c>
      <c r="O33" s="18" t="str">
        <f t="shared" si="1"/>
        <v>D9E64248</v>
      </c>
      <c r="P33" s="18" t="str">
        <f t="shared" si="1"/>
        <v>D9E641E8</v>
      </c>
      <c r="Q33" s="18" t="str">
        <f t="shared" si="1"/>
        <v>D9E64172</v>
      </c>
      <c r="R33" s="18" t="str">
        <f t="shared" si="1"/>
        <v>D9E64115</v>
      </c>
      <c r="S33" s="18" t="str">
        <f t="shared" si="1"/>
        <v>D9E640D4</v>
      </c>
      <c r="V33" s="29"/>
      <c r="W33" s="22">
        <v>40348064</v>
      </c>
      <c r="X33" s="31" t="str">
        <f>D33</f>
        <v>D9EFC7FF</v>
      </c>
      <c r="Y33" t="str">
        <f t="shared" si="0"/>
        <v>0xD9EFC7FF,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23" sqref="F2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4</v>
      </c>
      <c r="E3" s="4" t="s">
        <v>173</v>
      </c>
      <c r="F3" s="4" t="s">
        <v>173</v>
      </c>
      <c r="G3" s="4" t="s">
        <v>173</v>
      </c>
      <c r="H3" s="4" t="s">
        <v>173</v>
      </c>
      <c r="I3" s="4" t="s">
        <v>173</v>
      </c>
      <c r="J3" s="4">
        <v>12</v>
      </c>
      <c r="K3" s="4" t="s">
        <v>173</v>
      </c>
      <c r="L3" s="4" t="s">
        <v>173</v>
      </c>
      <c r="M3" s="4" t="s">
        <v>173</v>
      </c>
      <c r="N3" s="4" t="s">
        <v>173</v>
      </c>
      <c r="O3" s="4">
        <v>12</v>
      </c>
      <c r="P3" s="4" t="s">
        <v>173</v>
      </c>
      <c r="Q3" s="4" t="s">
        <v>173</v>
      </c>
      <c r="R3" s="4" t="s">
        <v>173</v>
      </c>
      <c r="S3" s="4" t="s">
        <v>173</v>
      </c>
      <c r="V3" s="30"/>
      <c r="W3" s="22">
        <v>40348064</v>
      </c>
      <c r="X3" s="31" t="str">
        <f>S33</f>
        <v>D9E040D4</v>
      </c>
      <c r="Y3" t="str">
        <f t="shared" si="0"/>
        <v>0xD9E040D4,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D9E04115</v>
      </c>
      <c r="Y5" t="str">
        <f t="shared" si="0"/>
        <v>0xD9E04115,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163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D9E04172</v>
      </c>
      <c r="Y7" t="str">
        <f t="shared" si="0"/>
        <v>0xD9E04172,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D9E041E8</v>
      </c>
      <c r="Y9" t="str">
        <f t="shared" si="0"/>
        <v>0xD9E041E8,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208</v>
      </c>
      <c r="F10" s="6" t="s">
        <v>183</v>
      </c>
      <c r="G10" s="6" t="s">
        <v>189</v>
      </c>
      <c r="H10" s="5" t="s">
        <v>189</v>
      </c>
      <c r="I10" s="6" t="s">
        <v>185</v>
      </c>
      <c r="J10" s="5">
        <v>21</v>
      </c>
      <c r="K10" s="6" t="s">
        <v>76</v>
      </c>
      <c r="L10" s="5" t="s">
        <v>185</v>
      </c>
      <c r="M10" s="6" t="s">
        <v>76</v>
      </c>
      <c r="N10" s="5" t="s">
        <v>168</v>
      </c>
      <c r="O10" s="6" t="s">
        <v>185</v>
      </c>
      <c r="P10" s="5" t="s">
        <v>76</v>
      </c>
      <c r="Q10" s="5" t="s">
        <v>164</v>
      </c>
      <c r="R10" s="5" t="s">
        <v>187</v>
      </c>
      <c r="S10" s="5" t="s">
        <v>106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184</v>
      </c>
      <c r="F11" s="5" t="s">
        <v>184</v>
      </c>
      <c r="G11" s="5" t="s">
        <v>184</v>
      </c>
      <c r="H11" s="5" t="s">
        <v>189</v>
      </c>
      <c r="I11" s="5" t="s">
        <v>183</v>
      </c>
      <c r="J11" s="5">
        <v>28</v>
      </c>
      <c r="K11" s="5" t="s">
        <v>189</v>
      </c>
      <c r="L11" s="5" t="s">
        <v>169</v>
      </c>
      <c r="M11" s="5" t="s">
        <v>184</v>
      </c>
      <c r="N11" s="5" t="s">
        <v>184</v>
      </c>
      <c r="O11" s="5">
        <v>8</v>
      </c>
      <c r="P11" s="5" t="s">
        <v>187</v>
      </c>
      <c r="Q11" s="5" t="s">
        <v>185</v>
      </c>
      <c r="R11" s="5" t="s">
        <v>112</v>
      </c>
      <c r="S11" s="5" t="s">
        <v>184</v>
      </c>
      <c r="V11" s="30"/>
      <c r="W11" s="22">
        <v>40348064</v>
      </c>
      <c r="X11" s="31" t="str">
        <f>O33</f>
        <v>D9E04248</v>
      </c>
      <c r="Y11" t="str">
        <f t="shared" si="0"/>
        <v>0xD9E04248,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D9E04334</v>
      </c>
      <c r="Y13" t="str">
        <f t="shared" si="0"/>
        <v>0xD9E04334,</v>
      </c>
      <c r="Z13" s="32"/>
    </row>
    <row r="14" spans="1:26">
      <c r="A14" s="2" t="s">
        <v>192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D9E081F4</v>
      </c>
      <c r="Y15" t="str">
        <f t="shared" si="0"/>
        <v>0xD9E081F4,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D9E0825A</v>
      </c>
      <c r="Y17" t="str">
        <f t="shared" si="0"/>
        <v>0xD9E0825A,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D9E101F6</v>
      </c>
      <c r="Y19" t="str">
        <f t="shared" si="0"/>
        <v>0xD9E101F6,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D9E102BC</v>
      </c>
      <c r="Y21" t="str">
        <f t="shared" si="0"/>
        <v>0xD9E102BC,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D9E1425C</v>
      </c>
      <c r="Y23" t="str">
        <f t="shared" si="0"/>
        <v>0xD9E1425C,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D9E182D6</v>
      </c>
      <c r="Y25" t="str">
        <f t="shared" si="0"/>
        <v>0xD9E182D6,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D9E1C2D4</v>
      </c>
      <c r="Y27" t="str">
        <f t="shared" si="0"/>
        <v>0xD9E1C2D4,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D9E1C394</v>
      </c>
      <c r="Y29" t="str">
        <f t="shared" si="0"/>
        <v>0xD9E1C394,</v>
      </c>
      <c r="Z29" s="32"/>
    </row>
    <row r="30" spans="22:26">
      <c r="V30" s="30" t="s">
        <v>157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D9E1C694</v>
      </c>
      <c r="Y31" t="str">
        <f t="shared" si="0"/>
        <v>0xD9E1C694,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8" t="str">
        <f t="shared" si="1"/>
        <v>D9E1C394</v>
      </c>
      <c r="G33" s="18" t="str">
        <f t="shared" si="1"/>
        <v>D9E1C2D4</v>
      </c>
      <c r="H33" s="18" t="str">
        <f t="shared" si="1"/>
        <v>D9E182D6</v>
      </c>
      <c r="I33" s="18" t="str">
        <f t="shared" si="1"/>
        <v>D9E1425C</v>
      </c>
      <c r="J33" s="18" t="str">
        <f t="shared" si="1"/>
        <v>D9E102BC</v>
      </c>
      <c r="K33" s="18" t="str">
        <f t="shared" si="1"/>
        <v>D9E101F6</v>
      </c>
      <c r="L33" s="18" t="str">
        <f t="shared" si="1"/>
        <v>D9E0825A</v>
      </c>
      <c r="M33" s="18" t="str">
        <f t="shared" si="1"/>
        <v>D9E081F4</v>
      </c>
      <c r="N33" s="18" t="str">
        <f t="shared" si="1"/>
        <v>D9E04334</v>
      </c>
      <c r="O33" s="18" t="str">
        <f t="shared" si="1"/>
        <v>D9E04248</v>
      </c>
      <c r="P33" s="18" t="str">
        <f t="shared" si="1"/>
        <v>D9E041E8</v>
      </c>
      <c r="Q33" s="18" t="str">
        <f t="shared" si="1"/>
        <v>D9E04172</v>
      </c>
      <c r="R33" s="18" t="str">
        <f t="shared" si="1"/>
        <v>D9E04115</v>
      </c>
      <c r="S33" s="18" t="str">
        <f t="shared" si="1"/>
        <v>D9E040D4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4</v>
      </c>
      <c r="E3" s="4">
        <v>13</v>
      </c>
      <c r="F3" s="4">
        <v>26</v>
      </c>
      <c r="G3" s="4">
        <v>26</v>
      </c>
      <c r="H3" s="4">
        <v>26</v>
      </c>
      <c r="I3" s="4" t="s">
        <v>169</v>
      </c>
      <c r="J3" s="4" t="s">
        <v>169</v>
      </c>
      <c r="K3" s="4" t="s">
        <v>169</v>
      </c>
      <c r="L3" s="4" t="s">
        <v>169</v>
      </c>
      <c r="M3" s="4" t="s">
        <v>169</v>
      </c>
      <c r="N3" s="4" t="s">
        <v>169</v>
      </c>
      <c r="O3" s="4" t="s">
        <v>169</v>
      </c>
      <c r="P3" s="4" t="s">
        <v>169</v>
      </c>
      <c r="Q3" s="4" t="s">
        <v>169</v>
      </c>
      <c r="R3" s="4" t="s">
        <v>169</v>
      </c>
      <c r="S3" s="4" t="s">
        <v>169</v>
      </c>
      <c r="V3" s="30"/>
      <c r="W3" s="22">
        <v>40348064</v>
      </c>
      <c r="X3" s="31" t="str">
        <f>S33</f>
        <v>F5EE4136</v>
      </c>
      <c r="Y3" t="str">
        <f t="shared" si="0"/>
        <v>0xF5EE4136,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F5EE4196</v>
      </c>
      <c r="Y5" t="str">
        <f t="shared" si="0"/>
        <v>0xF5EE4196,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F5EE4216</v>
      </c>
      <c r="Y7" t="str">
        <f t="shared" si="0"/>
        <v>0xF5EE4216,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F5EE812F</v>
      </c>
      <c r="Y9" t="str">
        <f t="shared" si="0"/>
        <v>0xF5EE812F,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6" t="s">
        <v>203</v>
      </c>
      <c r="F10" s="5">
        <v>59</v>
      </c>
      <c r="G10" s="6" t="s">
        <v>209</v>
      </c>
      <c r="H10" s="5">
        <v>35</v>
      </c>
      <c r="I10" s="6" t="s">
        <v>196</v>
      </c>
      <c r="J10" s="5">
        <v>19</v>
      </c>
      <c r="K10" s="6" t="s">
        <v>185</v>
      </c>
      <c r="L10" s="5">
        <v>18</v>
      </c>
      <c r="M10" s="6" t="s">
        <v>166</v>
      </c>
      <c r="N10" s="5">
        <v>10</v>
      </c>
      <c r="O10" s="6" t="s">
        <v>166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F5EE81D0</v>
      </c>
      <c r="Y11" t="str">
        <f t="shared" si="0"/>
        <v>0xF5EE81D0,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F5EEC152</v>
      </c>
      <c r="Y13" t="str">
        <f t="shared" si="0"/>
        <v>0xF5EEC152,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F5EF01DA</v>
      </c>
      <c r="Y15" t="str">
        <f t="shared" si="0"/>
        <v>0xF5EF01DA,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F5EF0258</v>
      </c>
      <c r="Y17" t="str">
        <f t="shared" si="0"/>
        <v>0xF5EF0258,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F5EF4250</v>
      </c>
      <c r="Y19" t="str">
        <f t="shared" si="0"/>
        <v>0xF5EF4250,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F5EF8270</v>
      </c>
      <c r="Y21" t="str">
        <f t="shared" si="0"/>
        <v>0xF5EF8270,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F5EF82F0</v>
      </c>
      <c r="Y23" t="str">
        <f t="shared" si="0"/>
        <v>0xF5EF82F0,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F5EF8470</v>
      </c>
      <c r="Y25" t="str">
        <f t="shared" si="0"/>
        <v>0xF5EF8470,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F5EFC416</v>
      </c>
      <c r="Y27" t="str">
        <f t="shared" si="0"/>
        <v>0xF5EFC416,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F5EFC776</v>
      </c>
      <c r="Y29" t="str">
        <f t="shared" si="0"/>
        <v>0xF5EFC776,</v>
      </c>
      <c r="Z29" s="32"/>
    </row>
    <row r="30" spans="22:26">
      <c r="V30" s="30" t="s">
        <v>157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DBEFC61F</v>
      </c>
      <c r="Y31" t="str">
        <f t="shared" si="0"/>
        <v>0xDBEFC61F,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DBEFC61F</v>
      </c>
      <c r="F33" s="18" t="str">
        <f t="shared" si="1"/>
        <v>F5EFC776</v>
      </c>
      <c r="G33" s="18" t="str">
        <f t="shared" si="1"/>
        <v>F5EFC416</v>
      </c>
      <c r="H33" s="18" t="str">
        <f t="shared" si="1"/>
        <v>F5EF8470</v>
      </c>
      <c r="I33" s="18" t="str">
        <f t="shared" si="1"/>
        <v>F5EF82F0</v>
      </c>
      <c r="J33" s="18" t="str">
        <f t="shared" si="1"/>
        <v>F5EF8270</v>
      </c>
      <c r="K33" s="18" t="str">
        <f t="shared" si="1"/>
        <v>F5EF4250</v>
      </c>
      <c r="L33" s="18" t="str">
        <f t="shared" si="1"/>
        <v>F5EF0258</v>
      </c>
      <c r="M33" s="18" t="str">
        <f t="shared" si="1"/>
        <v>F5EF01DA</v>
      </c>
      <c r="N33" s="18" t="str">
        <f t="shared" si="1"/>
        <v>F5EEC152</v>
      </c>
      <c r="O33" s="18" t="str">
        <f t="shared" si="1"/>
        <v>F5EE81D0</v>
      </c>
      <c r="P33" s="18" t="str">
        <f t="shared" si="1"/>
        <v>F5EE812F</v>
      </c>
      <c r="Q33" s="18" t="str">
        <f t="shared" si="1"/>
        <v>F5EE4216</v>
      </c>
      <c r="R33" s="18" t="str">
        <f t="shared" si="1"/>
        <v>F5EE4196</v>
      </c>
      <c r="S33" s="18" t="str">
        <f t="shared" si="1"/>
        <v>F5EE4136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4</v>
      </c>
      <c r="E3" s="4" t="s">
        <v>173</v>
      </c>
      <c r="F3" s="4" t="s">
        <v>173</v>
      </c>
      <c r="G3" s="4" t="s">
        <v>173</v>
      </c>
      <c r="H3" s="4" t="s">
        <v>173</v>
      </c>
      <c r="I3" s="4" t="s">
        <v>173</v>
      </c>
      <c r="J3" s="4">
        <v>12</v>
      </c>
      <c r="K3" s="4" t="s">
        <v>173</v>
      </c>
      <c r="L3" s="4" t="s">
        <v>173</v>
      </c>
      <c r="M3" s="4" t="s">
        <v>173</v>
      </c>
      <c r="N3" s="4" t="s">
        <v>173</v>
      </c>
      <c r="O3" s="4">
        <v>12</v>
      </c>
      <c r="P3" s="4" t="s">
        <v>173</v>
      </c>
      <c r="Q3" s="4" t="s">
        <v>173</v>
      </c>
      <c r="R3" s="4" t="s">
        <v>173</v>
      </c>
      <c r="S3" s="4" t="s">
        <v>173</v>
      </c>
      <c r="V3" s="30"/>
      <c r="W3" s="22">
        <v>40348064</v>
      </c>
      <c r="X3" s="31" t="str">
        <f>S33</f>
        <v>D9E040D4</v>
      </c>
      <c r="Y3" t="str">
        <f t="shared" si="0"/>
        <v>0xD9E040D4,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D9E04115</v>
      </c>
      <c r="Y5" t="str">
        <f t="shared" si="0"/>
        <v>0xD9E04115,</v>
      </c>
      <c r="Z5" s="32"/>
    </row>
    <row r="6" spans="1:26">
      <c r="A6" s="2" t="s">
        <v>177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163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D9E04172</v>
      </c>
      <c r="Y7" t="str">
        <f t="shared" si="0"/>
        <v>0xD9E04172,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D9E041E8</v>
      </c>
      <c r="Y9" t="str">
        <f t="shared" si="0"/>
        <v>0xD9E041E8,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208</v>
      </c>
      <c r="F10" s="6" t="s">
        <v>207</v>
      </c>
      <c r="G10" s="6" t="s">
        <v>112</v>
      </c>
      <c r="H10" s="5" t="s">
        <v>189</v>
      </c>
      <c r="I10" s="6" t="s">
        <v>185</v>
      </c>
      <c r="J10" s="5">
        <v>21</v>
      </c>
      <c r="K10" s="6" t="s">
        <v>76</v>
      </c>
      <c r="L10" s="5" t="s">
        <v>185</v>
      </c>
      <c r="M10" s="6" t="s">
        <v>76</v>
      </c>
      <c r="N10" s="5" t="s">
        <v>168</v>
      </c>
      <c r="O10" s="6" t="s">
        <v>185</v>
      </c>
      <c r="P10" s="5" t="s">
        <v>76</v>
      </c>
      <c r="Q10" s="5" t="s">
        <v>164</v>
      </c>
      <c r="R10" s="5" t="s">
        <v>187</v>
      </c>
      <c r="S10" s="5" t="s">
        <v>106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184</v>
      </c>
      <c r="F11" s="5" t="s">
        <v>184</v>
      </c>
      <c r="G11" s="5" t="s">
        <v>184</v>
      </c>
      <c r="H11" s="5" t="s">
        <v>189</v>
      </c>
      <c r="I11" s="5" t="s">
        <v>183</v>
      </c>
      <c r="J11" s="5">
        <v>28</v>
      </c>
      <c r="K11" s="5" t="s">
        <v>189</v>
      </c>
      <c r="L11" s="5" t="s">
        <v>169</v>
      </c>
      <c r="M11" s="5" t="s">
        <v>184</v>
      </c>
      <c r="N11" s="5" t="s">
        <v>184</v>
      </c>
      <c r="O11" s="5">
        <v>8</v>
      </c>
      <c r="P11" s="5" t="s">
        <v>187</v>
      </c>
      <c r="Q11" s="5" t="s">
        <v>185</v>
      </c>
      <c r="R11" s="5" t="s">
        <v>112</v>
      </c>
      <c r="S11" s="5" t="s">
        <v>184</v>
      </c>
      <c r="V11" s="30"/>
      <c r="W11" s="22">
        <v>40348064</v>
      </c>
      <c r="X11" s="31" t="str">
        <f>O33</f>
        <v>D9E04248</v>
      </c>
      <c r="Y11" t="str">
        <f t="shared" si="0"/>
        <v>0xD9E04248,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D9E04334</v>
      </c>
      <c r="Y13" t="str">
        <f t="shared" si="0"/>
        <v>0xD9E04334,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D9E081F4</v>
      </c>
      <c r="Y15" t="str">
        <f t="shared" si="0"/>
        <v>0xD9E081F4,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D9E0825A</v>
      </c>
      <c r="Y17" t="str">
        <f t="shared" si="0"/>
        <v>0xD9E0825A,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D9E101F6</v>
      </c>
      <c r="Y19" t="str">
        <f t="shared" si="0"/>
        <v>0xD9E101F6,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D9E102BC</v>
      </c>
      <c r="Y21" t="str">
        <f t="shared" si="0"/>
        <v>0xD9E102BC,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D9E1425C</v>
      </c>
      <c r="Y23" t="str">
        <f t="shared" si="0"/>
        <v>0xD9E1425C,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D9E182D6</v>
      </c>
      <c r="Y25" t="str">
        <f t="shared" si="0"/>
        <v>0xD9E182D6,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D9E1C2B4</v>
      </c>
      <c r="Y27" t="str">
        <f t="shared" si="0"/>
        <v>0xD9E1C2B4,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D9E1C374</v>
      </c>
      <c r="Y29" t="str">
        <f t="shared" si="0"/>
        <v>0xD9E1C374,</v>
      </c>
      <c r="Z29" s="32"/>
    </row>
    <row r="30" spans="22:26">
      <c r="V30" s="30" t="s">
        <v>157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D9E1C694</v>
      </c>
      <c r="Y31" t="str">
        <f t="shared" si="0"/>
        <v>0xD9E1C694,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8" t="str">
        <f t="shared" si="1"/>
        <v>D9E1C374</v>
      </c>
      <c r="G33" s="18" t="str">
        <f t="shared" si="1"/>
        <v>D9E1C2B4</v>
      </c>
      <c r="H33" s="18" t="str">
        <f t="shared" si="1"/>
        <v>D9E182D6</v>
      </c>
      <c r="I33" s="18" t="str">
        <f t="shared" si="1"/>
        <v>D9E1425C</v>
      </c>
      <c r="J33" s="18" t="str">
        <f t="shared" si="1"/>
        <v>D9E102BC</v>
      </c>
      <c r="K33" s="18" t="str">
        <f t="shared" si="1"/>
        <v>D9E101F6</v>
      </c>
      <c r="L33" s="18" t="str">
        <f t="shared" si="1"/>
        <v>D9E0825A</v>
      </c>
      <c r="M33" s="18" t="str">
        <f t="shared" si="1"/>
        <v>D9E081F4</v>
      </c>
      <c r="N33" s="18" t="str">
        <f t="shared" si="1"/>
        <v>D9E04334</v>
      </c>
      <c r="O33" s="18" t="str">
        <f t="shared" si="1"/>
        <v>D9E04248</v>
      </c>
      <c r="P33" s="18" t="str">
        <f t="shared" si="1"/>
        <v>D9E041E8</v>
      </c>
      <c r="Q33" s="18" t="str">
        <f t="shared" si="1"/>
        <v>D9E04172</v>
      </c>
      <c r="R33" s="18" t="str">
        <f t="shared" si="1"/>
        <v>D9E04115</v>
      </c>
      <c r="S33" s="18" t="str">
        <f t="shared" si="1"/>
        <v>D9E040D4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167</v>
      </c>
      <c r="J3" s="4" t="s">
        <v>167</v>
      </c>
      <c r="K3" s="4" t="s">
        <v>167</v>
      </c>
      <c r="L3" s="4" t="s">
        <v>167</v>
      </c>
      <c r="M3" s="4" t="s">
        <v>167</v>
      </c>
      <c r="N3" s="4" t="s">
        <v>167</v>
      </c>
      <c r="O3" s="4" t="s">
        <v>167</v>
      </c>
      <c r="P3" s="4" t="s">
        <v>167</v>
      </c>
      <c r="Q3" s="4" t="s">
        <v>167</v>
      </c>
      <c r="R3" s="4" t="s">
        <v>167</v>
      </c>
      <c r="S3" s="4" t="s">
        <v>167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63</v>
      </c>
      <c r="F10" s="6" t="s">
        <v>210</v>
      </c>
      <c r="G10" s="6" t="s">
        <v>207</v>
      </c>
      <c r="H10" s="5">
        <v>35</v>
      </c>
      <c r="I10" s="6" t="s">
        <v>184</v>
      </c>
      <c r="J10" s="5">
        <v>19</v>
      </c>
      <c r="K10" s="6" t="s">
        <v>167</v>
      </c>
      <c r="L10" s="5">
        <v>18</v>
      </c>
      <c r="M10" s="6" t="s">
        <v>173</v>
      </c>
      <c r="N10" s="5">
        <v>10</v>
      </c>
      <c r="O10" s="35" t="s">
        <v>173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 t="s">
        <v>112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E1EE8195</v>
      </c>
      <c r="Y11" t="str">
        <f t="shared" si="0"/>
        <v>0xE1EE8195,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192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E1EF019A</v>
      </c>
      <c r="Y15" t="str">
        <f t="shared" si="0"/>
        <v>0xE1EF019A,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E1EF4210</v>
      </c>
      <c r="Y19" t="str">
        <f t="shared" si="0"/>
        <v>0xE1EF4210,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E1EF8290</v>
      </c>
      <c r="Y23" t="str">
        <f t="shared" si="0"/>
        <v>0xE1EF8290,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E1EFC376</v>
      </c>
      <c r="Y27" t="str">
        <f t="shared" si="0"/>
        <v>0xE1EFC376,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E1EFC536</v>
      </c>
      <c r="Y29" t="str">
        <f t="shared" si="0"/>
        <v>0xE1EFC536,</v>
      </c>
      <c r="Z29" s="32"/>
    </row>
    <row r="30" spans="22:26">
      <c r="V30" s="30" t="s">
        <v>157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C1EBC7FF</v>
      </c>
      <c r="Y31" t="str">
        <f t="shared" si="0"/>
        <v>0xC1EBC7FF,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8" t="str">
        <f t="shared" si="1"/>
        <v>E1EFC536</v>
      </c>
      <c r="G33" s="18" t="str">
        <f t="shared" si="1"/>
        <v>E1EFC376</v>
      </c>
      <c r="H33" s="18" t="str">
        <f t="shared" si="1"/>
        <v>E1EF8470</v>
      </c>
      <c r="I33" s="18" t="str">
        <f t="shared" si="1"/>
        <v>E1EF8290</v>
      </c>
      <c r="J33" s="18" t="str">
        <f t="shared" si="1"/>
        <v>E1EF8270</v>
      </c>
      <c r="K33" s="18" t="str">
        <f t="shared" si="1"/>
        <v>E1EF4210</v>
      </c>
      <c r="L33" s="18" t="str">
        <f t="shared" si="1"/>
        <v>E1EF0258</v>
      </c>
      <c r="M33" s="18" t="str">
        <f t="shared" si="1"/>
        <v>E1EF019A</v>
      </c>
      <c r="N33" s="18" t="str">
        <f t="shared" si="1"/>
        <v>E1EEC152</v>
      </c>
      <c r="O33" s="18" t="str">
        <f t="shared" si="1"/>
        <v>E1EE8195</v>
      </c>
      <c r="P33" s="18" t="str">
        <f t="shared" si="1"/>
        <v>E1EE812F</v>
      </c>
      <c r="Q33" s="18" t="str">
        <f t="shared" si="1"/>
        <v>E1EE4216</v>
      </c>
      <c r="R33" s="18" t="str">
        <f t="shared" si="1"/>
        <v>E1EE4196</v>
      </c>
      <c r="S33" s="18" t="str">
        <f t="shared" si="1"/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167</v>
      </c>
      <c r="J3" s="4" t="s">
        <v>167</v>
      </c>
      <c r="K3" s="4" t="s">
        <v>167</v>
      </c>
      <c r="L3" s="4" t="s">
        <v>167</v>
      </c>
      <c r="M3" s="4" t="s">
        <v>167</v>
      </c>
      <c r="N3" s="4" t="s">
        <v>167</v>
      </c>
      <c r="O3" s="4" t="s">
        <v>167</v>
      </c>
      <c r="P3" s="4" t="s">
        <v>167</v>
      </c>
      <c r="Q3" s="4" t="s">
        <v>167</v>
      </c>
      <c r="R3" s="4" t="s">
        <v>167</v>
      </c>
      <c r="S3" s="4" t="s">
        <v>167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6" t="s">
        <v>211</v>
      </c>
      <c r="F10" s="5">
        <v>59</v>
      </c>
      <c r="G10" s="6" t="s">
        <v>212</v>
      </c>
      <c r="H10" s="5">
        <v>35</v>
      </c>
      <c r="I10" s="6" t="s">
        <v>112</v>
      </c>
      <c r="J10" s="5">
        <v>19</v>
      </c>
      <c r="K10" s="6" t="s">
        <v>167</v>
      </c>
      <c r="L10" s="5">
        <v>18</v>
      </c>
      <c r="M10" s="5">
        <v>13</v>
      </c>
      <c r="N10" s="5">
        <v>10</v>
      </c>
      <c r="O10" s="6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189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E1EE8196</v>
      </c>
      <c r="Y11" t="str">
        <f t="shared" si="0"/>
        <v>0xE1EE8196,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E1EF01BA</v>
      </c>
      <c r="Y15" t="str">
        <f t="shared" si="0"/>
        <v>0xE1EF01BA,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E1EF4210</v>
      </c>
      <c r="Y19" t="str">
        <f t="shared" si="0"/>
        <v>0xE1EF4210,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E1EF82B0</v>
      </c>
      <c r="Y23" t="str">
        <f t="shared" si="0"/>
        <v>0xE1EF82B0,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E1EFC3D6</v>
      </c>
      <c r="Y27" t="str">
        <f t="shared" si="0"/>
        <v>0xE1EFC3D6,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E1EFC776</v>
      </c>
      <c r="Y29" t="str">
        <f t="shared" si="0"/>
        <v>0xE1EFC776,</v>
      </c>
      <c r="Z29" s="32"/>
    </row>
    <row r="30" spans="22:26">
      <c r="V30" s="30" t="s">
        <v>157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C1EBC5FF</v>
      </c>
      <c r="Y31" t="str">
        <f t="shared" si="0"/>
        <v>0xC1EBC5FF,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C1EBC5FF</v>
      </c>
      <c r="F33" s="18" t="str">
        <f t="shared" si="1"/>
        <v>E1EFC776</v>
      </c>
      <c r="G33" s="18" t="str">
        <f t="shared" si="1"/>
        <v>E1EFC3D6</v>
      </c>
      <c r="H33" s="18" t="str">
        <f t="shared" si="1"/>
        <v>E1EF8470</v>
      </c>
      <c r="I33" s="18" t="str">
        <f t="shared" si="1"/>
        <v>E1EF82B0</v>
      </c>
      <c r="J33" s="18" t="str">
        <f t="shared" si="1"/>
        <v>E1EF8270</v>
      </c>
      <c r="K33" s="18" t="str">
        <f t="shared" si="1"/>
        <v>E1EF4210</v>
      </c>
      <c r="L33" s="18" t="str">
        <f t="shared" si="1"/>
        <v>E1EF0258</v>
      </c>
      <c r="M33" s="18" t="str">
        <f t="shared" si="1"/>
        <v>E1EF01BA</v>
      </c>
      <c r="N33" s="18" t="str">
        <f t="shared" si="1"/>
        <v>E1EEC152</v>
      </c>
      <c r="O33" s="18" t="str">
        <f t="shared" si="1"/>
        <v>E1EE8196</v>
      </c>
      <c r="P33" s="18" t="str">
        <f t="shared" si="1"/>
        <v>E1EE812F</v>
      </c>
      <c r="Q33" s="18" t="str">
        <f t="shared" si="1"/>
        <v>E1EE4216</v>
      </c>
      <c r="R33" s="18" t="str">
        <f t="shared" si="1"/>
        <v>E1EE4196</v>
      </c>
      <c r="S33" s="18" t="str">
        <f t="shared" si="1"/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167</v>
      </c>
      <c r="J3" s="4" t="s">
        <v>167</v>
      </c>
      <c r="K3" s="4" t="s">
        <v>167</v>
      </c>
      <c r="L3" s="4" t="s">
        <v>167</v>
      </c>
      <c r="M3" s="4" t="s">
        <v>167</v>
      </c>
      <c r="N3" s="4" t="s">
        <v>167</v>
      </c>
      <c r="O3" s="4" t="s">
        <v>167</v>
      </c>
      <c r="P3" s="4" t="s">
        <v>167</v>
      </c>
      <c r="Q3" s="4" t="s">
        <v>167</v>
      </c>
      <c r="R3" s="4" t="s">
        <v>167</v>
      </c>
      <c r="S3" s="4" t="s">
        <v>167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63</v>
      </c>
      <c r="F10" s="6" t="s">
        <v>213</v>
      </c>
      <c r="G10" s="6" t="s">
        <v>207</v>
      </c>
      <c r="H10" s="5">
        <v>35</v>
      </c>
      <c r="I10" s="6" t="s">
        <v>186</v>
      </c>
      <c r="J10" s="5">
        <v>19</v>
      </c>
      <c r="K10" s="6" t="s">
        <v>76</v>
      </c>
      <c r="L10" s="5">
        <v>18</v>
      </c>
      <c r="M10" s="5">
        <v>13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189</v>
      </c>
      <c r="N11" s="5">
        <v>18</v>
      </c>
      <c r="O11" s="6" t="s">
        <v>189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E1EE8196</v>
      </c>
      <c r="Y11" t="str">
        <f t="shared" si="0"/>
        <v>0xE1EE8196,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E1EF01B6</v>
      </c>
      <c r="Y15" t="str">
        <f t="shared" si="0"/>
        <v>0xE1EF01B6,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E1EF41F0</v>
      </c>
      <c r="Y19" t="str">
        <f t="shared" si="0"/>
        <v>0xE1EF41F0,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E1EF8270</v>
      </c>
      <c r="Y23" t="str">
        <f t="shared" si="0"/>
        <v>0xE1EF8270,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E1EFC376</v>
      </c>
      <c r="Y27" t="str">
        <f t="shared" si="0"/>
        <v>0xE1EFC376,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E1EFC4F6</v>
      </c>
      <c r="Y29" t="str">
        <f t="shared" si="0"/>
        <v>0xE1EFC4F6,</v>
      </c>
      <c r="Z29" s="32"/>
    </row>
    <row r="30" spans="22:26">
      <c r="V30" s="30" t="s">
        <v>157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C1EBC7FF</v>
      </c>
      <c r="Y31" t="str">
        <f t="shared" si="0"/>
        <v>0xC1EBC7FF,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8" t="str">
        <f t="shared" si="1"/>
        <v>E1EFC4F6</v>
      </c>
      <c r="G33" s="18" t="str">
        <f t="shared" si="1"/>
        <v>E1EFC376</v>
      </c>
      <c r="H33" s="18" t="str">
        <f t="shared" si="1"/>
        <v>E1EF8470</v>
      </c>
      <c r="I33" s="18" t="str">
        <f t="shared" si="1"/>
        <v>E1EF8270</v>
      </c>
      <c r="J33" s="18" t="str">
        <f t="shared" si="1"/>
        <v>E1EF8270</v>
      </c>
      <c r="K33" s="18" t="str">
        <f t="shared" si="1"/>
        <v>E1EF41F0</v>
      </c>
      <c r="L33" s="18" t="str">
        <f t="shared" si="1"/>
        <v>E1EF0258</v>
      </c>
      <c r="M33" s="18" t="str">
        <f t="shared" si="1"/>
        <v>E1EF01B6</v>
      </c>
      <c r="N33" s="18" t="str">
        <f t="shared" si="1"/>
        <v>E1EEC152</v>
      </c>
      <c r="O33" s="18" t="str">
        <f t="shared" si="1"/>
        <v>E1EE8196</v>
      </c>
      <c r="P33" s="18" t="str">
        <f t="shared" si="1"/>
        <v>E1EE812F</v>
      </c>
      <c r="Q33" s="18" t="str">
        <f t="shared" si="1"/>
        <v>E1EE4216</v>
      </c>
      <c r="R33" s="18" t="str">
        <f t="shared" si="1"/>
        <v>E1EE4196</v>
      </c>
      <c r="S33" s="18" t="str">
        <f t="shared" si="1"/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63</v>
      </c>
      <c r="F10" s="6" t="s">
        <v>204</v>
      </c>
      <c r="G10" s="6" t="s">
        <v>207</v>
      </c>
      <c r="H10" s="5">
        <v>35</v>
      </c>
      <c r="I10" s="6" t="s">
        <v>186</v>
      </c>
      <c r="J10" s="5">
        <v>19</v>
      </c>
      <c r="K10" s="6" t="s">
        <v>76</v>
      </c>
      <c r="L10" s="5">
        <v>18</v>
      </c>
      <c r="M10" s="6" t="s">
        <v>173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DBEE8190</v>
      </c>
      <c r="Y11" t="str">
        <f t="shared" si="0"/>
        <v>0xDBEE8190,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DBEF019A</v>
      </c>
      <c r="Y15" t="str">
        <f t="shared" si="0"/>
        <v>0xDBEF019A,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DBEF41F0</v>
      </c>
      <c r="Y19" t="str">
        <f t="shared" si="0"/>
        <v>0xDBEF41F0,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DBEF8270</v>
      </c>
      <c r="Y23" t="str">
        <f t="shared" si="0"/>
        <v>0xDBEF8270,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DBEFC376</v>
      </c>
      <c r="Y27" t="str">
        <f t="shared" si="0"/>
        <v>0xDBEFC376,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DBEFC516</v>
      </c>
      <c r="Y29" t="str">
        <f t="shared" si="0"/>
        <v>0xDBEFC516,</v>
      </c>
      <c r="Z29" s="32"/>
    </row>
    <row r="30" spans="22:26">
      <c r="V30" s="30" t="s">
        <v>157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 t="shared" si="1"/>
        <v>DBEFC516</v>
      </c>
      <c r="G33" s="18" t="str">
        <f t="shared" si="1"/>
        <v>DBEFC376</v>
      </c>
      <c r="H33" s="18" t="str">
        <f t="shared" si="1"/>
        <v>DBEF8470</v>
      </c>
      <c r="I33" s="18" t="str">
        <f t="shared" si="1"/>
        <v>DBEF8270</v>
      </c>
      <c r="J33" s="18" t="str">
        <f t="shared" si="1"/>
        <v>DBEF8270</v>
      </c>
      <c r="K33" s="18" t="str">
        <f t="shared" si="1"/>
        <v>DBEF41F0</v>
      </c>
      <c r="L33" s="18" t="str">
        <f t="shared" si="1"/>
        <v>DBEF0258</v>
      </c>
      <c r="M33" s="18" t="str">
        <f t="shared" si="1"/>
        <v>DBEF019A</v>
      </c>
      <c r="N33" s="18" t="str">
        <f t="shared" si="1"/>
        <v>DBEEC152</v>
      </c>
      <c r="O33" s="18" t="str">
        <f t="shared" si="1"/>
        <v>DBEE8190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63</v>
      </c>
      <c r="F10" s="6" t="s">
        <v>215</v>
      </c>
      <c r="G10" s="6" t="s">
        <v>114</v>
      </c>
      <c r="H10" s="5">
        <v>35</v>
      </c>
      <c r="I10" s="6" t="s">
        <v>112</v>
      </c>
      <c r="J10" s="5">
        <v>19</v>
      </c>
      <c r="K10" s="6" t="s">
        <v>167</v>
      </c>
      <c r="L10" s="5">
        <v>18</v>
      </c>
      <c r="M10" s="5">
        <v>13</v>
      </c>
      <c r="N10" s="5">
        <v>10</v>
      </c>
      <c r="O10" s="6" t="s">
        <v>214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DBEE81B0</v>
      </c>
      <c r="Y11" t="str">
        <f t="shared" si="0"/>
        <v>0xDBEE81B0,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DBEF82B0</v>
      </c>
      <c r="Y23" t="str">
        <f t="shared" si="0"/>
        <v>0xDBEF82B0,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DBEFC3B6</v>
      </c>
      <c r="Y27" t="str">
        <f t="shared" si="0"/>
        <v>0xDBEFC3B6,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DBEFC596</v>
      </c>
      <c r="Y29" t="str">
        <f t="shared" si="0"/>
        <v>0xDBEFC596,</v>
      </c>
      <c r="Z29" s="32"/>
    </row>
    <row r="30" spans="22:26">
      <c r="V30" s="30" t="s">
        <v>157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 t="shared" si="1"/>
        <v>DBEFC596</v>
      </c>
      <c r="G33" s="18" t="str">
        <f t="shared" si="1"/>
        <v>DBEFC3B6</v>
      </c>
      <c r="H33" s="18" t="str">
        <f t="shared" si="1"/>
        <v>DBEF8470</v>
      </c>
      <c r="I33" s="18" t="str">
        <f t="shared" si="1"/>
        <v>DBEF82B0</v>
      </c>
      <c r="J33" s="18" t="str">
        <f t="shared" si="1"/>
        <v>DBEF8270</v>
      </c>
      <c r="K33" s="18" t="str">
        <f t="shared" si="1"/>
        <v>DBEF4210</v>
      </c>
      <c r="L33" s="18" t="str">
        <f t="shared" si="1"/>
        <v>DBEF0258</v>
      </c>
      <c r="M33" s="18" t="str">
        <f t="shared" si="1"/>
        <v>DBEF01BA</v>
      </c>
      <c r="N33" s="18" t="str">
        <f t="shared" si="1"/>
        <v>DBEEC152</v>
      </c>
      <c r="O33" s="18" t="str">
        <f t="shared" si="1"/>
        <v>DBEE81B0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>
        <v>63</v>
      </c>
      <c r="F10" s="6" t="s">
        <v>216</v>
      </c>
      <c r="G10" s="6" t="s">
        <v>169</v>
      </c>
      <c r="H10" s="5">
        <v>35</v>
      </c>
      <c r="I10" s="6" t="s">
        <v>186</v>
      </c>
      <c r="J10" s="5">
        <v>19</v>
      </c>
      <c r="K10" s="6" t="s">
        <v>76</v>
      </c>
      <c r="L10" s="5">
        <v>18</v>
      </c>
      <c r="M10" s="6" t="s">
        <v>173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112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DBEE8195</v>
      </c>
      <c r="Y11" t="str">
        <f t="shared" si="0"/>
        <v>0xDBEE8195,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DBEF019A</v>
      </c>
      <c r="Y15" t="str">
        <f t="shared" si="0"/>
        <v>0xDBEF019A,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DBEF41F0</v>
      </c>
      <c r="Y19" t="str">
        <f t="shared" si="0"/>
        <v>0xDBEF41F0,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DBEF8270</v>
      </c>
      <c r="Y23" t="str">
        <f t="shared" si="0"/>
        <v>0xDBEF8270,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DBEFC356</v>
      </c>
      <c r="Y27" t="str">
        <f t="shared" si="0"/>
        <v>0xDBEFC356,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DBEFC4D6</v>
      </c>
      <c r="Y29" t="str">
        <f t="shared" si="0"/>
        <v>0xDBEFC4D6,</v>
      </c>
      <c r="Z29" s="32"/>
    </row>
    <row r="30" spans="22:26">
      <c r="V30" s="30" t="s">
        <v>157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 t="shared" si="1"/>
        <v>DBEFC4D6</v>
      </c>
      <c r="G33" s="18" t="str">
        <f t="shared" si="1"/>
        <v>DBEFC356</v>
      </c>
      <c r="H33" s="18" t="str">
        <f t="shared" si="1"/>
        <v>DBEF8470</v>
      </c>
      <c r="I33" s="18" t="str">
        <f t="shared" si="1"/>
        <v>DBEF8270</v>
      </c>
      <c r="J33" s="18" t="str">
        <f t="shared" si="1"/>
        <v>DBEF8270</v>
      </c>
      <c r="K33" s="18" t="str">
        <f t="shared" si="1"/>
        <v>DBEF41F0</v>
      </c>
      <c r="L33" s="18" t="str">
        <f t="shared" si="1"/>
        <v>DBEF0258</v>
      </c>
      <c r="M33" s="18" t="str">
        <f t="shared" si="1"/>
        <v>DBEF019A</v>
      </c>
      <c r="N33" s="18" t="str">
        <f t="shared" si="1"/>
        <v>DBEEC152</v>
      </c>
      <c r="O33" s="18" t="str">
        <f t="shared" si="1"/>
        <v>DBEE8195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214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217</v>
      </c>
      <c r="F10" s="6" t="s">
        <v>218</v>
      </c>
      <c r="G10" s="6" t="s">
        <v>183</v>
      </c>
      <c r="H10" s="5">
        <v>35</v>
      </c>
      <c r="I10" s="6" t="s">
        <v>112</v>
      </c>
      <c r="J10" s="5">
        <v>19</v>
      </c>
      <c r="K10" s="6" t="s">
        <v>167</v>
      </c>
      <c r="L10" s="5">
        <v>18</v>
      </c>
      <c r="M10" s="5">
        <v>13</v>
      </c>
      <c r="N10" s="5">
        <v>10</v>
      </c>
      <c r="O10" s="6" t="s">
        <v>214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DBEE81B0</v>
      </c>
      <c r="Y11" t="str">
        <f t="shared" si="0"/>
        <v>0xDBEE81B0,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DBEF82B0</v>
      </c>
      <c r="Y23" t="str">
        <f t="shared" si="0"/>
        <v>0xDBEF82B0,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DBEFC396</v>
      </c>
      <c r="Y27" t="str">
        <f t="shared" si="0"/>
        <v>0xDBEFC396,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DBEFC556</v>
      </c>
      <c r="Y29" t="str">
        <f t="shared" si="0"/>
        <v>0xDBEFC556,</v>
      </c>
      <c r="Z29" s="32"/>
    </row>
    <row r="30" spans="22:26">
      <c r="V30" s="30" t="s">
        <v>157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 t="shared" si="1"/>
        <v>DBEFC556</v>
      </c>
      <c r="G33" s="18" t="str">
        <f t="shared" si="1"/>
        <v>DBEFC396</v>
      </c>
      <c r="H33" s="18" t="str">
        <f t="shared" si="1"/>
        <v>DBEF8470</v>
      </c>
      <c r="I33" s="18" t="str">
        <f t="shared" si="1"/>
        <v>DBEF82B0</v>
      </c>
      <c r="J33" s="18" t="str">
        <f t="shared" si="1"/>
        <v>DBEF8270</v>
      </c>
      <c r="K33" s="18" t="str">
        <f t="shared" si="1"/>
        <v>DBEF4210</v>
      </c>
      <c r="L33" s="18" t="str">
        <f t="shared" si="1"/>
        <v>DBEF0258</v>
      </c>
      <c r="M33" s="18" t="str">
        <f t="shared" si="1"/>
        <v>DBEF01BA</v>
      </c>
      <c r="N33" s="18" t="str">
        <f t="shared" si="1"/>
        <v>DBEEC152</v>
      </c>
      <c r="O33" s="18" t="str">
        <f t="shared" si="1"/>
        <v>DBEE81B0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214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6" t="s">
        <v>211</v>
      </c>
      <c r="F10" s="5" t="s">
        <v>220</v>
      </c>
      <c r="G10" s="6" t="s">
        <v>219</v>
      </c>
      <c r="H10" s="5">
        <v>35</v>
      </c>
      <c r="I10" s="6" t="s">
        <v>196</v>
      </c>
      <c r="J10" s="5">
        <v>19</v>
      </c>
      <c r="K10" s="6" t="s">
        <v>165</v>
      </c>
      <c r="L10" s="5">
        <v>18</v>
      </c>
      <c r="M10" s="5">
        <v>13</v>
      </c>
      <c r="N10" s="5">
        <v>10</v>
      </c>
      <c r="O10" s="6" t="s">
        <v>166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183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DBEE81D0</v>
      </c>
      <c r="Y11" t="str">
        <f t="shared" si="0"/>
        <v>0xDBEE81D0,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DBEF01BC</v>
      </c>
      <c r="Y15" t="str">
        <f t="shared" si="0"/>
        <v>0xDBEF01BC,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DBEF4230</v>
      </c>
      <c r="Y19" t="str">
        <f t="shared" si="0"/>
        <v>0xDBEF4230,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DBEF82F0</v>
      </c>
      <c r="Y23" t="str">
        <f t="shared" si="0"/>
        <v>0xDBEF82F0,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DBEFC3F6</v>
      </c>
      <c r="Y27" t="str">
        <f t="shared" si="0"/>
        <v>0xDBEFC3F6,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DBEFC776</v>
      </c>
      <c r="Y29" t="str">
        <f t="shared" si="0"/>
        <v>0xDBEFC776,</v>
      </c>
      <c r="Z29" s="32"/>
    </row>
    <row r="30" spans="22:26">
      <c r="V30" s="30" t="s">
        <v>157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C1E5C5FF</v>
      </c>
      <c r="Y31" t="str">
        <f t="shared" si="0"/>
        <v>0xC1E5C5FF,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C1E5C5FF</v>
      </c>
      <c r="F33" s="18" t="str">
        <f t="shared" si="1"/>
        <v>DBEFC776</v>
      </c>
      <c r="G33" s="18" t="str">
        <f t="shared" si="1"/>
        <v>DBEFC3F6</v>
      </c>
      <c r="H33" s="18" t="str">
        <f t="shared" si="1"/>
        <v>DBEF8470</v>
      </c>
      <c r="I33" s="18" t="str">
        <f t="shared" si="1"/>
        <v>DBEF82F0</v>
      </c>
      <c r="J33" s="18" t="str">
        <f t="shared" si="1"/>
        <v>DBEF8270</v>
      </c>
      <c r="K33" s="18" t="str">
        <f t="shared" si="1"/>
        <v>DBEF4230</v>
      </c>
      <c r="L33" s="18" t="str">
        <f t="shared" si="1"/>
        <v>DBEF0258</v>
      </c>
      <c r="M33" s="18" t="str">
        <f t="shared" si="1"/>
        <v>DBEF01BC</v>
      </c>
      <c r="N33" s="18" t="str">
        <f t="shared" si="1"/>
        <v>DBEEC152</v>
      </c>
      <c r="O33" s="18" t="str">
        <f t="shared" si="1"/>
        <v>DBEE81D0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24" sqref="H24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214</v>
      </c>
      <c r="G3" s="4">
        <v>13</v>
      </c>
      <c r="H3" s="4">
        <v>13</v>
      </c>
      <c r="I3" s="4" t="s">
        <v>214</v>
      </c>
      <c r="J3" s="4" t="s">
        <v>214</v>
      </c>
      <c r="K3" s="4" t="s">
        <v>214</v>
      </c>
      <c r="L3" s="4" t="s">
        <v>214</v>
      </c>
      <c r="M3" s="4" t="s">
        <v>214</v>
      </c>
      <c r="N3" s="4" t="s">
        <v>214</v>
      </c>
      <c r="O3" s="4" t="s">
        <v>214</v>
      </c>
      <c r="P3" s="4" t="s">
        <v>214</v>
      </c>
      <c r="Q3" s="4" t="s">
        <v>214</v>
      </c>
      <c r="R3" s="4" t="s">
        <v>214</v>
      </c>
      <c r="S3" s="4" t="s">
        <v>214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ht="15.75" spans="1:26">
      <c r="A10" s="2" t="s">
        <v>140</v>
      </c>
      <c r="B10" s="3">
        <v>42</v>
      </c>
      <c r="C10" s="3">
        <v>37</v>
      </c>
      <c r="D10" s="3">
        <v>63</v>
      </c>
      <c r="E10" s="5" t="s">
        <v>217</v>
      </c>
      <c r="F10" s="34" t="s">
        <v>204</v>
      </c>
      <c r="G10" s="6" t="s">
        <v>207</v>
      </c>
      <c r="H10" s="5">
        <v>35</v>
      </c>
      <c r="I10" s="6" t="s">
        <v>184</v>
      </c>
      <c r="J10" s="5">
        <v>19</v>
      </c>
      <c r="K10" s="6" t="s">
        <v>167</v>
      </c>
      <c r="L10" s="5">
        <v>18</v>
      </c>
      <c r="M10" s="5">
        <v>13</v>
      </c>
      <c r="N10" s="5">
        <v>10</v>
      </c>
      <c r="O10" s="6" t="s">
        <v>214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186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DBEE81B3</v>
      </c>
      <c r="Y11" t="str">
        <f t="shared" si="0"/>
        <v>0xDBEE81B3,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47</v>
      </c>
      <c r="E15" s="4" t="s">
        <v>187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42</v>
      </c>
      <c r="E16" s="4" t="s">
        <v>196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DBEF8290</v>
      </c>
      <c r="Y23" t="str">
        <f t="shared" si="0"/>
        <v>0xDBEF8290,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DBEFC376</v>
      </c>
      <c r="Y27" t="str">
        <f t="shared" si="0"/>
        <v>0xDBEFC376,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DBEFC516</v>
      </c>
      <c r="Y29" t="str">
        <f t="shared" si="0"/>
        <v>0xDBEFC516,</v>
      </c>
      <c r="Z29" s="32"/>
    </row>
    <row r="30" spans="22:26">
      <c r="V30" s="30" t="s">
        <v>157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 t="shared" si="1"/>
        <v>DBEFC516</v>
      </c>
      <c r="G33" s="18" t="str">
        <f t="shared" si="1"/>
        <v>DBEFC376</v>
      </c>
      <c r="H33" s="18" t="str">
        <f t="shared" si="1"/>
        <v>DBEF8470</v>
      </c>
      <c r="I33" s="18" t="str">
        <f t="shared" si="1"/>
        <v>DBEF8290</v>
      </c>
      <c r="J33" s="18" t="str">
        <f t="shared" si="1"/>
        <v>DBEF8270</v>
      </c>
      <c r="K33" s="18" t="str">
        <f t="shared" si="1"/>
        <v>DBEF4210</v>
      </c>
      <c r="L33" s="18" t="str">
        <f t="shared" si="1"/>
        <v>DBEF0258</v>
      </c>
      <c r="M33" s="18" t="str">
        <f t="shared" si="1"/>
        <v>DBEF01BA</v>
      </c>
      <c r="N33" s="18" t="str">
        <f t="shared" si="1"/>
        <v>DBEEC152</v>
      </c>
      <c r="O33" s="18" t="str">
        <f t="shared" si="1"/>
        <v>DBEE81B3</v>
      </c>
      <c r="P33" s="18" t="str">
        <f t="shared" si="1"/>
        <v>DBEE812F</v>
      </c>
      <c r="Q33" s="18" t="str">
        <f t="shared" si="1"/>
        <v>DBEE4216</v>
      </c>
      <c r="R33" s="18" t="str">
        <f t="shared" si="1"/>
        <v>DBEE4196</v>
      </c>
      <c r="S33" s="18" t="str">
        <f t="shared" si="1"/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163</v>
      </c>
      <c r="G3" s="4" t="s">
        <v>163</v>
      </c>
      <c r="H3" s="4" t="s">
        <v>163</v>
      </c>
      <c r="I3" s="4" t="s">
        <v>163</v>
      </c>
      <c r="J3" s="4" t="s">
        <v>163</v>
      </c>
      <c r="K3" s="4" t="s">
        <v>163</v>
      </c>
      <c r="L3" s="4" t="s">
        <v>163</v>
      </c>
      <c r="M3" s="4" t="s">
        <v>163</v>
      </c>
      <c r="N3" s="4" t="s">
        <v>163</v>
      </c>
      <c r="O3" s="4" t="s">
        <v>163</v>
      </c>
      <c r="P3" s="4" t="s">
        <v>163</v>
      </c>
      <c r="Q3" s="4" t="s">
        <v>163</v>
      </c>
      <c r="R3" s="4" t="s">
        <v>163</v>
      </c>
      <c r="S3" s="4" t="s">
        <v>163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217</v>
      </c>
      <c r="F10" s="6" t="s">
        <v>204</v>
      </c>
      <c r="G10" s="6" t="s">
        <v>207</v>
      </c>
      <c r="H10" s="5">
        <v>35</v>
      </c>
      <c r="I10" s="6" t="s">
        <v>185</v>
      </c>
      <c r="J10" s="5">
        <v>19</v>
      </c>
      <c r="K10" s="6" t="s">
        <v>167</v>
      </c>
      <c r="L10" s="5">
        <v>18</v>
      </c>
      <c r="M10" s="6" t="s">
        <v>164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 t="s">
        <v>189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169</v>
      </c>
      <c r="N11" s="5">
        <v>18</v>
      </c>
      <c r="O11" s="6" t="s">
        <v>166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CBEE818E</v>
      </c>
      <c r="Y11" t="str">
        <f t="shared" si="0"/>
        <v>0xCBEE818E,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192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55</v>
      </c>
      <c r="E15" s="4" t="s">
        <v>206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CBEF017A</v>
      </c>
      <c r="Y15" t="str">
        <f t="shared" si="0"/>
        <v>0xCBEF017A,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45</v>
      </c>
      <c r="E16" s="4" t="s">
        <v>219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CBEF4210</v>
      </c>
      <c r="Y19" t="str">
        <f t="shared" si="0"/>
        <v>0xCBEF4210,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CBEF8250</v>
      </c>
      <c r="Y23" t="str">
        <f t="shared" si="0"/>
        <v>0xCBEF8250,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CBEFC376</v>
      </c>
      <c r="Y27" t="str">
        <f t="shared" si="0"/>
        <v>0xCBEFC376,</v>
      </c>
      <c r="Z27" s="32"/>
    </row>
    <row r="28" spans="22:26">
      <c r="V28" s="30" t="s">
        <v>155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156</v>
      </c>
    </row>
    <row r="29" spans="22:26">
      <c r="V29" s="30"/>
      <c r="W29" s="22">
        <v>40348064</v>
      </c>
      <c r="X29" s="31" t="str">
        <f>F33</f>
        <v>CBEFC516</v>
      </c>
      <c r="Y29" t="str">
        <f t="shared" si="0"/>
        <v>0xCBEFC516,</v>
      </c>
      <c r="Z29" s="32"/>
    </row>
    <row r="30" spans="22:26">
      <c r="V30" s="30" t="s">
        <v>157</v>
      </c>
      <c r="W30" s="22">
        <v>40348060</v>
      </c>
      <c r="X30" s="31" t="str">
        <f>E34</f>
        <v>1A61FA0C</v>
      </c>
      <c r="Y30" t="str">
        <f t="shared" si="0"/>
        <v>0x1A61FA0C,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5ADEDA0E</v>
      </c>
      <c r="Y32" t="str">
        <f t="shared" si="0"/>
        <v>0x5ADEDA0E,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 t="shared" si="1"/>
        <v>CBEFC516</v>
      </c>
      <c r="G33" s="18" t="str">
        <f t="shared" si="1"/>
        <v>CBEFC376</v>
      </c>
      <c r="H33" s="18" t="str">
        <f t="shared" si="1"/>
        <v>CBEF8470</v>
      </c>
      <c r="I33" s="18" t="str">
        <f t="shared" si="1"/>
        <v>CBEF8250</v>
      </c>
      <c r="J33" s="18" t="str">
        <f t="shared" si="1"/>
        <v>CBEF8270</v>
      </c>
      <c r="K33" s="18" t="str">
        <f t="shared" si="1"/>
        <v>CBEF4210</v>
      </c>
      <c r="L33" s="18" t="str">
        <f t="shared" si="1"/>
        <v>CBEF0258</v>
      </c>
      <c r="M33" s="18" t="str">
        <f t="shared" si="1"/>
        <v>CBEF017A</v>
      </c>
      <c r="N33" s="18" t="str">
        <f t="shared" si="1"/>
        <v>CBEEC152</v>
      </c>
      <c r="O33" s="18" t="str">
        <f t="shared" si="1"/>
        <v>CBEE818E</v>
      </c>
      <c r="P33" s="18" t="str">
        <f t="shared" si="1"/>
        <v>CBEE812F</v>
      </c>
      <c r="Q33" s="18" t="str">
        <f t="shared" si="1"/>
        <v>CBEE4216</v>
      </c>
      <c r="R33" s="18" t="str">
        <f t="shared" si="1"/>
        <v>CBEE4196</v>
      </c>
      <c r="S33" s="18" t="str">
        <f t="shared" si="1"/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5ADEDA0E</v>
      </c>
      <c r="E34" s="18" t="str">
        <f t="shared" ref="E34:S34" si="2">DEC2HEX(POWER(2,$C20)*E20+POWER(2,$C19)*E19+POWER(2,$C18)*E18+POWER(2,$C17)*E17+POWER(2,$C16)*E16+POWER(2,$C15)*E15+POWER(2,$C14)*E14+POWER(2,$C13)*E13)</f>
        <v>1A61FA0C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163</v>
      </c>
      <c r="G3" s="4" t="s">
        <v>163</v>
      </c>
      <c r="H3" s="4" t="s">
        <v>163</v>
      </c>
      <c r="I3" s="4" t="s">
        <v>163</v>
      </c>
      <c r="J3" s="4" t="s">
        <v>163</v>
      </c>
      <c r="K3" s="4" t="s">
        <v>163</v>
      </c>
      <c r="L3" s="4" t="s">
        <v>163</v>
      </c>
      <c r="M3" s="4" t="s">
        <v>163</v>
      </c>
      <c r="N3" s="4" t="s">
        <v>163</v>
      </c>
      <c r="O3" s="4" t="s">
        <v>163</v>
      </c>
      <c r="P3" s="4" t="s">
        <v>163</v>
      </c>
      <c r="Q3" s="4" t="s">
        <v>163</v>
      </c>
      <c r="R3" s="4" t="s">
        <v>163</v>
      </c>
      <c r="S3" s="4" t="s">
        <v>163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217</v>
      </c>
      <c r="F10" s="6" t="s">
        <v>210</v>
      </c>
      <c r="G10" s="6" t="s">
        <v>114</v>
      </c>
      <c r="H10" s="5">
        <v>35</v>
      </c>
      <c r="I10" s="6" t="s">
        <v>184</v>
      </c>
      <c r="J10" s="5">
        <v>19</v>
      </c>
      <c r="K10" s="6" t="s">
        <v>76</v>
      </c>
      <c r="L10" s="5">
        <v>18</v>
      </c>
      <c r="M10" s="6" t="s">
        <v>173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 t="s">
        <v>189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CBEE8190</v>
      </c>
      <c r="Y11" t="str">
        <f t="shared" si="0"/>
        <v>0xCBEE8190,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55</v>
      </c>
      <c r="E15" s="4" t="s">
        <v>206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CBEF019A</v>
      </c>
      <c r="Y15" t="str">
        <f t="shared" si="0"/>
        <v>0xCBEF019A,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45</v>
      </c>
      <c r="E16" s="4" t="s">
        <v>219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CBEF41F0</v>
      </c>
      <c r="Y19" t="str">
        <f t="shared" si="0"/>
        <v>0xCBEF41F0,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CBEF8290</v>
      </c>
      <c r="Y23" t="str">
        <f t="shared" si="0"/>
        <v>0xCBEF8290,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CBEFC3B6</v>
      </c>
      <c r="Y27" t="str">
        <f t="shared" si="0"/>
        <v>0xCBEFC3B6,</v>
      </c>
      <c r="Z27" s="32"/>
    </row>
    <row r="28" spans="22:26">
      <c r="V28" s="30" t="s">
        <v>155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156</v>
      </c>
    </row>
    <row r="29" spans="22:26">
      <c r="V29" s="30"/>
      <c r="W29" s="22">
        <v>40348064</v>
      </c>
      <c r="X29" s="31" t="str">
        <f>F33</f>
        <v>CBEFC536</v>
      </c>
      <c r="Y29" t="str">
        <f t="shared" si="0"/>
        <v>0xCBEFC536,</v>
      </c>
      <c r="Z29" s="32"/>
    </row>
    <row r="30" spans="22:26">
      <c r="V30" s="30" t="s">
        <v>157</v>
      </c>
      <c r="W30" s="22">
        <v>40348060</v>
      </c>
      <c r="X30" s="31" t="str">
        <f>E34</f>
        <v>1961FA0C</v>
      </c>
      <c r="Y30" t="str">
        <f t="shared" si="0"/>
        <v>0x1961FA0C,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160</v>
      </c>
      <c r="B32" s="16"/>
      <c r="C32" s="16"/>
      <c r="D32" s="17">
        <v>22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59DEDA0E</v>
      </c>
      <c r="Y32" t="str">
        <f t="shared" si="0"/>
        <v>0x59DEDA0E,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 t="shared" si="1"/>
        <v>CBEFC536</v>
      </c>
      <c r="G33" s="18" t="str">
        <f t="shared" si="1"/>
        <v>CBEFC3B6</v>
      </c>
      <c r="H33" s="18" t="str">
        <f t="shared" si="1"/>
        <v>CBEF8470</v>
      </c>
      <c r="I33" s="18" t="str">
        <f t="shared" si="1"/>
        <v>CBEF8290</v>
      </c>
      <c r="J33" s="18" t="str">
        <f t="shared" si="1"/>
        <v>CBEF8270</v>
      </c>
      <c r="K33" s="18" t="str">
        <f t="shared" si="1"/>
        <v>CBEF41F0</v>
      </c>
      <c r="L33" s="18" t="str">
        <f t="shared" si="1"/>
        <v>CBEF0258</v>
      </c>
      <c r="M33" s="18" t="str">
        <f t="shared" si="1"/>
        <v>CBEF019A</v>
      </c>
      <c r="N33" s="18" t="str">
        <f t="shared" si="1"/>
        <v>CBEEC152</v>
      </c>
      <c r="O33" s="18" t="str">
        <f t="shared" si="1"/>
        <v>CBEE8190</v>
      </c>
      <c r="P33" s="18" t="str">
        <f t="shared" si="1"/>
        <v>CBEE812F</v>
      </c>
      <c r="Q33" s="18" t="str">
        <f t="shared" si="1"/>
        <v>CBEE4216</v>
      </c>
      <c r="R33" s="18" t="str">
        <f t="shared" si="1"/>
        <v>CBEE4196</v>
      </c>
      <c r="S33" s="18" t="str">
        <f t="shared" si="1"/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59DEDA0E</v>
      </c>
      <c r="E34" s="18" t="str">
        <f t="shared" ref="E34:S34" si="2">DEC2HEX(POWER(2,$C20)*E20+POWER(2,$C19)*E19+POWER(2,$C18)*E18+POWER(2,$C17)*E17+POWER(2,$C16)*E16+POWER(2,$C15)*E15+POWER(2,$C14)*E14+POWER(2,$C13)*E13)</f>
        <v>1961FA0C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26" sqref="H2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170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171</v>
      </c>
    </row>
    <row r="3" spans="1:26">
      <c r="A3" s="2" t="s">
        <v>172</v>
      </c>
      <c r="B3" s="3">
        <v>61</v>
      </c>
      <c r="C3" s="3">
        <v>57</v>
      </c>
      <c r="D3" s="3">
        <v>0</v>
      </c>
      <c r="E3" s="4" t="s">
        <v>72</v>
      </c>
      <c r="F3" s="4" t="s">
        <v>163</v>
      </c>
      <c r="G3" s="4" t="s">
        <v>163</v>
      </c>
      <c r="H3" s="4" t="s">
        <v>163</v>
      </c>
      <c r="I3" s="4" t="s">
        <v>163</v>
      </c>
      <c r="J3" s="4" t="s">
        <v>163</v>
      </c>
      <c r="K3" s="4" t="s">
        <v>163</v>
      </c>
      <c r="L3" s="4" t="s">
        <v>163</v>
      </c>
      <c r="M3" s="4" t="s">
        <v>163</v>
      </c>
      <c r="N3" s="4" t="s">
        <v>163</v>
      </c>
      <c r="O3" s="4" t="s">
        <v>163</v>
      </c>
      <c r="P3" s="4" t="s">
        <v>163</v>
      </c>
      <c r="Q3" s="4" t="s">
        <v>163</v>
      </c>
      <c r="R3" s="4" t="s">
        <v>163</v>
      </c>
      <c r="S3" s="4" t="s">
        <v>163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174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175</v>
      </c>
    </row>
    <row r="5" spans="1:26">
      <c r="A5" s="2" t="s">
        <v>176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177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178</v>
      </c>
    </row>
    <row r="7" spans="1:26">
      <c r="A7" s="2" t="s">
        <v>179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180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181</v>
      </c>
    </row>
    <row r="9" spans="1:26">
      <c r="A9" s="2" t="s">
        <v>182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140</v>
      </c>
      <c r="B10" s="3">
        <v>42</v>
      </c>
      <c r="C10" s="3">
        <v>37</v>
      </c>
      <c r="D10" s="3">
        <v>63</v>
      </c>
      <c r="E10" s="5" t="s">
        <v>217</v>
      </c>
      <c r="F10" s="6" t="s">
        <v>213</v>
      </c>
      <c r="G10" s="6" t="s">
        <v>168</v>
      </c>
      <c r="H10" s="5">
        <v>35</v>
      </c>
      <c r="I10" s="6" t="s">
        <v>165</v>
      </c>
      <c r="J10" s="5">
        <v>19</v>
      </c>
      <c r="K10" s="6" t="s">
        <v>166</v>
      </c>
      <c r="L10" s="5">
        <v>18</v>
      </c>
      <c r="M10" s="6" t="s">
        <v>164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188</v>
      </c>
    </row>
    <row r="11" spans="1:26">
      <c r="A11" s="2" t="s">
        <v>142</v>
      </c>
      <c r="B11" s="3">
        <v>36</v>
      </c>
      <c r="C11" s="3">
        <v>32</v>
      </c>
      <c r="D11" s="3">
        <v>31</v>
      </c>
      <c r="E11" s="5" t="s">
        <v>219</v>
      </c>
      <c r="F11" s="5" t="s">
        <v>189</v>
      </c>
      <c r="G11" s="5" t="s">
        <v>189</v>
      </c>
      <c r="H11" s="5">
        <v>16</v>
      </c>
      <c r="I11" s="5">
        <v>16</v>
      </c>
      <c r="J11" s="5">
        <v>16</v>
      </c>
      <c r="K11" s="6" t="s">
        <v>166</v>
      </c>
      <c r="L11" s="5">
        <v>24</v>
      </c>
      <c r="M11" s="6" t="s">
        <v>183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CBEE8190</v>
      </c>
      <c r="Y11" t="str">
        <f t="shared" si="0"/>
        <v>0xCBEE8190,</v>
      </c>
      <c r="Z11" s="32"/>
    </row>
    <row r="12" spans="1:26">
      <c r="A12" s="2" t="s">
        <v>190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144</v>
      </c>
    </row>
    <row r="13" spans="1:26">
      <c r="A13" s="2" t="s">
        <v>191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192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193</v>
      </c>
    </row>
    <row r="15" spans="1:26">
      <c r="A15" s="2" t="s">
        <v>194</v>
      </c>
      <c r="B15" s="3">
        <v>23</v>
      </c>
      <c r="C15" s="3">
        <v>18</v>
      </c>
      <c r="D15" s="3">
        <v>55</v>
      </c>
      <c r="E15" s="4" t="s">
        <v>206</v>
      </c>
      <c r="F15" s="4" t="s">
        <v>187</v>
      </c>
      <c r="G15" s="4" t="s">
        <v>187</v>
      </c>
      <c r="H15" s="4" t="s">
        <v>187</v>
      </c>
      <c r="I15" s="4" t="s">
        <v>187</v>
      </c>
      <c r="J15" s="4" t="s">
        <v>187</v>
      </c>
      <c r="K15" s="4" t="s">
        <v>187</v>
      </c>
      <c r="L15" s="4" t="s">
        <v>187</v>
      </c>
      <c r="M15" s="4" t="s">
        <v>187</v>
      </c>
      <c r="N15" s="4" t="s">
        <v>187</v>
      </c>
      <c r="O15" s="4" t="s">
        <v>187</v>
      </c>
      <c r="P15" s="4" t="s">
        <v>187</v>
      </c>
      <c r="Q15" s="4" t="s">
        <v>187</v>
      </c>
      <c r="R15" s="4" t="s">
        <v>187</v>
      </c>
      <c r="S15" s="4" t="s">
        <v>187</v>
      </c>
      <c r="V15" s="30"/>
      <c r="W15" s="22">
        <v>40348064</v>
      </c>
      <c r="X15" s="31" t="str">
        <f>M33</f>
        <v>CBEF017C</v>
      </c>
      <c r="Y15" t="str">
        <f t="shared" si="0"/>
        <v>0xCBEF017C,</v>
      </c>
      <c r="Z15" s="32"/>
    </row>
    <row r="16" spans="1:26">
      <c r="A16" s="2" t="s">
        <v>195</v>
      </c>
      <c r="B16" s="3">
        <v>17</v>
      </c>
      <c r="C16" s="3">
        <v>12</v>
      </c>
      <c r="D16" s="3">
        <v>45</v>
      </c>
      <c r="E16" s="4" t="s">
        <v>219</v>
      </c>
      <c r="F16" s="4" t="s">
        <v>196</v>
      </c>
      <c r="G16" s="4" t="s">
        <v>196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196</v>
      </c>
      <c r="N16" s="4" t="s">
        <v>196</v>
      </c>
      <c r="O16" s="4" t="s">
        <v>196</v>
      </c>
      <c r="P16" s="4" t="s">
        <v>196</v>
      </c>
      <c r="Q16" s="4" t="s">
        <v>196</v>
      </c>
      <c r="R16" s="4" t="s">
        <v>196</v>
      </c>
      <c r="S16" s="4" t="s">
        <v>196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197</v>
      </c>
    </row>
    <row r="17" spans="1:26">
      <c r="A17" s="2" t="s">
        <v>198</v>
      </c>
      <c r="B17" s="3">
        <v>11</v>
      </c>
      <c r="C17" s="3">
        <v>7</v>
      </c>
      <c r="D17" s="3">
        <v>20</v>
      </c>
      <c r="E17" s="4" t="s">
        <v>184</v>
      </c>
      <c r="F17" s="4">
        <v>20</v>
      </c>
      <c r="G17" s="4" t="s">
        <v>184</v>
      </c>
      <c r="H17" s="4">
        <v>20</v>
      </c>
      <c r="I17" s="4" t="s">
        <v>184</v>
      </c>
      <c r="J17" s="4">
        <v>20</v>
      </c>
      <c r="K17" s="4" t="s">
        <v>184</v>
      </c>
      <c r="L17" s="4">
        <v>20</v>
      </c>
      <c r="M17" s="4" t="s">
        <v>184</v>
      </c>
      <c r="N17" s="4">
        <v>20</v>
      </c>
      <c r="O17" s="4" t="s">
        <v>184</v>
      </c>
      <c r="P17" s="4">
        <v>20</v>
      </c>
      <c r="Q17" s="4" t="s">
        <v>184</v>
      </c>
      <c r="R17" s="4">
        <v>20</v>
      </c>
      <c r="S17" s="4" t="s">
        <v>184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199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200</v>
      </c>
    </row>
    <row r="19" spans="1:26">
      <c r="A19" s="2" t="s">
        <v>201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CBEF41CE</v>
      </c>
      <c r="Y19" t="str">
        <f t="shared" si="0"/>
        <v>0xCBEF41CE,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202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145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146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CBEF8230</v>
      </c>
      <c r="Y23" t="str">
        <f t="shared" si="0"/>
        <v>0xCBEF8230,</v>
      </c>
      <c r="Z23" s="32"/>
    </row>
    <row r="24" spans="1:26">
      <c r="A24" s="12" t="s">
        <v>147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148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149</v>
      </c>
    </row>
    <row r="25" spans="1:26">
      <c r="A25" s="12" t="s">
        <v>150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151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152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153</v>
      </c>
    </row>
    <row r="27" spans="1:26">
      <c r="A27" s="15" t="s">
        <v>154</v>
      </c>
      <c r="V27" s="30"/>
      <c r="W27" s="22">
        <v>40348064</v>
      </c>
      <c r="X27" s="31" t="str">
        <f>G33</f>
        <v>CBEFC336</v>
      </c>
      <c r="Y27" t="str">
        <f t="shared" si="0"/>
        <v>0xCBEFC336,</v>
      </c>
      <c r="Z27" s="32"/>
    </row>
    <row r="28" spans="22:26">
      <c r="V28" s="30" t="s">
        <v>155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156</v>
      </c>
    </row>
    <row r="29" spans="22:26">
      <c r="V29" s="30"/>
      <c r="W29" s="22">
        <v>40348064</v>
      </c>
      <c r="X29" s="31" t="str">
        <f>F33</f>
        <v>CBEFC4F6</v>
      </c>
      <c r="Y29" t="str">
        <f t="shared" si="0"/>
        <v>0xCBEFC4F6,</v>
      </c>
      <c r="Z29" s="32"/>
    </row>
    <row r="30" spans="22:26">
      <c r="V30" s="30" t="s">
        <v>157</v>
      </c>
      <c r="W30" s="22">
        <v>40348060</v>
      </c>
      <c r="X30" s="31" t="str">
        <f>E34</f>
        <v>1B61FA0C</v>
      </c>
      <c r="Y30" t="str">
        <f t="shared" si="0"/>
        <v>0x1B61FA0C,</v>
      </c>
      <c r="Z30" s="32" t="s">
        <v>158</v>
      </c>
    </row>
    <row r="31" spans="1:26">
      <c r="A31" t="s">
        <v>159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160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161</v>
      </c>
      <c r="W32" s="22">
        <v>40348060</v>
      </c>
      <c r="X32" s="31" t="str">
        <f>D34</f>
        <v>5BDEDA0E</v>
      </c>
      <c r="Y32" t="str">
        <f t="shared" si="0"/>
        <v>0x5BDEDA0E,</v>
      </c>
      <c r="Z32" s="32" t="s">
        <v>162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 t="shared" si="1"/>
        <v>CBEFC4F6</v>
      </c>
      <c r="G33" s="18" t="str">
        <f t="shared" si="1"/>
        <v>CBEFC336</v>
      </c>
      <c r="H33" s="18" t="str">
        <f t="shared" si="1"/>
        <v>CBEF8470</v>
      </c>
      <c r="I33" s="18" t="str">
        <f t="shared" si="1"/>
        <v>CBEF8230</v>
      </c>
      <c r="J33" s="18" t="str">
        <f t="shared" si="1"/>
        <v>CBEF8270</v>
      </c>
      <c r="K33" s="18" t="str">
        <f t="shared" si="1"/>
        <v>CBEF41CE</v>
      </c>
      <c r="L33" s="18" t="str">
        <f t="shared" si="1"/>
        <v>CBEF0258</v>
      </c>
      <c r="M33" s="18" t="str">
        <f t="shared" si="1"/>
        <v>CBEF017C</v>
      </c>
      <c r="N33" s="18" t="str">
        <f t="shared" si="1"/>
        <v>CBEEC152</v>
      </c>
      <c r="O33" s="18" t="str">
        <f t="shared" si="1"/>
        <v>CBEE8190</v>
      </c>
      <c r="P33" s="18" t="str">
        <f t="shared" si="1"/>
        <v>CBEE812F</v>
      </c>
      <c r="Q33" s="18" t="str">
        <f t="shared" si="1"/>
        <v>CBEE4216</v>
      </c>
      <c r="R33" s="18" t="str">
        <f t="shared" si="1"/>
        <v>CBEE4196</v>
      </c>
      <c r="S33" s="18" t="str">
        <f t="shared" si="1"/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5BDEDA0E</v>
      </c>
      <c r="E34" s="18" t="str">
        <f t="shared" ref="E34:S34" si="2">DEC2HEX(POWER(2,$C20)*E20+POWER(2,$C19)*E19+POWER(2,$C18)*E18+POWER(2,$C17)*E17+POWER(2,$C16)*E16+POWER(2,$C15)*E15+POWER(2,$C14)*E14+POWER(2,$C13)*E13)</f>
        <v>1B61FA0C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AICLAB02</cp:lastModifiedBy>
  <dcterms:created xsi:type="dcterms:W3CDTF">2015-06-05T18:19:00Z</dcterms:created>
  <dcterms:modified xsi:type="dcterms:W3CDTF">2025-09-09T08:17:03Z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2052-12.1.0.21915</vt:lpwstr>
  </property>
</Properties>
</file>