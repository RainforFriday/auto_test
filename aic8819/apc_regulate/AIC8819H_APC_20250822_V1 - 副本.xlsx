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 tabRatio="1000"/>
  </bookViews>
  <sheets>
    <sheet name="ReleaseNote" sheetId="3" r:id="rId1"/>
    <sheet name="REG" sheetId="4" r:id="rId2"/>
    <sheet name="CH7_HR" sheetId="8" r:id="rId3"/>
    <sheet name="CH7_11B" sheetId="6" r:id="rId4"/>
    <sheet name="CH7_LR" sheetId="7" r:id="rId5"/>
    <sheet name="CH42_MR" sheetId="15" r:id="rId6"/>
    <sheet name="CH42_HR" sheetId="9" r:id="rId7"/>
    <sheet name="CH42_LR" sheetId="21" r:id="rId8"/>
    <sheet name="CH58_MR" sheetId="16" r:id="rId9"/>
    <sheet name="CH58_HR" sheetId="10" r:id="rId10"/>
    <sheet name="CH58_LR" sheetId="22" r:id="rId11"/>
    <sheet name="CH106_MR" sheetId="17" r:id="rId12"/>
    <sheet name="CH106_HR" sheetId="11" r:id="rId13"/>
    <sheet name="CH106_LR" sheetId="23" r:id="rId14"/>
    <sheet name="CH122_MR" sheetId="18" r:id="rId15"/>
    <sheet name="CH122_HR" sheetId="12" r:id="rId16"/>
    <sheet name="CH122_LR" sheetId="24" r:id="rId17"/>
    <sheet name="CH138_MR" sheetId="19" r:id="rId18"/>
    <sheet name="CH138_HR" sheetId="13" r:id="rId19"/>
    <sheet name="CH138_LR" sheetId="25" r:id="rId20"/>
    <sheet name="CH155_MR" sheetId="20" r:id="rId21"/>
    <sheet name="CH155_HR" sheetId="14" r:id="rId22"/>
    <sheet name="CH155_LR" sheetId="26" r:id="rId23"/>
  </sheets>
  <calcPr calcId="144525"/>
</workbook>
</file>

<file path=xl/sharedStrings.xml><?xml version="1.0" encoding="utf-8"?>
<sst xmlns="http://schemas.openxmlformats.org/spreadsheetml/2006/main" count="3945" uniqueCount="231">
  <si>
    <t>Date</t>
  </si>
  <si>
    <t>File Name</t>
  </si>
  <si>
    <t>Notes</t>
  </si>
  <si>
    <t>AIC8819H_APC_20250714.xlsx</t>
  </si>
  <si>
    <t>WF LB APC INITIAL VERSION</t>
  </si>
  <si>
    <t>AIC8819H_APC_20250714_V2.xlsx</t>
  </si>
  <si>
    <t>修正2.4G APC 最右侧APC寄存器值顺序错误</t>
  </si>
  <si>
    <t>AIC8819H_APC_20250718.xlsx</t>
  </si>
  <si>
    <t>WF HB APC INITIAL VERSION，修改LB APC CLASSAB IDX</t>
  </si>
  <si>
    <t>AIC8819H_APC_20250722.xlsx</t>
  </si>
  <si>
    <t>降低PA LB/PA HB VL电压，降低PA电流</t>
  </si>
  <si>
    <t>20250723</t>
  </si>
  <si>
    <t>AIC8819H_APC_20250723.xlsx</t>
  </si>
  <si>
    <t>降低PA HB VL电压，降低PA HB电流</t>
  </si>
  <si>
    <t>20250724</t>
  </si>
  <si>
    <t>AIC8819H_APC_20250724.xlsx</t>
  </si>
  <si>
    <t>降低PA HB VM电压到1.9V，classAB_idx: HR=1, MR=2, LR=3</t>
  </si>
  <si>
    <t>20250725</t>
  </si>
  <si>
    <t>AIC8819H_APC_20250725.xlsx</t>
  </si>
  <si>
    <t>调整PA LB BIAS电压，调整LB classAB idx</t>
  </si>
  <si>
    <t>20250728</t>
  </si>
  <si>
    <t>AIC8819H_APC_20250728.xlsx</t>
  </si>
  <si>
    <t>调整PA HB 温补系数，调整PA HB VL/VM电压</t>
  </si>
  <si>
    <t>AIC8819H_APC_20250728_V2.xlsx</t>
  </si>
  <si>
    <t>调整PA LB 11b, classAB idx from 2-&gt;1 for mask，提高D/E/F档PA bias 优化mask</t>
  </si>
  <si>
    <t>20250730</t>
  </si>
  <si>
    <t>AIC8819H_APC_20250730.xlsx</t>
  </si>
  <si>
    <t>调整wf_pa_v13_sel_avddrf，wf_pa_vh_ref_sel_bg由0修改为1，
11b apc wf_pa_vh_vbit由0修改为7，wf_pa_vm_ref_vbit由7修改为16，可以改善2.4G 11b二次谐波7dB，2.4G 匹配网络对低加2pF，功率小2dB，mask会好一些</t>
  </si>
  <si>
    <t>20250801</t>
  </si>
  <si>
    <t>AIC8819H_APC_20250801.xlsx</t>
  </si>
  <si>
    <t>修改PA HB 温补系数，调整PA HB/LB pa_vl_it_bit 减小10，调整LB APC，dtmx_vlo_vbit=2；pa_vm_ref_vbit=7；pa_vm_vbit = 5</t>
  </si>
  <si>
    <t>20250805</t>
  </si>
  <si>
    <t>AIC8819H_APC_20250805.xlsx</t>
  </si>
  <si>
    <t>降低dtmx dvdd电压和pa vreg13电压，调整PA LB APC表</t>
  </si>
  <si>
    <t>20250806</t>
  </si>
  <si>
    <t>AIC8819H_APC_20250806.xlsx</t>
  </si>
  <si>
    <t>调整PA LB HR APC表</t>
  </si>
  <si>
    <t>20250807</t>
  </si>
  <si>
    <t>AIC8819H_APC_20250807.xlsx</t>
  </si>
  <si>
    <t>修改PA LB DPD校准配置，提高低档位PA LB VL电压</t>
  </si>
  <si>
    <t>20250813</t>
  </si>
  <si>
    <t>AIC8819H_APC_20250813_V1.xlsx</t>
  </si>
  <si>
    <t>修改PA LB 11B APC，优化11b mask，提高bias电压</t>
  </si>
  <si>
    <t>AIC8819H_APC_20250813_V2.xlsx</t>
  </si>
  <si>
    <t>修改PA LB OFDM Low rate APC，优化ofdm low rate apc，提高bias电压, 优化mask; (低bias下 功率超过18dBm即使增加dpd校准mask也超标)</t>
  </si>
  <si>
    <t>20250814</t>
  </si>
  <si>
    <t>AIC8819H_APC_20250814.xlsx</t>
  </si>
  <si>
    <t>修改PA LB OFDM High rate APC，优化high rate 高功率mask 和evm</t>
  </si>
  <si>
    <t>20250815</t>
  </si>
  <si>
    <t>AIC8819H_APC_20250815.xlsx</t>
  </si>
  <si>
    <t>修改PA LB OFDM low rate APC index B/C/D，提高pabias电压，优化低速高功率下的mask，调整APC表sheet顺序与gxml一致</t>
  </si>
  <si>
    <t>AIC8819H_APC_20250819.xlsx</t>
  </si>
  <si>
    <t>修改pa_lb_input_cbit，优化二次谐波，不同信道取不同值</t>
  </si>
  <si>
    <t>AIC8819H_APC_20250819_V2.xlsx</t>
  </si>
  <si>
    <t>修改pa LB low rate B档和D档 优化mask</t>
  </si>
  <si>
    <t>AIC8819H_APC_20250820.xlsx</t>
  </si>
  <si>
    <t>修改pa LB low rate B档和D档 优化mask，调整功率step</t>
  </si>
  <si>
    <t>AIC8819H_APC_20250820_V1.xlsx</t>
  </si>
  <si>
    <t>修改pa LB low rate D档 优化mask，调整功率step</t>
  </si>
  <si>
    <t>AIC8819H_APC_20250820_V2.xlsx</t>
  </si>
  <si>
    <t>修改pa LB High rate B档和D档 优化mask，调整功率step（增大PA BIAS，增大功耗 for xiaomi）</t>
  </si>
  <si>
    <t>AIC8819H_APC_20250822.xlsx</t>
  </si>
  <si>
    <t>修改pa HB CH42/CH58 gain step</t>
  </si>
  <si>
    <t>AIC8819H_APC_20250822_V1.xlsx</t>
  </si>
  <si>
    <t>修改pa HB CH106/CH122/CH138/CH155 gain step</t>
  </si>
  <si>
    <t>reg_name</t>
  </si>
  <si>
    <t>address</t>
  </si>
  <si>
    <t>bits</t>
  </si>
  <si>
    <t>value</t>
  </si>
  <si>
    <t>condition</t>
  </si>
  <si>
    <t>wf_pa_trxsw_hd2_cbit</t>
  </si>
  <si>
    <t>11:9</t>
  </si>
  <si>
    <t>0</t>
  </si>
  <si>
    <t>wf_pa_lb_hd2_input_cbit</t>
  </si>
  <si>
    <t>40344048</t>
  </si>
  <si>
    <t>24:22</t>
  </si>
  <si>
    <t>15</t>
  </si>
  <si>
    <t>wf_pa_vreg13_vbit</t>
  </si>
  <si>
    <t>40344030</t>
  </si>
  <si>
    <t>9:8</t>
  </si>
  <si>
    <t>3</t>
  </si>
  <si>
    <t>WF_LB</t>
  </si>
  <si>
    <t>20250718</t>
  </si>
  <si>
    <t>wf_trx_rsvd_bit</t>
  </si>
  <si>
    <t>40344060</t>
  </si>
  <si>
    <t>2:1</t>
  </si>
  <si>
    <t>1</t>
  </si>
  <si>
    <t>注意:wf_trx_rsvd_bit有四个bit，只修改bit2和bit1,from xtan</t>
  </si>
  <si>
    <t>wf_pa_vl_itbg_bit</t>
  </si>
  <si>
    <t>40344038</t>
  </si>
  <si>
    <t>21:19</t>
  </si>
  <si>
    <t>ONLY WF_5G_BAND</t>
  </si>
  <si>
    <t>wf_pa_vl_itcgm_bit</t>
  </si>
  <si>
    <t>18:16</t>
  </si>
  <si>
    <t>4</t>
  </si>
  <si>
    <t>wf_pa_vl_it_mode</t>
  </si>
  <si>
    <t>15:14</t>
  </si>
  <si>
    <t>wf_pa_vl_ibvtr_bit</t>
  </si>
  <si>
    <t>13:11</t>
  </si>
  <si>
    <t>wf_pa_vl_ibbg_bit</t>
  </si>
  <si>
    <t>10:8</t>
  </si>
  <si>
    <t>wf_pa_vl_ib_mode</t>
  </si>
  <si>
    <t>7:6</t>
  </si>
  <si>
    <t>wf_pa_vm_cgm_ibit</t>
  </si>
  <si>
    <t>40344034</t>
  </si>
  <si>
    <t>3:0</t>
  </si>
  <si>
    <t>6</t>
  </si>
  <si>
    <t>wf_pa_vm_bg_ibit</t>
  </si>
  <si>
    <t>7:4</t>
  </si>
  <si>
    <t>9</t>
  </si>
  <si>
    <t>wf_dtmx_dac_vb_opam_en</t>
  </si>
  <si>
    <t>40344054</t>
  </si>
  <si>
    <t>21</t>
  </si>
  <si>
    <t>wf_pa_v13_sel_avddrf</t>
  </si>
  <si>
    <t>29</t>
  </si>
  <si>
    <t>ONLY WF_24G_BAND</t>
  </si>
  <si>
    <t>wf_pa_vh_ref_sel_bg</t>
  </si>
  <si>
    <t>for 11b hd2，2.4G匹配网络在芯片输出脚加了对地2pF电容</t>
  </si>
  <si>
    <t>2</t>
  </si>
  <si>
    <t>wf_dtmx_dvdd_vbit</t>
  </si>
  <si>
    <t>2:0</t>
  </si>
  <si>
    <t>wf_pa_lb_dpd_att_bit</t>
  </si>
  <si>
    <t>40344044</t>
  </si>
  <si>
    <t>25:23</t>
  </si>
  <si>
    <t>DPD LB</t>
  </si>
  <si>
    <t>wf_dtmx_dpd_lobias_vbit</t>
  </si>
  <si>
    <t>8:6</t>
  </si>
  <si>
    <t>7</t>
  </si>
  <si>
    <t>20240818</t>
  </si>
  <si>
    <t>ch1~ch7:  7
ch8: 6
ch9: 4
ch10: 2
ch11-ch13 : 0</t>
  </si>
  <si>
    <t>APC_BITS</t>
  </si>
  <si>
    <t>POS_END</t>
  </si>
  <si>
    <t>POS_START</t>
  </si>
  <si>
    <t>F</t>
  </si>
  <si>
    <t>E</t>
  </si>
  <si>
    <t>D</t>
  </si>
  <si>
    <t>C</t>
  </si>
  <si>
    <t>B</t>
  </si>
  <si>
    <t>A</t>
  </si>
  <si>
    <t>档位</t>
  </si>
  <si>
    <t>wf_dtmx_cbit_lb</t>
  </si>
  <si>
    <t>40348078</t>
  </si>
  <si>
    <t>//index 0</t>
  </si>
  <si>
    <t>wf_pa_lb_vh_track_short_bit</t>
  </si>
  <si>
    <t>4034807c</t>
  </si>
  <si>
    <t>wf_pa_lb_vh_track_bit</t>
  </si>
  <si>
    <t>//index 1</t>
  </si>
  <si>
    <t>wf_pa_lb_input_cbit</t>
  </si>
  <si>
    <t>wf_pa_bt_gbit</t>
  </si>
  <si>
    <t>//index 2</t>
  </si>
  <si>
    <t>wf_pa_lb_gbit</t>
  </si>
  <si>
    <t>wf_pa_bt_vtap_sel33</t>
  </si>
  <si>
    <t>//index 3</t>
  </si>
  <si>
    <t>wf_dacIf_rnd_sw</t>
  </si>
  <si>
    <t>wf_dacIf_scale_step_6db</t>
  </si>
  <si>
    <t>//index 4</t>
  </si>
  <si>
    <t>wf_dtmx_dac_vl_it_bit</t>
  </si>
  <si>
    <t>36</t>
  </si>
  <si>
    <t>20</t>
  </si>
  <si>
    <t>12</t>
  </si>
  <si>
    <t>wf_dtmx_dac_vl_ib_bit</t>
  </si>
  <si>
    <t>23</t>
  </si>
  <si>
    <t>24</t>
  </si>
  <si>
    <t>//index 5</t>
  </si>
  <si>
    <t>wf_dtmx_vlo_vbit</t>
  </si>
  <si>
    <t>wf_dtmx_vh_vbit21</t>
  </si>
  <si>
    <t>//index 6</t>
  </si>
  <si>
    <t>wf_dtmx_dac_classAB_idx</t>
  </si>
  <si>
    <t>wf_pa_vl_ib_bit</t>
  </si>
  <si>
    <t>//index 7</t>
  </si>
  <si>
    <t>wf_pa_vl_it_bit</t>
  </si>
  <si>
    <t>wf_pa_vm_ref_vbit</t>
  </si>
  <si>
    <t>//index 8</t>
  </si>
  <si>
    <t>wf_pa_vm_vbit</t>
  </si>
  <si>
    <t>wf_pa_vh_vbit</t>
  </si>
  <si>
    <t>//index 9</t>
  </si>
  <si>
    <t>a</t>
  </si>
  <si>
    <t>//index 10</t>
  </si>
  <si>
    <t>CAL_IPA</t>
  </si>
  <si>
    <t>b</t>
  </si>
  <si>
    <t>//index 11</t>
  </si>
  <si>
    <t>CAL_CBIT</t>
  </si>
  <si>
    <t>CAL_LOFT</t>
  </si>
  <si>
    <t>c</t>
  </si>
  <si>
    <t>//index 12</t>
  </si>
  <si>
    <t>CAL_DPD</t>
  </si>
  <si>
    <t>d</t>
  </si>
  <si>
    <t>//index 13</t>
  </si>
  <si>
    <t>e</t>
  </si>
  <si>
    <t>//index 14</t>
  </si>
  <si>
    <t>APC_11B_24G</t>
  </si>
  <si>
    <t>POWER</t>
  </si>
  <si>
    <t>f</t>
  </si>
  <si>
    <t>//index 15</t>
  </si>
  <si>
    <t>16</t>
  </si>
  <si>
    <t>14</t>
  </si>
  <si>
    <t>10</t>
  </si>
  <si>
    <t>5</t>
  </si>
  <si>
    <t>11</t>
  </si>
  <si>
    <t>17</t>
  </si>
  <si>
    <t>25</t>
  </si>
  <si>
    <t>38</t>
  </si>
  <si>
    <t>30</t>
  </si>
  <si>
    <t>42</t>
  </si>
  <si>
    <t>43</t>
  </si>
  <si>
    <t>22</t>
  </si>
  <si>
    <t>27</t>
  </si>
  <si>
    <t>26</t>
  </si>
  <si>
    <t>wf_hb_apc_rsvd</t>
  </si>
  <si>
    <t>wf_dtmx_cbit_hb</t>
  </si>
  <si>
    <t>wf_pa_hb_vh_track_short_bit</t>
  </si>
  <si>
    <t>wf_pa_hb_vh_track_bit</t>
  </si>
  <si>
    <t>wf_pa_hb_input_cbit</t>
  </si>
  <si>
    <t>wf_pa_hb_gbit</t>
  </si>
  <si>
    <t>28</t>
  </si>
  <si>
    <t>18</t>
  </si>
  <si>
    <t>19</t>
  </si>
  <si>
    <t>8</t>
  </si>
  <si>
    <t>48</t>
  </si>
  <si>
    <t>40</t>
  </si>
  <si>
    <t>33</t>
  </si>
  <si>
    <t>52</t>
  </si>
  <si>
    <t>32</t>
  </si>
  <si>
    <t>41</t>
  </si>
  <si>
    <t>47</t>
  </si>
  <si>
    <t>39</t>
  </si>
  <si>
    <t>13</t>
  </si>
  <si>
    <t>44</t>
  </si>
  <si>
    <t>63</t>
  </si>
  <si>
    <t>31</t>
  </si>
  <si>
    <t>59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</si>
</sst>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5" fillId="6" borderId="0">
      <alignment vertical="center"/>
    </xf>
    <xf numFmtId="0" fontId="6" fillId="7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8" borderId="0">
      <alignment vertical="center"/>
    </xf>
    <xf numFmtId="0" fontId="7" fillId="9" borderId="0">
      <alignment vertical="center"/>
    </xf>
    <xf numFmtId="43" fontId="0" fillId="0" borderId="0">
      <alignment vertical="center"/>
    </xf>
    <xf numFmtId="0" fontId="8" fillId="10" borderId="0">
      <alignment vertical="center"/>
    </xf>
    <xf numFmtId="0" fontId="9" fillId="0" borderId="0">
      <alignment vertical="center"/>
    </xf>
    <xf numFmtId="9" fontId="0" fillId="0" borderId="0">
      <alignment vertical="center"/>
    </xf>
    <xf numFmtId="0" fontId="10" fillId="0" borderId="0">
      <alignment vertical="center"/>
    </xf>
    <xf numFmtId="0" fontId="0" fillId="11" borderId="4">
      <alignment vertical="center"/>
    </xf>
    <xf numFmtId="0" fontId="8" fillId="12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5">
      <alignment vertical="center"/>
    </xf>
    <xf numFmtId="0" fontId="16" fillId="0" borderId="5">
      <alignment vertical="center"/>
    </xf>
    <xf numFmtId="0" fontId="8" fillId="13" borderId="0">
      <alignment vertical="center"/>
    </xf>
    <xf numFmtId="0" fontId="11" fillId="0" borderId="6">
      <alignment vertical="center"/>
    </xf>
    <xf numFmtId="0" fontId="8" fillId="14" borderId="0">
      <alignment vertical="center"/>
    </xf>
    <xf numFmtId="0" fontId="17" fillId="15" borderId="7">
      <alignment vertical="center"/>
    </xf>
    <xf numFmtId="0" fontId="18" fillId="15" borderId="3">
      <alignment vertical="center"/>
    </xf>
    <xf numFmtId="0" fontId="19" fillId="16" borderId="8">
      <alignment vertical="center"/>
    </xf>
    <xf numFmtId="0" fontId="5" fillId="17" borderId="0">
      <alignment vertical="center"/>
    </xf>
    <xf numFmtId="0" fontId="8" fillId="18" borderId="0">
      <alignment vertical="center"/>
    </xf>
    <xf numFmtId="0" fontId="20" fillId="0" borderId="9">
      <alignment vertical="center"/>
    </xf>
    <xf numFmtId="0" fontId="21" fillId="0" borderId="10">
      <alignment vertical="center"/>
    </xf>
    <xf numFmtId="0" fontId="22" fillId="5" borderId="0">
      <alignment vertical="center"/>
    </xf>
    <xf numFmtId="0" fontId="23" fillId="19" borderId="0">
      <alignment vertical="center"/>
    </xf>
    <xf numFmtId="0" fontId="5" fillId="20" borderId="0">
      <alignment vertical="center"/>
    </xf>
    <xf numFmtId="0" fontId="8" fillId="21" borderId="0">
      <alignment vertical="center"/>
    </xf>
    <xf numFmtId="0" fontId="5" fillId="22" borderId="0">
      <alignment vertical="center"/>
    </xf>
    <xf numFmtId="0" fontId="5" fillId="23" borderId="0">
      <alignment vertical="center"/>
    </xf>
    <xf numFmtId="0" fontId="5" fillId="24" borderId="0">
      <alignment vertical="center"/>
    </xf>
    <xf numFmtId="0" fontId="5" fillId="25" borderId="0">
      <alignment vertical="center"/>
    </xf>
    <xf numFmtId="0" fontId="8" fillId="26" borderId="0">
      <alignment vertical="center"/>
    </xf>
    <xf numFmtId="0" fontId="8" fillId="27" borderId="0">
      <alignment vertical="center"/>
    </xf>
    <xf numFmtId="0" fontId="5" fillId="28" borderId="0">
      <alignment vertical="center"/>
    </xf>
    <xf numFmtId="0" fontId="5" fillId="29" borderId="0">
      <alignment vertical="center"/>
    </xf>
    <xf numFmtId="0" fontId="8" fillId="30" borderId="0">
      <alignment vertical="center"/>
    </xf>
    <xf numFmtId="0" fontId="5" fillId="31" borderId="0">
      <alignment vertical="center"/>
    </xf>
    <xf numFmtId="0" fontId="8" fillId="32" borderId="0">
      <alignment vertical="center"/>
    </xf>
    <xf numFmtId="0" fontId="8" fillId="33" borderId="0">
      <alignment vertical="center"/>
    </xf>
    <xf numFmtId="0" fontId="5" fillId="34" borderId="0">
      <alignment vertical="center"/>
    </xf>
    <xf numFmtId="0" fontId="8" fillId="35" borderId="0">
      <alignment vertical="center"/>
    </xf>
  </cellStyleXfs>
  <cellXfs count="42">
    <xf numFmtId="0" fontId="0" fillId="0" borderId="0" xfId="0"/>
    <xf numFmtId="49" fontId="0" fillId="2" borderId="1" xfId="0" applyNumberFormat="1" applyFill="1" applyBorder="1" applyAlignment="1">
      <alignment horizontal="center"/>
    </xf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0" fillId="0" borderId="0" xfId="0" applyFont="1" applyFill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Font="1" applyFill="1" applyAlignment="1"/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4" borderId="0" xfId="0" applyFont="1" applyFill="1"/>
    <xf numFmtId="49" fontId="1" fillId="0" borderId="0" xfId="0" applyNumberFormat="1" applyFont="1" applyFill="1" applyAlignment="1">
      <alignment horizontal="center"/>
    </xf>
    <xf numFmtId="0" fontId="2" fillId="0" borderId="0" xfId="0" applyFont="1" applyFill="1"/>
    <xf numFmtId="0" fontId="1" fillId="0" borderId="0" xfId="0" applyFont="1" applyFill="1" applyAlignment="1">
      <alignment horizontal="center"/>
    </xf>
    <xf numFmtId="49" fontId="0" fillId="0" borderId="0" xfId="0" applyNumberFormat="1" applyFill="1"/>
    <xf numFmtId="0" fontId="0" fillId="0" borderId="0" xfId="0" applyFill="1"/>
    <xf numFmtId="49" fontId="1" fillId="0" borderId="0" xfId="0" applyNumberFormat="1" applyFont="1" applyFill="1"/>
    <xf numFmtId="49" fontId="1" fillId="0" borderId="0" xfId="0" applyNumberFormat="1" applyFont="1" applyFill="1" applyAlignment="1">
      <alignment horizontal="left"/>
    </xf>
    <xf numFmtId="49" fontId="0" fillId="0" borderId="0" xfId="0" applyNumberFormat="1" applyFill="1" applyAlignment="1">
      <alignment horizontal="center"/>
    </xf>
    <xf numFmtId="0" fontId="1" fillId="0" borderId="0" xfId="0" applyFont="1" applyFill="1" applyAlignment="1">
      <alignment horizontal="left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3" fillId="5" borderId="0" xfId="31" applyFont="1" applyFill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Fill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/>
    </xf>
    <xf numFmtId="49" fontId="2" fillId="0" borderId="0" xfId="0" applyNumberFormat="1" applyFont="1"/>
    <xf numFmtId="49" fontId="1" fillId="0" borderId="0" xfId="0" applyNumberFormat="1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topLeftCell="B1" workbookViewId="0">
      <selection activeCell="C31" sqref="C31"/>
    </sheetView>
  </sheetViews>
  <sheetFormatPr defaultColWidth="9" defaultRowHeight="14.25" outlineLevelCol="2"/>
  <cols>
    <col min="1" max="1" width="14.875" customWidth="1"/>
    <col min="2" max="2" width="34.5" customWidth="1"/>
    <col min="3" max="3" width="120.625" customWidth="1"/>
  </cols>
  <sheetData>
    <row r="1" spans="1:3">
      <c r="A1" s="39" t="s">
        <v>0</v>
      </c>
      <c r="B1" s="37" t="s">
        <v>1</v>
      </c>
      <c r="C1" s="37" t="s">
        <v>2</v>
      </c>
    </row>
    <row r="2" spans="1:3">
      <c r="A2" s="39">
        <v>20250714</v>
      </c>
      <c r="B2" s="37" t="s">
        <v>3</v>
      </c>
      <c r="C2" s="37" t="s">
        <v>4</v>
      </c>
    </row>
    <row r="3" spans="1:3">
      <c r="A3" s="39">
        <v>20250714</v>
      </c>
      <c r="B3" s="37" t="s">
        <v>5</v>
      </c>
      <c r="C3" s="37" t="s">
        <v>6</v>
      </c>
    </row>
    <row r="4" spans="1:3">
      <c r="A4" s="39">
        <v>20250718</v>
      </c>
      <c r="B4" s="37" t="s">
        <v>7</v>
      </c>
      <c r="C4" s="37" t="s">
        <v>8</v>
      </c>
    </row>
    <row r="5" spans="1:3">
      <c r="A5" s="39">
        <v>20250722</v>
      </c>
      <c r="B5" s="37" t="s">
        <v>9</v>
      </c>
      <c r="C5" s="37" t="s">
        <v>10</v>
      </c>
    </row>
    <row r="6" spans="1:3">
      <c r="A6" s="39" t="s">
        <v>11</v>
      </c>
      <c r="B6" s="37" t="s">
        <v>12</v>
      </c>
      <c r="C6" s="37" t="s">
        <v>13</v>
      </c>
    </row>
    <row r="7" spans="1:3">
      <c r="A7" s="39" t="s">
        <v>14</v>
      </c>
      <c r="B7" s="37" t="s">
        <v>15</v>
      </c>
      <c r="C7" s="37" t="s">
        <v>16</v>
      </c>
    </row>
    <row r="8" spans="1:3">
      <c r="A8" s="39" t="s">
        <v>17</v>
      </c>
      <c r="B8" s="37" t="s">
        <v>18</v>
      </c>
      <c r="C8" s="37" t="s">
        <v>19</v>
      </c>
    </row>
    <row r="9" spans="1:3">
      <c r="A9" s="39" t="s">
        <v>20</v>
      </c>
      <c r="B9" s="37" t="s">
        <v>21</v>
      </c>
      <c r="C9" s="37" t="s">
        <v>22</v>
      </c>
    </row>
    <row r="10" spans="1:3">
      <c r="A10" s="39" t="s">
        <v>20</v>
      </c>
      <c r="B10" s="37" t="s">
        <v>23</v>
      </c>
      <c r="C10" s="37" t="s">
        <v>24</v>
      </c>
    </row>
    <row r="11" ht="42.75" spans="1:3">
      <c r="A11" s="37" t="s">
        <v>25</v>
      </c>
      <c r="B11" s="37" t="s">
        <v>26</v>
      </c>
      <c r="C11" s="38" t="s">
        <v>27</v>
      </c>
    </row>
    <row r="12" spans="1:3">
      <c r="A12" s="37" t="s">
        <v>28</v>
      </c>
      <c r="B12" s="37" t="s">
        <v>29</v>
      </c>
      <c r="C12" s="37" t="s">
        <v>30</v>
      </c>
    </row>
    <row r="13" spans="1:3">
      <c r="A13" s="37" t="s">
        <v>31</v>
      </c>
      <c r="B13" s="37" t="s">
        <v>32</v>
      </c>
      <c r="C13" s="37" t="s">
        <v>33</v>
      </c>
    </row>
    <row r="14" spans="1:3">
      <c r="A14" s="37" t="s">
        <v>34</v>
      </c>
      <c r="B14" s="37" t="s">
        <v>35</v>
      </c>
      <c r="C14" s="37" t="s">
        <v>36</v>
      </c>
    </row>
    <row r="15" spans="1:3">
      <c r="A15" s="37" t="s">
        <v>37</v>
      </c>
      <c r="B15" s="37" t="s">
        <v>38</v>
      </c>
      <c r="C15" s="37" t="s">
        <v>39</v>
      </c>
    </row>
    <row r="16" spans="1:3">
      <c r="A16" s="37" t="s">
        <v>40</v>
      </c>
      <c r="B16" s="37" t="s">
        <v>41</v>
      </c>
      <c r="C16" s="37" t="s">
        <v>42</v>
      </c>
    </row>
    <row r="17" spans="1:3">
      <c r="A17" s="37" t="s">
        <v>40</v>
      </c>
      <c r="B17" s="37" t="s">
        <v>43</v>
      </c>
      <c r="C17" s="37" t="s">
        <v>44</v>
      </c>
    </row>
    <row r="18" spans="1:3">
      <c r="A18" s="37" t="s">
        <v>45</v>
      </c>
      <c r="B18" s="37" t="s">
        <v>46</v>
      </c>
      <c r="C18" s="37" t="s">
        <v>47</v>
      </c>
    </row>
    <row r="19" spans="1:3">
      <c r="A19" s="40" t="s">
        <v>48</v>
      </c>
      <c r="B19" s="41" t="s">
        <v>49</v>
      </c>
      <c r="C19" s="41" t="s">
        <v>50</v>
      </c>
    </row>
    <row r="20" spans="1:3">
      <c r="A20" s="37"/>
      <c r="B20" s="41" t="s">
        <v>51</v>
      </c>
      <c r="C20" s="41" t="s">
        <v>52</v>
      </c>
    </row>
    <row r="21" spans="1:3">
      <c r="A21" s="37"/>
      <c r="B21" s="41" t="s">
        <v>53</v>
      </c>
      <c r="C21" s="41" t="s">
        <v>54</v>
      </c>
    </row>
    <row r="22" spans="1:3">
      <c r="A22" s="37"/>
      <c r="B22" s="41" t="s">
        <v>55</v>
      </c>
      <c r="C22" s="37" t="s">
        <v>56</v>
      </c>
    </row>
    <row r="23" spans="1:3">
      <c r="A23" s="37"/>
      <c r="B23" s="41" t="s">
        <v>57</v>
      </c>
      <c r="C23" s="37" t="s">
        <v>58</v>
      </c>
    </row>
    <row r="24" spans="1:3">
      <c r="A24" s="37"/>
      <c r="B24" s="41" t="s">
        <v>59</v>
      </c>
      <c r="C24" s="37" t="s">
        <v>60</v>
      </c>
    </row>
    <row r="25" spans="1:3">
      <c r="A25" s="37"/>
      <c r="B25" s="41" t="s">
        <v>61</v>
      </c>
      <c r="C25" s="37" t="s">
        <v>62</v>
      </c>
    </row>
    <row r="26" spans="1:3">
      <c r="A26" s="37"/>
      <c r="B26" s="41" t="s">
        <v>63</v>
      </c>
      <c r="C26" s="37" t="s">
        <v>64</v>
      </c>
    </row>
    <row r="27" spans="1:3">
      <c r="A27" s="37"/>
      <c r="B27" s="37"/>
      <c r="C27" s="37"/>
    </row>
    <row r="28" spans="1:3">
      <c r="A28" s="37"/>
      <c r="B28" s="37"/>
      <c r="C28" s="37"/>
    </row>
    <row r="29" spans="1:3">
      <c r="A29" s="37"/>
      <c r="B29" s="37"/>
      <c r="C29" s="37"/>
    </row>
    <row r="30" spans="1:3">
      <c r="A30" s="37"/>
      <c r="B30" s="37"/>
      <c r="C30" s="37"/>
    </row>
    <row r="31" spans="1:3">
      <c r="A31" s="37"/>
      <c r="B31" s="37"/>
      <c r="C31" s="37"/>
    </row>
    <row r="32" spans="1:3">
      <c r="A32" s="37"/>
      <c r="B32" s="37"/>
      <c r="C32" s="37"/>
    </row>
    <row r="33" spans="1:3">
      <c r="A33" s="37"/>
      <c r="B33" s="37"/>
      <c r="C33" s="37"/>
    </row>
    <row r="34" spans="1:3">
      <c r="A34" s="37"/>
      <c r="B34" s="37"/>
      <c r="C34" s="37"/>
    </row>
    <row r="35" spans="1:3">
      <c r="A35" s="37"/>
      <c r="B35" s="37"/>
      <c r="C35" s="37"/>
    </row>
    <row r="36" spans="1:3">
      <c r="A36" s="37"/>
      <c r="B36" s="37"/>
      <c r="C36" s="37"/>
    </row>
    <row r="37" spans="1:3">
      <c r="A37" s="37"/>
      <c r="B37" s="37"/>
      <c r="C37" s="3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2"/>
  <sheetViews>
    <sheetView topLeftCell="A26" workbookViewId="0">
      <selection activeCell="E64" sqref="E64"/>
    </sheetView>
  </sheetViews>
  <sheetFormatPr defaultColWidth="9" defaultRowHeight="14.25" outlineLevelCol="5"/>
  <cols>
    <col min="1" max="1" width="31" customWidth="1"/>
    <col min="2" max="2" width="18.125" customWidth="1"/>
    <col min="3" max="3" width="12.875" customWidth="1"/>
    <col min="4" max="4" width="23.375" customWidth="1"/>
    <col min="5" max="5" width="23.875" customWidth="1"/>
    <col min="6" max="6" width="50.625" customWidth="1"/>
  </cols>
  <sheetData>
    <row r="1" spans="1:1">
      <c r="A1" s="36">
        <v>20250714</v>
      </c>
    </row>
    <row r="2" spans="1:5">
      <c r="A2" s="37" t="s">
        <v>65</v>
      </c>
      <c r="B2" s="37" t="s">
        <v>66</v>
      </c>
      <c r="C2" s="37" t="s">
        <v>67</v>
      </c>
      <c r="D2" s="37" t="s">
        <v>68</v>
      </c>
      <c r="E2" s="37" t="s">
        <v>69</v>
      </c>
    </row>
    <row r="3" spans="1:5">
      <c r="A3" s="37" t="s">
        <v>70</v>
      </c>
      <c r="B3" s="37">
        <v>40344048</v>
      </c>
      <c r="C3" s="37" t="s">
        <v>71</v>
      </c>
      <c r="D3" s="37" t="s">
        <v>72</v>
      </c>
      <c r="E3" s="37"/>
    </row>
    <row r="4" spans="1:5">
      <c r="A4" s="37" t="s">
        <v>73</v>
      </c>
      <c r="B4" s="37" t="s">
        <v>74</v>
      </c>
      <c r="C4" s="37" t="s">
        <v>75</v>
      </c>
      <c r="D4" s="37" t="s">
        <v>76</v>
      </c>
      <c r="E4" s="37"/>
    </row>
    <row r="5" spans="1:5">
      <c r="A5" s="37" t="s">
        <v>77</v>
      </c>
      <c r="B5" s="37" t="s">
        <v>78</v>
      </c>
      <c r="C5" s="37" t="s">
        <v>79</v>
      </c>
      <c r="D5" s="37" t="s">
        <v>80</v>
      </c>
      <c r="E5" s="37" t="s">
        <v>81</v>
      </c>
    </row>
    <row r="6" spans="1:5">
      <c r="A6" s="37"/>
      <c r="B6" s="37"/>
      <c r="C6" s="37"/>
      <c r="D6" s="37"/>
      <c r="E6" s="37"/>
    </row>
    <row r="7" spans="1:5">
      <c r="A7" s="37" t="s">
        <v>82</v>
      </c>
      <c r="B7" s="37"/>
      <c r="C7" s="37"/>
      <c r="D7" s="37"/>
      <c r="E7" s="37"/>
    </row>
    <row r="8" spans="1:5">
      <c r="A8" s="37" t="s">
        <v>65</v>
      </c>
      <c r="B8" s="37" t="s">
        <v>66</v>
      </c>
      <c r="C8" s="37" t="s">
        <v>67</v>
      </c>
      <c r="D8" s="37" t="s">
        <v>68</v>
      </c>
      <c r="E8" s="37" t="s">
        <v>69</v>
      </c>
    </row>
    <row r="9" spans="1:6">
      <c r="A9" t="s">
        <v>83</v>
      </c>
      <c r="B9" s="37" t="s">
        <v>84</v>
      </c>
      <c r="C9" s="37" t="s">
        <v>85</v>
      </c>
      <c r="D9" s="37" t="s">
        <v>86</v>
      </c>
      <c r="E9" s="37"/>
      <c r="F9" t="s">
        <v>87</v>
      </c>
    </row>
    <row r="10" spans="1:5">
      <c r="A10" s="37"/>
      <c r="B10" s="37"/>
      <c r="C10" s="37"/>
      <c r="D10" s="37"/>
      <c r="E10" s="37"/>
    </row>
    <row r="11" spans="1:5">
      <c r="A11" s="37" t="s">
        <v>20</v>
      </c>
      <c r="B11" s="37"/>
      <c r="C11" s="37"/>
      <c r="D11" s="37"/>
      <c r="E11" s="37"/>
    </row>
    <row r="12" spans="1:5">
      <c r="A12" s="37" t="s">
        <v>65</v>
      </c>
      <c r="B12" s="37" t="s">
        <v>66</v>
      </c>
      <c r="C12" s="37" t="s">
        <v>67</v>
      </c>
      <c r="D12" s="37" t="s">
        <v>68</v>
      </c>
      <c r="E12" s="37" t="s">
        <v>69</v>
      </c>
    </row>
    <row r="13" spans="1:5">
      <c r="A13" s="37" t="s">
        <v>88</v>
      </c>
      <c r="B13" s="37" t="s">
        <v>89</v>
      </c>
      <c r="C13" s="37" t="s">
        <v>90</v>
      </c>
      <c r="D13" s="37" t="s">
        <v>72</v>
      </c>
      <c r="E13" s="37" t="s">
        <v>91</v>
      </c>
    </row>
    <row r="14" spans="1:5">
      <c r="A14" s="37" t="s">
        <v>92</v>
      </c>
      <c r="B14" s="37" t="s">
        <v>89</v>
      </c>
      <c r="C14" s="37" t="s">
        <v>93</v>
      </c>
      <c r="D14" s="37" t="s">
        <v>94</v>
      </c>
      <c r="E14" s="37" t="s">
        <v>91</v>
      </c>
    </row>
    <row r="15" spans="1:5">
      <c r="A15" s="37" t="s">
        <v>95</v>
      </c>
      <c r="B15" s="37" t="s">
        <v>89</v>
      </c>
      <c r="C15" s="37" t="s">
        <v>96</v>
      </c>
      <c r="D15" s="37" t="s">
        <v>86</v>
      </c>
      <c r="E15" s="37" t="s">
        <v>91</v>
      </c>
    </row>
    <row r="16" spans="1:5">
      <c r="A16" s="37" t="s">
        <v>97</v>
      </c>
      <c r="B16" s="37" t="s">
        <v>89</v>
      </c>
      <c r="C16" s="37" t="s">
        <v>98</v>
      </c>
      <c r="D16" s="37" t="s">
        <v>86</v>
      </c>
      <c r="E16" s="37" t="s">
        <v>91</v>
      </c>
    </row>
    <row r="17" spans="1:5">
      <c r="A17" s="37" t="s">
        <v>99</v>
      </c>
      <c r="B17" s="37" t="s">
        <v>89</v>
      </c>
      <c r="C17" s="37" t="s">
        <v>100</v>
      </c>
      <c r="D17" s="37" t="s">
        <v>80</v>
      </c>
      <c r="E17" s="37" t="s">
        <v>91</v>
      </c>
    </row>
    <row r="18" spans="1:5">
      <c r="A18" s="37" t="s">
        <v>101</v>
      </c>
      <c r="B18" s="37" t="s">
        <v>89</v>
      </c>
      <c r="C18" s="37" t="s">
        <v>102</v>
      </c>
      <c r="D18" s="37" t="s">
        <v>80</v>
      </c>
      <c r="E18" s="37" t="s">
        <v>91</v>
      </c>
    </row>
    <row r="19" spans="1:5">
      <c r="A19" t="s">
        <v>103</v>
      </c>
      <c r="B19" s="37" t="s">
        <v>104</v>
      </c>
      <c r="C19" s="37" t="s">
        <v>105</v>
      </c>
      <c r="D19" s="37" t="s">
        <v>106</v>
      </c>
      <c r="E19" s="37" t="s">
        <v>91</v>
      </c>
    </row>
    <row r="20" spans="1:5">
      <c r="A20" s="37" t="s">
        <v>107</v>
      </c>
      <c r="B20" s="37" t="s">
        <v>104</v>
      </c>
      <c r="C20" s="37" t="s">
        <v>108</v>
      </c>
      <c r="D20" s="37" t="s">
        <v>109</v>
      </c>
      <c r="E20" s="37" t="s">
        <v>91</v>
      </c>
    </row>
    <row r="21" spans="1:5">
      <c r="A21" s="37" t="s">
        <v>110</v>
      </c>
      <c r="B21" s="37" t="s">
        <v>111</v>
      </c>
      <c r="C21" s="37" t="s">
        <v>112</v>
      </c>
      <c r="D21" s="37" t="s">
        <v>86</v>
      </c>
      <c r="E21" s="37"/>
    </row>
    <row r="22" spans="1:5">
      <c r="A22" s="37"/>
      <c r="B22" s="37"/>
      <c r="C22" s="37"/>
      <c r="D22" s="37"/>
      <c r="E22" s="37"/>
    </row>
    <row r="23" spans="1:5">
      <c r="A23" s="37"/>
      <c r="B23" s="37"/>
      <c r="C23" s="37"/>
      <c r="D23" s="37"/>
      <c r="E23" s="37"/>
    </row>
    <row r="24" spans="1:5">
      <c r="A24" s="37" t="s">
        <v>25</v>
      </c>
      <c r="B24" s="37"/>
      <c r="C24" s="37"/>
      <c r="D24" s="37"/>
      <c r="E24" s="37"/>
    </row>
    <row r="25" spans="1:5">
      <c r="A25" s="37" t="s">
        <v>65</v>
      </c>
      <c r="B25" s="37" t="s">
        <v>66</v>
      </c>
      <c r="C25" s="37" t="s">
        <v>67</v>
      </c>
      <c r="D25" s="37" t="s">
        <v>68</v>
      </c>
      <c r="E25" s="37" t="s">
        <v>69</v>
      </c>
    </row>
    <row r="26" spans="1:5">
      <c r="A26" s="37" t="s">
        <v>113</v>
      </c>
      <c r="B26" s="37" t="s">
        <v>78</v>
      </c>
      <c r="C26" s="37" t="s">
        <v>114</v>
      </c>
      <c r="D26" s="37" t="s">
        <v>86</v>
      </c>
      <c r="E26" s="37" t="s">
        <v>115</v>
      </c>
    </row>
    <row r="27" spans="1:6">
      <c r="A27" s="37" t="s">
        <v>116</v>
      </c>
      <c r="B27" s="37" t="s">
        <v>78</v>
      </c>
      <c r="C27" s="37" t="s">
        <v>72</v>
      </c>
      <c r="D27" s="37" t="s">
        <v>86</v>
      </c>
      <c r="E27" s="37" t="s">
        <v>115</v>
      </c>
      <c r="F27" t="s">
        <v>117</v>
      </c>
    </row>
    <row r="28" spans="3:5">
      <c r="C28" s="37"/>
      <c r="D28" s="37"/>
      <c r="E28" s="37"/>
    </row>
    <row r="29" spans="1:5">
      <c r="A29" s="37"/>
      <c r="B29" s="37"/>
      <c r="C29" s="37"/>
      <c r="D29" s="37"/>
      <c r="E29" s="37"/>
    </row>
    <row r="30" spans="1:5">
      <c r="A30" s="37" t="s">
        <v>28</v>
      </c>
      <c r="B30" s="37"/>
      <c r="C30" s="37"/>
      <c r="D30" s="37"/>
      <c r="E30" s="37"/>
    </row>
    <row r="31" spans="1:5">
      <c r="A31" s="37" t="s">
        <v>65</v>
      </c>
      <c r="B31" s="37" t="s">
        <v>66</v>
      </c>
      <c r="C31" s="37" t="s">
        <v>67</v>
      </c>
      <c r="D31" s="37" t="s">
        <v>68</v>
      </c>
      <c r="E31" s="37" t="s">
        <v>69</v>
      </c>
    </row>
    <row r="32" spans="1:5">
      <c r="A32" s="37" t="s">
        <v>88</v>
      </c>
      <c r="B32" s="37" t="s">
        <v>89</v>
      </c>
      <c r="C32" s="37" t="s">
        <v>90</v>
      </c>
      <c r="D32" s="37" t="s">
        <v>118</v>
      </c>
      <c r="E32" s="37" t="s">
        <v>91</v>
      </c>
    </row>
    <row r="33" spans="1:5">
      <c r="A33" s="37" t="s">
        <v>92</v>
      </c>
      <c r="B33" s="37" t="s">
        <v>89</v>
      </c>
      <c r="C33" s="37" t="s">
        <v>93</v>
      </c>
      <c r="D33" s="37" t="s">
        <v>72</v>
      </c>
      <c r="E33" s="37" t="s">
        <v>91</v>
      </c>
    </row>
    <row r="34" spans="1:5">
      <c r="A34" s="37" t="s">
        <v>95</v>
      </c>
      <c r="B34" s="37" t="s">
        <v>89</v>
      </c>
      <c r="C34" s="37" t="s">
        <v>96</v>
      </c>
      <c r="D34" s="37" t="s">
        <v>80</v>
      </c>
      <c r="E34" s="37" t="s">
        <v>91</v>
      </c>
    </row>
    <row r="35" spans="1:5">
      <c r="A35" s="37" t="s">
        <v>97</v>
      </c>
      <c r="B35" s="37" t="s">
        <v>89</v>
      </c>
      <c r="C35" s="37" t="s">
        <v>98</v>
      </c>
      <c r="D35" s="37" t="s">
        <v>118</v>
      </c>
      <c r="E35" s="37" t="s">
        <v>91</v>
      </c>
    </row>
    <row r="36" spans="1:5">
      <c r="A36" s="37" t="s">
        <v>99</v>
      </c>
      <c r="B36" s="37" t="s">
        <v>89</v>
      </c>
      <c r="C36" s="37" t="s">
        <v>100</v>
      </c>
      <c r="D36" s="37" t="s">
        <v>72</v>
      </c>
      <c r="E36" s="37" t="s">
        <v>91</v>
      </c>
    </row>
    <row r="37" spans="1:5">
      <c r="A37" s="37" t="s">
        <v>101</v>
      </c>
      <c r="B37" s="37" t="s">
        <v>89</v>
      </c>
      <c r="C37" s="37" t="s">
        <v>102</v>
      </c>
      <c r="D37" s="37" t="s">
        <v>118</v>
      </c>
      <c r="E37" s="37" t="s">
        <v>91</v>
      </c>
    </row>
    <row r="38" spans="1:5">
      <c r="A38" s="37" t="s">
        <v>107</v>
      </c>
      <c r="B38" s="37" t="s">
        <v>104</v>
      </c>
      <c r="C38" s="37" t="s">
        <v>108</v>
      </c>
      <c r="D38" s="37" t="s">
        <v>109</v>
      </c>
      <c r="E38" s="37" t="s">
        <v>91</v>
      </c>
    </row>
    <row r="39" spans="1:5">
      <c r="A39" t="s">
        <v>103</v>
      </c>
      <c r="B39" s="37" t="s">
        <v>104</v>
      </c>
      <c r="C39" s="37" t="s">
        <v>105</v>
      </c>
      <c r="D39" s="37" t="s">
        <v>106</v>
      </c>
      <c r="E39" s="37" t="s">
        <v>91</v>
      </c>
    </row>
    <row r="40" spans="1:5">
      <c r="A40" s="37"/>
      <c r="B40" s="37"/>
      <c r="C40" s="37"/>
      <c r="D40" s="37"/>
      <c r="E40" s="37"/>
    </row>
    <row r="41" spans="1:5">
      <c r="A41" s="37"/>
      <c r="B41" s="37"/>
      <c r="C41" s="37"/>
      <c r="D41" s="37"/>
      <c r="E41" s="37"/>
    </row>
    <row r="42" spans="1:5">
      <c r="A42" s="37" t="s">
        <v>31</v>
      </c>
      <c r="B42" s="37"/>
      <c r="C42" s="37"/>
      <c r="D42" s="37"/>
      <c r="E42" s="37"/>
    </row>
    <row r="43" spans="1:5">
      <c r="A43" s="37" t="s">
        <v>65</v>
      </c>
      <c r="B43" s="37" t="s">
        <v>66</v>
      </c>
      <c r="C43" s="37" t="s">
        <v>67</v>
      </c>
      <c r="D43" s="37" t="s">
        <v>68</v>
      </c>
      <c r="E43" s="37" t="s">
        <v>69</v>
      </c>
    </row>
    <row r="44" spans="1:5">
      <c r="A44" s="37" t="s">
        <v>77</v>
      </c>
      <c r="B44" s="37">
        <v>40344030</v>
      </c>
      <c r="C44" s="37" t="s">
        <v>79</v>
      </c>
      <c r="D44" s="37" t="s">
        <v>86</v>
      </c>
      <c r="E44" s="37"/>
    </row>
    <row r="45" spans="1:5">
      <c r="A45" s="37" t="s">
        <v>119</v>
      </c>
      <c r="B45" s="37" t="s">
        <v>74</v>
      </c>
      <c r="C45" s="37" t="s">
        <v>120</v>
      </c>
      <c r="D45" s="37" t="s">
        <v>86</v>
      </c>
      <c r="E45" s="37"/>
    </row>
    <row r="46" spans="1:5">
      <c r="A46" s="37"/>
      <c r="B46" s="37"/>
      <c r="C46" s="37"/>
      <c r="D46" s="37"/>
      <c r="E46" s="37"/>
    </row>
    <row r="47" spans="1:5">
      <c r="A47" s="37"/>
      <c r="B47" s="37"/>
      <c r="C47" s="37"/>
      <c r="D47" s="37"/>
      <c r="E47" s="37"/>
    </row>
    <row r="48" spans="1:5">
      <c r="A48" s="37" t="s">
        <v>37</v>
      </c>
      <c r="B48" s="37"/>
      <c r="C48" s="37"/>
      <c r="D48" s="37"/>
      <c r="E48" s="37"/>
    </row>
    <row r="49" spans="1:5">
      <c r="A49" s="37" t="s">
        <v>65</v>
      </c>
      <c r="B49" s="37" t="s">
        <v>66</v>
      </c>
      <c r="C49" s="37" t="s">
        <v>67</v>
      </c>
      <c r="D49" s="37" t="s">
        <v>68</v>
      </c>
      <c r="E49" s="37" t="s">
        <v>69</v>
      </c>
    </row>
    <row r="50" spans="1:5">
      <c r="A50" s="37" t="s">
        <v>121</v>
      </c>
      <c r="B50" s="37" t="s">
        <v>122</v>
      </c>
      <c r="C50" s="37" t="s">
        <v>123</v>
      </c>
      <c r="D50" s="37" t="s">
        <v>72</v>
      </c>
      <c r="E50" s="37" t="s">
        <v>124</v>
      </c>
    </row>
    <row r="51" spans="1:5">
      <c r="A51" s="37" t="s">
        <v>125</v>
      </c>
      <c r="B51" s="37" t="s">
        <v>84</v>
      </c>
      <c r="C51" s="37" t="s">
        <v>126</v>
      </c>
      <c r="D51" s="37" t="s">
        <v>127</v>
      </c>
      <c r="E51" s="37" t="s">
        <v>124</v>
      </c>
    </row>
    <row r="52" spans="1:5">
      <c r="A52" s="37"/>
      <c r="B52" s="37"/>
      <c r="C52" s="37"/>
      <c r="D52" s="37"/>
      <c r="E52" s="37"/>
    </row>
    <row r="53" spans="1:5">
      <c r="A53" s="37" t="s">
        <v>128</v>
      </c>
      <c r="B53" s="37"/>
      <c r="C53" s="37"/>
      <c r="D53" s="37"/>
      <c r="E53" s="37"/>
    </row>
    <row r="54" spans="1:5">
      <c r="A54" s="37" t="s">
        <v>65</v>
      </c>
      <c r="B54" s="37" t="s">
        <v>66</v>
      </c>
      <c r="C54" s="37" t="s">
        <v>67</v>
      </c>
      <c r="D54" s="37" t="s">
        <v>68</v>
      </c>
      <c r="E54" s="37" t="s">
        <v>69</v>
      </c>
    </row>
    <row r="55" ht="69" customHeight="1" spans="1:5">
      <c r="A55" s="37" t="s">
        <v>73</v>
      </c>
      <c r="B55" s="37" t="s">
        <v>74</v>
      </c>
      <c r="C55" s="37" t="s">
        <v>75</v>
      </c>
      <c r="D55" s="38" t="s">
        <v>129</v>
      </c>
      <c r="E55" s="37" t="s">
        <v>115</v>
      </c>
    </row>
    <row r="56" spans="1:5">
      <c r="A56" s="37"/>
      <c r="B56" s="37"/>
      <c r="C56" s="37"/>
      <c r="D56" s="37"/>
      <c r="E56" s="37"/>
    </row>
    <row r="57" spans="1:5">
      <c r="A57" s="37"/>
      <c r="B57" s="37"/>
      <c r="C57" s="37"/>
      <c r="D57" s="37"/>
      <c r="E57" s="37"/>
    </row>
    <row r="58" spans="1:5">
      <c r="A58" s="37"/>
      <c r="B58" s="37"/>
      <c r="C58" s="37"/>
      <c r="D58" s="37"/>
      <c r="E58" s="37"/>
    </row>
    <row r="59" spans="1:5">
      <c r="A59" s="37"/>
      <c r="B59" s="37"/>
      <c r="C59" s="37"/>
      <c r="D59" s="37"/>
      <c r="E59" s="37"/>
    </row>
    <row r="60" spans="1:5">
      <c r="A60" s="37"/>
      <c r="B60" s="37"/>
      <c r="C60" s="37"/>
      <c r="D60" s="37"/>
      <c r="E60" s="37"/>
    </row>
    <row r="61" spans="1:5">
      <c r="A61" s="37"/>
      <c r="B61" s="37"/>
      <c r="C61" s="37"/>
      <c r="D61" s="37"/>
      <c r="E61" s="37"/>
    </row>
    <row r="62" spans="1:5">
      <c r="A62" s="37"/>
      <c r="B62" s="37"/>
      <c r="C62" s="37"/>
      <c r="D62" s="37"/>
      <c r="E62" s="37"/>
    </row>
    <row r="63" spans="1:5">
      <c r="A63" s="37"/>
      <c r="B63" s="37"/>
      <c r="C63" s="37"/>
      <c r="D63" s="37"/>
      <c r="E63" s="37"/>
    </row>
    <row r="64" spans="1:5">
      <c r="A64" s="37"/>
      <c r="B64" s="37"/>
      <c r="C64" s="37"/>
      <c r="D64" s="37"/>
      <c r="E64" s="37"/>
    </row>
    <row r="65" spans="1:5">
      <c r="A65" s="37"/>
      <c r="B65" s="37"/>
      <c r="C65" s="37"/>
      <c r="D65" s="37"/>
      <c r="E65" s="37"/>
    </row>
    <row r="66" spans="1:5">
      <c r="A66" s="37"/>
      <c r="B66" s="37"/>
      <c r="C66" s="37"/>
      <c r="D66" s="37"/>
      <c r="E66" s="37"/>
    </row>
    <row r="67" spans="1:5">
      <c r="A67" s="37"/>
      <c r="B67" s="37"/>
      <c r="C67" s="37"/>
      <c r="D67" s="37"/>
      <c r="E67" s="37"/>
    </row>
    <row r="68" spans="1:5">
      <c r="A68" s="37"/>
      <c r="B68" s="37"/>
      <c r="C68" s="37"/>
      <c r="D68" s="37"/>
      <c r="E68" s="37"/>
    </row>
    <row r="69" spans="1:5">
      <c r="A69" s="37"/>
      <c r="B69" s="37"/>
      <c r="C69" s="37"/>
      <c r="D69" s="37"/>
      <c r="E69" s="37"/>
    </row>
    <row r="70" spans="1:5">
      <c r="A70" s="37"/>
      <c r="B70" s="37"/>
      <c r="C70" s="37"/>
      <c r="D70" s="37"/>
      <c r="E70" s="37"/>
    </row>
    <row r="71" spans="1:5">
      <c r="A71" s="37"/>
      <c r="B71" s="37"/>
      <c r="C71" s="37"/>
      <c r="D71" s="37"/>
      <c r="E71" s="37"/>
    </row>
    <row r="72" spans="1:5">
      <c r="A72" s="37"/>
      <c r="B72" s="37"/>
      <c r="C72" s="37"/>
      <c r="D72" s="37"/>
      <c r="E72" s="37"/>
    </row>
    <row r="73" spans="1:5">
      <c r="A73" s="37"/>
      <c r="B73" s="37"/>
      <c r="C73" s="37"/>
      <c r="D73" s="37"/>
      <c r="E73" s="37"/>
    </row>
    <row r="74" spans="1:5">
      <c r="A74" s="37"/>
      <c r="B74" s="37"/>
      <c r="C74" s="37"/>
      <c r="D74" s="37"/>
      <c r="E74" s="37"/>
    </row>
    <row r="75" spans="1:5">
      <c r="A75" s="37"/>
      <c r="B75" s="37"/>
      <c r="C75" s="37"/>
      <c r="D75" s="37"/>
      <c r="E75" s="37"/>
    </row>
    <row r="76" spans="1:5">
      <c r="A76" s="37"/>
      <c r="B76" s="37"/>
      <c r="C76" s="37"/>
      <c r="D76" s="37"/>
      <c r="E76" s="37"/>
    </row>
    <row r="77" spans="1:5">
      <c r="A77" s="37"/>
      <c r="B77" s="37"/>
      <c r="C77" s="37"/>
      <c r="D77" s="37"/>
      <c r="E77" s="37"/>
    </row>
    <row r="78" spans="1:5">
      <c r="A78" s="37"/>
      <c r="B78" s="37"/>
      <c r="C78" s="37"/>
      <c r="D78" s="37"/>
      <c r="E78" s="37"/>
    </row>
    <row r="79" spans="1:5">
      <c r="A79" s="37"/>
      <c r="B79" s="37"/>
      <c r="C79" s="37"/>
      <c r="D79" s="37"/>
      <c r="E79" s="37"/>
    </row>
    <row r="80" spans="1:5">
      <c r="A80" s="37"/>
      <c r="B80" s="37"/>
      <c r="C80" s="37"/>
      <c r="D80" s="37"/>
      <c r="E80" s="37"/>
    </row>
    <row r="81" spans="1:5">
      <c r="A81" s="37"/>
      <c r="B81" s="37"/>
      <c r="C81" s="37"/>
      <c r="D81" s="37"/>
      <c r="E81" s="37"/>
    </row>
    <row r="82" spans="1:5">
      <c r="A82" s="37"/>
      <c r="B82" s="37"/>
      <c r="C82" s="37"/>
      <c r="D82" s="37"/>
      <c r="E82" s="37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F28" sqref="F28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3" t="s">
        <v>140</v>
      </c>
      <c r="B2" s="3">
        <v>63</v>
      </c>
      <c r="C2" s="3">
        <v>59</v>
      </c>
      <c r="D2" s="3">
        <v>4</v>
      </c>
      <c r="E2" s="4">
        <v>7</v>
      </c>
      <c r="F2" s="4">
        <v>7</v>
      </c>
      <c r="G2" s="4">
        <v>7</v>
      </c>
      <c r="H2" s="4">
        <v>7</v>
      </c>
      <c r="I2" s="4">
        <v>7</v>
      </c>
      <c r="J2" s="4">
        <v>7</v>
      </c>
      <c r="K2" s="4">
        <v>7</v>
      </c>
      <c r="L2" s="4">
        <v>7</v>
      </c>
      <c r="M2" s="4">
        <v>7</v>
      </c>
      <c r="N2" s="4">
        <v>7</v>
      </c>
      <c r="O2" s="4">
        <v>7</v>
      </c>
      <c r="P2" s="4">
        <v>7</v>
      </c>
      <c r="Q2" s="4">
        <v>7</v>
      </c>
      <c r="R2" s="4">
        <v>7</v>
      </c>
      <c r="S2" s="4">
        <v>7</v>
      </c>
      <c r="V2" s="30">
        <v>0</v>
      </c>
      <c r="W2" s="22" t="s">
        <v>141</v>
      </c>
      <c r="X2" s="31" t="str">
        <f>S34</f>
        <v>5290F230</v>
      </c>
      <c r="Y2" t="str">
        <f t="shared" ref="Y2:Y33" si="0">"0x"&amp;RIGHT("00000000"&amp;X2,8)&amp;","</f>
        <v>0x5290F230,</v>
      </c>
      <c r="Z2" s="32" t="s">
        <v>142</v>
      </c>
    </row>
    <row r="3" spans="1:26">
      <c r="A3" s="3" t="s">
        <v>143</v>
      </c>
      <c r="B3" s="3">
        <v>58</v>
      </c>
      <c r="C3" s="3">
        <v>58</v>
      </c>
      <c r="D3" s="3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</v>
      </c>
      <c r="K3" s="4">
        <v>1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30"/>
      <c r="W3" s="22" t="s">
        <v>144</v>
      </c>
      <c r="X3" s="31" t="str">
        <f>S33</f>
        <v>3BF64059</v>
      </c>
      <c r="Y3" t="str">
        <f t="shared" si="0"/>
        <v>0x3BF64059,</v>
      </c>
      <c r="Z3" s="32"/>
    </row>
    <row r="4" spans="1:26">
      <c r="A4" s="3" t="s">
        <v>145</v>
      </c>
      <c r="B4" s="3">
        <v>57</v>
      </c>
      <c r="C4" s="3">
        <v>55</v>
      </c>
      <c r="D4" s="3">
        <v>7</v>
      </c>
      <c r="E4" s="4">
        <v>7</v>
      </c>
      <c r="F4" s="4">
        <v>7</v>
      </c>
      <c r="G4" s="4">
        <v>7</v>
      </c>
      <c r="H4" s="4">
        <v>7</v>
      </c>
      <c r="I4" s="4">
        <v>7</v>
      </c>
      <c r="J4" s="4">
        <v>7</v>
      </c>
      <c r="K4" s="4">
        <v>7</v>
      </c>
      <c r="L4" s="4">
        <v>7</v>
      </c>
      <c r="M4" s="4">
        <v>7</v>
      </c>
      <c r="N4" s="4">
        <v>7</v>
      </c>
      <c r="O4" s="4">
        <v>7</v>
      </c>
      <c r="P4" s="4">
        <v>7</v>
      </c>
      <c r="Q4" s="4">
        <v>7</v>
      </c>
      <c r="R4" s="4">
        <v>7</v>
      </c>
      <c r="S4" s="4">
        <v>7</v>
      </c>
      <c r="V4" s="30">
        <v>1</v>
      </c>
      <c r="W4" s="22" t="s">
        <v>141</v>
      </c>
      <c r="X4" s="31" t="str">
        <f>R34</f>
        <v>5290F230</v>
      </c>
      <c r="Y4" t="str">
        <f t="shared" si="0"/>
        <v>0x5290F230,</v>
      </c>
      <c r="Z4" s="32" t="s">
        <v>146</v>
      </c>
    </row>
    <row r="5" spans="1:26">
      <c r="A5" s="3" t="s">
        <v>147</v>
      </c>
      <c r="B5" s="3">
        <v>54</v>
      </c>
      <c r="C5" s="3">
        <v>52</v>
      </c>
      <c r="D5" s="3">
        <v>0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 t="s">
        <v>144</v>
      </c>
      <c r="X5" s="31" t="str">
        <f>R33</f>
        <v>3BF64079</v>
      </c>
      <c r="Y5" t="str">
        <f t="shared" si="0"/>
        <v>0x3BF64079,</v>
      </c>
      <c r="Z5" s="32"/>
    </row>
    <row r="6" spans="1:26">
      <c r="A6" s="3" t="s">
        <v>148</v>
      </c>
      <c r="B6" s="3">
        <v>51</v>
      </c>
      <c r="C6" s="3">
        <v>51</v>
      </c>
      <c r="D6" s="3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V6" s="30">
        <v>2</v>
      </c>
      <c r="W6" s="22" t="s">
        <v>141</v>
      </c>
      <c r="X6" s="31" t="str">
        <f>Q34</f>
        <v>5290F230</v>
      </c>
      <c r="Y6" t="str">
        <f t="shared" si="0"/>
        <v>0x5290F230,</v>
      </c>
      <c r="Z6" s="32" t="s">
        <v>149</v>
      </c>
    </row>
    <row r="7" spans="1:26">
      <c r="A7" s="3" t="s">
        <v>150</v>
      </c>
      <c r="B7" s="3">
        <v>50</v>
      </c>
      <c r="C7" s="3">
        <v>47</v>
      </c>
      <c r="D7" s="3">
        <v>15</v>
      </c>
      <c r="E7" s="4">
        <v>15</v>
      </c>
      <c r="F7" s="4">
        <v>15</v>
      </c>
      <c r="G7" s="4">
        <v>15</v>
      </c>
      <c r="H7" s="4">
        <v>15</v>
      </c>
      <c r="I7" s="4">
        <v>15</v>
      </c>
      <c r="J7" s="4">
        <v>15</v>
      </c>
      <c r="K7" s="4">
        <v>15</v>
      </c>
      <c r="L7" s="4">
        <v>14</v>
      </c>
      <c r="M7" s="4">
        <v>14</v>
      </c>
      <c r="N7" s="4">
        <v>13</v>
      </c>
      <c r="O7" s="4">
        <v>13</v>
      </c>
      <c r="P7" s="4">
        <v>12</v>
      </c>
      <c r="Q7" s="4">
        <v>12</v>
      </c>
      <c r="R7" s="4">
        <v>12</v>
      </c>
      <c r="S7" s="4">
        <v>12</v>
      </c>
      <c r="V7" s="30"/>
      <c r="W7" s="22" t="s">
        <v>144</v>
      </c>
      <c r="X7" s="31" t="str">
        <f>Q33</f>
        <v>3BF64075</v>
      </c>
      <c r="Y7" t="str">
        <f t="shared" si="0"/>
        <v>0x3BF64075,</v>
      </c>
      <c r="Z7" s="32"/>
    </row>
    <row r="8" spans="1:26">
      <c r="A8" s="3" t="s">
        <v>151</v>
      </c>
      <c r="B8" s="3">
        <v>46</v>
      </c>
      <c r="C8" s="3">
        <v>46</v>
      </c>
      <c r="D8" s="3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V8" s="30">
        <v>3</v>
      </c>
      <c r="W8" s="22" t="s">
        <v>141</v>
      </c>
      <c r="X8" s="31" t="str">
        <f>P34</f>
        <v>5290F230</v>
      </c>
      <c r="Y8" t="str">
        <f t="shared" si="0"/>
        <v>0x5290F230,</v>
      </c>
      <c r="Z8" s="32" t="s">
        <v>152</v>
      </c>
    </row>
    <row r="9" spans="1:26">
      <c r="A9" s="3" t="s">
        <v>153</v>
      </c>
      <c r="B9" s="3">
        <v>45</v>
      </c>
      <c r="C9" s="3">
        <v>45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 t="s">
        <v>144</v>
      </c>
      <c r="X9" s="31" t="str">
        <f>P33</f>
        <v>3BF640D5</v>
      </c>
      <c r="Y9" t="str">
        <f t="shared" si="0"/>
        <v>0x3BF640D5,</v>
      </c>
      <c r="Z9" s="32"/>
    </row>
    <row r="10" spans="1:26">
      <c r="A10" s="3" t="s">
        <v>154</v>
      </c>
      <c r="B10" s="3">
        <v>44</v>
      </c>
      <c r="C10" s="3">
        <v>43</v>
      </c>
      <c r="D10" s="3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V10" s="30">
        <v>4</v>
      </c>
      <c r="W10" s="22" t="s">
        <v>141</v>
      </c>
      <c r="X10" s="31" t="str">
        <f>O34</f>
        <v>5290F230</v>
      </c>
      <c r="Y10" t="str">
        <f t="shared" si="0"/>
        <v>0x5290F230,</v>
      </c>
      <c r="Z10" s="32" t="s">
        <v>155</v>
      </c>
    </row>
    <row r="11" spans="1:26">
      <c r="A11" s="3" t="s">
        <v>156</v>
      </c>
      <c r="B11" s="3">
        <v>42</v>
      </c>
      <c r="C11" s="3">
        <v>37</v>
      </c>
      <c r="D11" s="3">
        <v>63</v>
      </c>
      <c r="E11" s="5" t="s">
        <v>157</v>
      </c>
      <c r="F11" s="5">
        <v>28</v>
      </c>
      <c r="G11" s="5" t="s">
        <v>158</v>
      </c>
      <c r="H11" s="5">
        <v>12</v>
      </c>
      <c r="I11" s="5" t="s">
        <v>159</v>
      </c>
      <c r="J11" s="5">
        <v>9</v>
      </c>
      <c r="K11" s="5" t="s">
        <v>106</v>
      </c>
      <c r="L11" s="5">
        <v>9</v>
      </c>
      <c r="M11" s="5" t="s">
        <v>106</v>
      </c>
      <c r="N11" s="5">
        <v>7</v>
      </c>
      <c r="O11" s="5" t="s">
        <v>94</v>
      </c>
      <c r="P11" s="5">
        <v>6</v>
      </c>
      <c r="Q11" s="5" t="s">
        <v>80</v>
      </c>
      <c r="R11" s="5">
        <v>3</v>
      </c>
      <c r="S11" s="5" t="s">
        <v>118</v>
      </c>
      <c r="V11" s="30"/>
      <c r="W11" s="22" t="s">
        <v>144</v>
      </c>
      <c r="X11" s="31" t="str">
        <f>O33</f>
        <v>3BF6C09C</v>
      </c>
      <c r="Y11" t="str">
        <f t="shared" si="0"/>
        <v>0x3BF6C09C,</v>
      </c>
      <c r="Z11" s="32"/>
    </row>
    <row r="12" spans="1:26">
      <c r="A12" s="3" t="s">
        <v>160</v>
      </c>
      <c r="B12" s="3">
        <v>36</v>
      </c>
      <c r="C12" s="3">
        <v>32</v>
      </c>
      <c r="D12" s="3">
        <v>30</v>
      </c>
      <c r="E12" s="7">
        <v>16</v>
      </c>
      <c r="F12" s="7">
        <v>16</v>
      </c>
      <c r="G12" s="7">
        <v>16</v>
      </c>
      <c r="H12" s="7">
        <v>16</v>
      </c>
      <c r="I12" s="7">
        <v>8</v>
      </c>
      <c r="J12" s="7">
        <v>23</v>
      </c>
      <c r="K12" s="7" t="s">
        <v>161</v>
      </c>
      <c r="L12" s="7">
        <v>24</v>
      </c>
      <c r="M12" s="7" t="s">
        <v>162</v>
      </c>
      <c r="N12" s="7">
        <v>28</v>
      </c>
      <c r="O12" s="7">
        <v>28</v>
      </c>
      <c r="P12" s="7">
        <v>21</v>
      </c>
      <c r="Q12" s="7">
        <v>21</v>
      </c>
      <c r="R12" s="7">
        <v>25</v>
      </c>
      <c r="S12" s="7">
        <v>25</v>
      </c>
      <c r="V12" s="30">
        <v>5</v>
      </c>
      <c r="W12" s="22" t="s">
        <v>141</v>
      </c>
      <c r="X12" s="31" t="str">
        <f>N34</f>
        <v>5290F230</v>
      </c>
      <c r="Y12" t="str">
        <f t="shared" si="0"/>
        <v>0x5290F230,</v>
      </c>
      <c r="Z12" s="32" t="s">
        <v>163</v>
      </c>
    </row>
    <row r="13" spans="1:26">
      <c r="A13" s="3" t="s">
        <v>164</v>
      </c>
      <c r="B13" s="3">
        <v>31</v>
      </c>
      <c r="C13" s="3">
        <v>29</v>
      </c>
      <c r="D13" s="3">
        <v>2</v>
      </c>
      <c r="E13" s="7">
        <v>2</v>
      </c>
      <c r="F13" s="7">
        <v>2</v>
      </c>
      <c r="G13" s="7">
        <v>2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 t="s">
        <v>144</v>
      </c>
      <c r="X13" s="31" t="str">
        <f>N33</f>
        <v>3BF6C0FC</v>
      </c>
      <c r="Y13" t="str">
        <f t="shared" si="0"/>
        <v>0x3BF6C0FC,</v>
      </c>
      <c r="Z13" s="32"/>
    </row>
    <row r="14" spans="1:26">
      <c r="A14" s="3" t="s">
        <v>165</v>
      </c>
      <c r="B14" s="3">
        <v>28</v>
      </c>
      <c r="C14" s="3">
        <v>27</v>
      </c>
      <c r="D14" s="3">
        <v>2</v>
      </c>
      <c r="E14" s="7">
        <v>2</v>
      </c>
      <c r="F14" s="7">
        <v>2</v>
      </c>
      <c r="G14" s="7">
        <v>2</v>
      </c>
      <c r="H14" s="7">
        <v>2</v>
      </c>
      <c r="I14" s="7">
        <v>2</v>
      </c>
      <c r="J14" s="7">
        <v>2</v>
      </c>
      <c r="K14" s="7">
        <v>2</v>
      </c>
      <c r="L14" s="7">
        <v>2</v>
      </c>
      <c r="M14" s="7">
        <v>2</v>
      </c>
      <c r="N14" s="7">
        <v>2</v>
      </c>
      <c r="O14" s="7">
        <v>2</v>
      </c>
      <c r="P14" s="7">
        <v>2</v>
      </c>
      <c r="Q14" s="7">
        <v>2</v>
      </c>
      <c r="R14" s="7">
        <v>2</v>
      </c>
      <c r="S14" s="7">
        <v>2</v>
      </c>
      <c r="V14" s="30">
        <v>6</v>
      </c>
      <c r="W14" s="22" t="s">
        <v>141</v>
      </c>
      <c r="X14" s="31" t="str">
        <f>M34</f>
        <v>5290F230</v>
      </c>
      <c r="Y14" t="str">
        <f t="shared" si="0"/>
        <v>0x5290F230,</v>
      </c>
      <c r="Z14" s="32" t="s">
        <v>166</v>
      </c>
    </row>
    <row r="15" spans="1:26">
      <c r="A15" s="3" t="s">
        <v>167</v>
      </c>
      <c r="B15" s="3">
        <v>26</v>
      </c>
      <c r="C15" s="3">
        <v>24</v>
      </c>
      <c r="D15" s="3">
        <v>2</v>
      </c>
      <c r="E15" s="4">
        <v>0</v>
      </c>
      <c r="F15" s="4">
        <v>0</v>
      </c>
      <c r="G15" s="4">
        <v>0</v>
      </c>
      <c r="H15" s="3">
        <v>0</v>
      </c>
      <c r="I15" s="4">
        <v>2</v>
      </c>
      <c r="J15" s="4">
        <v>2</v>
      </c>
      <c r="K15" s="4">
        <v>2</v>
      </c>
      <c r="L15" s="3">
        <v>2</v>
      </c>
      <c r="M15" s="4">
        <v>2</v>
      </c>
      <c r="N15" s="4">
        <v>2</v>
      </c>
      <c r="O15" s="4">
        <v>2</v>
      </c>
      <c r="P15" s="3">
        <v>2</v>
      </c>
      <c r="Q15" s="4">
        <v>2</v>
      </c>
      <c r="R15" s="4">
        <v>2</v>
      </c>
      <c r="S15" s="4">
        <v>2</v>
      </c>
      <c r="V15" s="30"/>
      <c r="W15" s="22" t="s">
        <v>144</v>
      </c>
      <c r="X15" s="31" t="str">
        <f>M33</f>
        <v>3BF740D8</v>
      </c>
      <c r="Y15" t="str">
        <f t="shared" si="0"/>
        <v>0x3BF740D8,</v>
      </c>
      <c r="Z15" s="32"/>
    </row>
    <row r="16" spans="1:26">
      <c r="A16" s="3" t="s">
        <v>168</v>
      </c>
      <c r="B16" s="3">
        <v>23</v>
      </c>
      <c r="C16" s="3">
        <v>18</v>
      </c>
      <c r="D16" s="3">
        <v>59</v>
      </c>
      <c r="E16" s="4">
        <v>48</v>
      </c>
      <c r="F16" s="4">
        <v>48</v>
      </c>
      <c r="G16" s="4">
        <v>48</v>
      </c>
      <c r="H16" s="4">
        <v>48</v>
      </c>
      <c r="I16" s="4">
        <v>32</v>
      </c>
      <c r="J16" s="4">
        <v>20</v>
      </c>
      <c r="K16" s="4">
        <v>20</v>
      </c>
      <c r="L16" s="4">
        <v>36</v>
      </c>
      <c r="M16" s="4">
        <v>36</v>
      </c>
      <c r="N16" s="4">
        <v>36</v>
      </c>
      <c r="O16" s="4">
        <v>36</v>
      </c>
      <c r="P16" s="4">
        <v>36</v>
      </c>
      <c r="Q16" s="4">
        <v>36</v>
      </c>
      <c r="R16" s="4">
        <v>36</v>
      </c>
      <c r="S16" s="4">
        <v>36</v>
      </c>
      <c r="V16" s="30">
        <v>7</v>
      </c>
      <c r="W16" s="22" t="s">
        <v>141</v>
      </c>
      <c r="X16" s="31" t="str">
        <f>L34</f>
        <v>5290F230</v>
      </c>
      <c r="Y16" t="str">
        <f t="shared" si="0"/>
        <v>0x5290F230,</v>
      </c>
      <c r="Z16" s="32" t="s">
        <v>169</v>
      </c>
    </row>
    <row r="17" spans="1:26">
      <c r="A17" s="3" t="s">
        <v>170</v>
      </c>
      <c r="B17" s="3">
        <v>17</v>
      </c>
      <c r="C17" s="3">
        <v>12</v>
      </c>
      <c r="D17" s="3">
        <v>51</v>
      </c>
      <c r="E17" s="4">
        <v>48</v>
      </c>
      <c r="F17" s="4">
        <v>48</v>
      </c>
      <c r="G17" s="4">
        <v>48</v>
      </c>
      <c r="H17" s="4">
        <v>48</v>
      </c>
      <c r="I17" s="4">
        <v>20</v>
      </c>
      <c r="J17" s="4">
        <v>32</v>
      </c>
      <c r="K17" s="4">
        <v>32</v>
      </c>
      <c r="L17" s="4">
        <v>15</v>
      </c>
      <c r="M17" s="4">
        <v>15</v>
      </c>
      <c r="N17" s="4">
        <v>15</v>
      </c>
      <c r="O17" s="4">
        <v>15</v>
      </c>
      <c r="P17" s="4">
        <v>15</v>
      </c>
      <c r="Q17" s="4">
        <v>15</v>
      </c>
      <c r="R17" s="4">
        <v>15</v>
      </c>
      <c r="S17" s="4">
        <v>15</v>
      </c>
      <c r="V17" s="30"/>
      <c r="W17" s="22" t="s">
        <v>144</v>
      </c>
      <c r="X17" s="31" t="str">
        <f>L33</f>
        <v>3BF74138</v>
      </c>
      <c r="Y17" t="str">
        <f t="shared" si="0"/>
        <v>0x3BF74138,</v>
      </c>
      <c r="Z17" s="32"/>
    </row>
    <row r="18" spans="1:26">
      <c r="A18" s="3" t="s">
        <v>171</v>
      </c>
      <c r="B18" s="3">
        <v>11</v>
      </c>
      <c r="C18" s="3">
        <v>7</v>
      </c>
      <c r="D18" s="3">
        <v>4</v>
      </c>
      <c r="E18" s="4">
        <v>20</v>
      </c>
      <c r="F18" s="4">
        <v>20</v>
      </c>
      <c r="G18" s="4">
        <v>20</v>
      </c>
      <c r="H18" s="3">
        <v>20</v>
      </c>
      <c r="I18" s="4">
        <v>4</v>
      </c>
      <c r="J18" s="4">
        <v>4</v>
      </c>
      <c r="K18" s="4">
        <v>4</v>
      </c>
      <c r="L18" s="3">
        <v>4</v>
      </c>
      <c r="M18" s="4">
        <v>4</v>
      </c>
      <c r="N18" s="4">
        <v>4</v>
      </c>
      <c r="O18" s="4">
        <v>4</v>
      </c>
      <c r="P18" s="3">
        <v>4</v>
      </c>
      <c r="Q18" s="4">
        <v>4</v>
      </c>
      <c r="R18" s="4">
        <v>4</v>
      </c>
      <c r="S18" s="4">
        <v>4</v>
      </c>
      <c r="V18" s="30">
        <v>8</v>
      </c>
      <c r="W18" s="22" t="s">
        <v>141</v>
      </c>
      <c r="X18" s="31" t="str">
        <f>K34</f>
        <v>52520230</v>
      </c>
      <c r="Y18" t="str">
        <f t="shared" si="0"/>
        <v>0x52520230,</v>
      </c>
      <c r="Z18" s="32" t="s">
        <v>172</v>
      </c>
    </row>
    <row r="19" spans="1:26">
      <c r="A19" s="3" t="s">
        <v>173</v>
      </c>
      <c r="B19" s="3">
        <v>6</v>
      </c>
      <c r="C19" s="3">
        <v>3</v>
      </c>
      <c r="D19" s="3">
        <v>6</v>
      </c>
      <c r="E19" s="4">
        <v>6</v>
      </c>
      <c r="F19" s="4">
        <v>6</v>
      </c>
      <c r="G19" s="4">
        <v>6</v>
      </c>
      <c r="H19" s="3">
        <v>6</v>
      </c>
      <c r="I19" s="4">
        <v>6</v>
      </c>
      <c r="J19" s="4">
        <v>6</v>
      </c>
      <c r="K19" s="4">
        <v>6</v>
      </c>
      <c r="L19" s="3">
        <v>6</v>
      </c>
      <c r="M19" s="4">
        <v>6</v>
      </c>
      <c r="N19" s="4">
        <v>6</v>
      </c>
      <c r="O19" s="4">
        <v>6</v>
      </c>
      <c r="P19" s="3">
        <v>6</v>
      </c>
      <c r="Q19" s="4">
        <v>6</v>
      </c>
      <c r="R19" s="4">
        <v>6</v>
      </c>
      <c r="S19" s="4">
        <v>6</v>
      </c>
      <c r="V19" s="30"/>
      <c r="W19" s="22" t="s">
        <v>144</v>
      </c>
      <c r="X19" s="31" t="str">
        <f>K33</f>
        <v>3FFFC0D7</v>
      </c>
      <c r="Y19" t="str">
        <f t="shared" si="0"/>
        <v>0x3FFFC0D7,</v>
      </c>
      <c r="Z19" s="32"/>
    </row>
    <row r="20" spans="1:26">
      <c r="A20" s="3" t="s">
        <v>174</v>
      </c>
      <c r="B20" s="3">
        <v>2</v>
      </c>
      <c r="C20" s="3">
        <v>0</v>
      </c>
      <c r="D20" s="3">
        <v>0</v>
      </c>
      <c r="E20" s="4">
        <v>6</v>
      </c>
      <c r="F20" s="4">
        <v>6</v>
      </c>
      <c r="G20" s="4">
        <v>6</v>
      </c>
      <c r="H20" s="3">
        <v>6</v>
      </c>
      <c r="I20" s="4">
        <v>0</v>
      </c>
      <c r="J20" s="4">
        <v>0</v>
      </c>
      <c r="K20" s="4">
        <v>0</v>
      </c>
      <c r="L20" s="3">
        <v>0</v>
      </c>
      <c r="M20" s="4">
        <v>0</v>
      </c>
      <c r="N20" s="4">
        <v>0</v>
      </c>
      <c r="O20" s="4">
        <v>0</v>
      </c>
      <c r="P20" s="3">
        <v>0</v>
      </c>
      <c r="Q20" s="4">
        <v>0</v>
      </c>
      <c r="R20" s="4">
        <v>0</v>
      </c>
      <c r="S20" s="4">
        <v>0</v>
      </c>
      <c r="V20" s="30">
        <v>9</v>
      </c>
      <c r="W20" s="22" t="s">
        <v>141</v>
      </c>
      <c r="X20" s="31" t="str">
        <f>J34</f>
        <v>52520230</v>
      </c>
      <c r="Y20" t="str">
        <f t="shared" si="0"/>
        <v>0x52520230,</v>
      </c>
      <c r="Z20" s="32" t="s">
        <v>175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 t="s">
        <v>144</v>
      </c>
      <c r="X21" s="31" t="str">
        <f>J33</f>
        <v>3FFFC137</v>
      </c>
      <c r="Y21" t="str">
        <f t="shared" si="0"/>
        <v>0x3FFFC137,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176</v>
      </c>
      <c r="W22" s="22" t="s">
        <v>141</v>
      </c>
      <c r="X22" s="31" t="str">
        <f>I34</f>
        <v>52814230</v>
      </c>
      <c r="Y22" t="str">
        <f t="shared" si="0"/>
        <v>0x52814230,</v>
      </c>
      <c r="Z22" s="32" t="s">
        <v>177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 t="s">
        <v>144</v>
      </c>
      <c r="X23" s="31" t="str">
        <f>I33</f>
        <v>3BFFC188</v>
      </c>
      <c r="Y23" t="str">
        <f t="shared" si="0"/>
        <v>0x3BFFC188,</v>
      </c>
      <c r="Z23" s="32"/>
    </row>
    <row r="24" spans="1:26">
      <c r="A24" s="12" t="s">
        <v>178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179</v>
      </c>
      <c r="W24" s="22" t="s">
        <v>141</v>
      </c>
      <c r="X24" s="31" t="str">
        <f>H34</f>
        <v>50C30A36</v>
      </c>
      <c r="Y24" t="str">
        <f t="shared" si="0"/>
        <v>0x50C30A36,</v>
      </c>
      <c r="Z24" s="32" t="s">
        <v>180</v>
      </c>
    </row>
    <row r="25" spans="1:26">
      <c r="A25" s="12" t="s">
        <v>181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 t="s">
        <v>144</v>
      </c>
      <c r="X25" s="31" t="str">
        <f>H33</f>
        <v>3BFFC190</v>
      </c>
      <c r="Y25" t="str">
        <f t="shared" si="0"/>
        <v>0x3BFFC190,</v>
      </c>
      <c r="Z25" s="32"/>
    </row>
    <row r="26" spans="1:26">
      <c r="A26" s="12" t="s">
        <v>182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183</v>
      </c>
      <c r="W26" s="22" t="s">
        <v>141</v>
      </c>
      <c r="X26" s="31" t="str">
        <f>G34</f>
        <v>50C30A36</v>
      </c>
      <c r="Y26" t="str">
        <f t="shared" si="0"/>
        <v>0x50C30A36,</v>
      </c>
      <c r="Z26" s="32" t="s">
        <v>184</v>
      </c>
    </row>
    <row r="27" spans="1:26">
      <c r="A27" s="15" t="s">
        <v>185</v>
      </c>
      <c r="V27" s="30"/>
      <c r="W27" s="22" t="s">
        <v>144</v>
      </c>
      <c r="X27" s="31" t="str">
        <f>G33</f>
        <v>3BFFC290</v>
      </c>
      <c r="Y27" t="str">
        <f t="shared" si="0"/>
        <v>0x3BFFC290,</v>
      </c>
      <c r="Z27" s="32"/>
    </row>
    <row r="28" spans="22:26">
      <c r="V28" s="30" t="s">
        <v>186</v>
      </c>
      <c r="W28" s="22" t="s">
        <v>141</v>
      </c>
      <c r="X28" s="31" t="str">
        <f>F34</f>
        <v>50C30A36</v>
      </c>
      <c r="Y28" t="str">
        <f t="shared" si="0"/>
        <v>0x50C30A36,</v>
      </c>
      <c r="Z28" s="32" t="s">
        <v>187</v>
      </c>
    </row>
    <row r="29" spans="22:26">
      <c r="V29" s="30"/>
      <c r="W29" s="22" t="s">
        <v>144</v>
      </c>
      <c r="X29" s="31" t="str">
        <f>F33</f>
        <v>3BFFC390</v>
      </c>
      <c r="Y29" t="str">
        <f t="shared" si="0"/>
        <v>0x3BFFC390,</v>
      </c>
      <c r="Z29" s="32"/>
    </row>
    <row r="30" spans="22:26">
      <c r="V30" s="30" t="s">
        <v>188</v>
      </c>
      <c r="W30" s="22" t="s">
        <v>141</v>
      </c>
      <c r="X30" s="31" t="str">
        <f>E34</f>
        <v>50C30A36</v>
      </c>
      <c r="Y30" t="str">
        <f t="shared" si="0"/>
        <v>0x50C30A36,</v>
      </c>
      <c r="Z30" s="32" t="s">
        <v>189</v>
      </c>
    </row>
    <row r="31" spans="1:26">
      <c r="A31" t="s">
        <v>190</v>
      </c>
      <c r="V31" s="30"/>
      <c r="W31" s="22" t="s">
        <v>144</v>
      </c>
      <c r="X31" s="31" t="str">
        <f>E33</f>
        <v>3BFFC490</v>
      </c>
      <c r="Y31" t="str">
        <f t="shared" si="0"/>
        <v>0x3BFFC490,</v>
      </c>
      <c r="Z31" s="32"/>
    </row>
    <row r="32" spans="1:26">
      <c r="A32" s="16" t="s">
        <v>191</v>
      </c>
      <c r="B32" s="16"/>
      <c r="C32" s="16"/>
      <c r="D32" s="17">
        <v>26</v>
      </c>
      <c r="E32" s="17">
        <v>24</v>
      </c>
      <c r="F32" s="17">
        <v>22</v>
      </c>
      <c r="G32" s="17">
        <v>20</v>
      </c>
      <c r="H32" s="17">
        <v>18</v>
      </c>
      <c r="I32" s="17">
        <v>16</v>
      </c>
      <c r="J32" s="17">
        <v>14</v>
      </c>
      <c r="K32" s="17">
        <v>12</v>
      </c>
      <c r="L32" s="17">
        <v>10</v>
      </c>
      <c r="M32" s="17">
        <v>8</v>
      </c>
      <c r="N32" s="17">
        <v>6</v>
      </c>
      <c r="O32" s="17">
        <v>4</v>
      </c>
      <c r="P32" s="17">
        <v>2</v>
      </c>
      <c r="Q32" s="17">
        <v>0</v>
      </c>
      <c r="R32" s="17">
        <v>-2</v>
      </c>
      <c r="S32" s="17">
        <v>-4</v>
      </c>
      <c r="V32" s="30" t="s">
        <v>192</v>
      </c>
      <c r="W32" s="22" t="s">
        <v>141</v>
      </c>
      <c r="X32" s="31" t="str">
        <f>D34</f>
        <v>52EF3230</v>
      </c>
      <c r="Y32" t="str">
        <f t="shared" si="0"/>
        <v>0x52EF3230,</v>
      </c>
      <c r="Z32" s="32" t="s">
        <v>193</v>
      </c>
    </row>
    <row r="33" spans="1:26">
      <c r="A33" s="18" t="s">
        <v>144</v>
      </c>
      <c r="B33" s="19"/>
      <c r="C33" s="19"/>
      <c r="D33" s="18" t="str">
        <f>DEC2HEX(POWER(2,$C12-32)*D12+POWER(2,$C11-32)*D11+POWER(2,$C10-32)*D10+POWER(2,$C9-32)*D9+POWER(2,$C8-32)*D8+POWER(2,$C7-32)*D7+POWER(2,$C6-32)*D6+POWER(2,$C5-32)*D5+POWER(2,$C4-32)*D4+POWER(2,$C3-32)*D3+POWER(2,$C2-32)*D2)</f>
        <v>238FC7FE</v>
      </c>
      <c r="E33" s="18" t="str">
        <f>DEC2HEX(POWER(2,$C12-32)*E12+POWER(2,$C11-32)*E11+POWER(2,$C10-32)*E10+POWER(2,$C9-32)*E9+POWER(2,$C8-32)*E8+POWER(2,$C7-32)*E7+POWER(2,$C6-32)*E6+POWER(2,$C5-32)*E5+POWER(2,$C4-32)*E4+POWER(2,$C3-32)*E3+POWER(2,$C2-32)*E2)</f>
        <v>3BFFC490</v>
      </c>
      <c r="F33" s="18" t="str">
        <f>DEC2HEX(POWER(2,$C12-32)*F12+POWER(2,$C11-32)*F11+POWER(2,$C10-32)*F10+POWER(2,$C9-32)*F9+POWER(2,$C8-32)*F8+POWER(2,$C7-32)*F7+POWER(2,$C6-32)*F6+POWER(2,$C5-32)*F5+POWER(2,$C4-32)*F4+POWER(2,$C3-32)*F3+POWER(2,$C2-32)*F2)</f>
        <v>3BFFC390</v>
      </c>
      <c r="G33" s="18" t="str">
        <f>DEC2HEX(POWER(2,$C12-32)*G12+POWER(2,$C11-32)*G11+POWER(2,$C10-32)*G10+POWER(2,$C9-32)*G9+POWER(2,$C8-32)*G8+POWER(2,$C7-32)*G7+POWER(2,$C6-32)*G6+POWER(2,$C5-32)*G5+POWER(2,$C4-32)*G4+POWER(2,$C3-32)*G3+POWER(2,$C2-32)*G2)</f>
        <v>3BFFC290</v>
      </c>
      <c r="H33" s="18" t="str">
        <f>DEC2HEX(POWER(2,$C12-32)*H12+POWER(2,$C11-32)*H11+POWER(2,$C10-32)*H10+POWER(2,$C9-32)*H9+POWER(2,$C8-32)*H8+POWER(2,$C7-32)*H7+POWER(2,$C6-32)*H6+POWER(2,$C5-32)*H5+POWER(2,$C4-32)*H4+POWER(2,$C3-32)*H3+POWER(2,$C2-32)*H2)</f>
        <v>3BFFC190</v>
      </c>
      <c r="I33" s="18" t="str">
        <f>DEC2HEX(POWER(2,$C12-32)*I12+POWER(2,$C11-32)*I11+POWER(2,$C10-32)*I10+POWER(2,$C9-32)*I9+POWER(2,$C8-32)*I8+POWER(2,$C7-32)*I7+POWER(2,$C6-32)*I6+POWER(2,$C5-32)*I5+POWER(2,$C4-32)*I4+POWER(2,$C3-32)*I3+POWER(2,$C2-32)*I2)</f>
        <v>3BFFC188</v>
      </c>
      <c r="J33" s="18" t="str">
        <f>DEC2HEX(POWER(2,$C12-32)*J12+POWER(2,$C11-32)*J11+POWER(2,$C10-32)*J10+POWER(2,$C9-32)*J9+POWER(2,$C8-32)*J8+POWER(2,$C7-32)*J7+POWER(2,$C6-32)*J6+POWER(2,$C5-32)*J5+POWER(2,$C4-32)*J4+POWER(2,$C3-32)*J3+POWER(2,$C2-32)*J2)</f>
        <v>3FFFC137</v>
      </c>
      <c r="K33" s="18" t="str">
        <f>DEC2HEX(POWER(2,$C12-32)*K12+POWER(2,$C11-32)*K11+POWER(2,$C10-32)*K10+POWER(2,$C9-32)*K9+POWER(2,$C8-32)*K8+POWER(2,$C7-32)*K7+POWER(2,$C6-32)*K6+POWER(2,$C5-32)*K5+POWER(2,$C4-32)*K4+POWER(2,$C3-32)*K3+POWER(2,$C2-32)*K2)</f>
        <v>3FFFC0D7</v>
      </c>
      <c r="L33" s="18" t="str">
        <f>DEC2HEX(POWER(2,$C12-32)*L12+POWER(2,$C11-32)*L11+POWER(2,$C10-32)*L10+POWER(2,$C9-32)*L9+POWER(2,$C8-32)*L8+POWER(2,$C7-32)*L7+POWER(2,$C6-32)*L6+POWER(2,$C5-32)*L5+POWER(2,$C4-32)*L4+POWER(2,$C3-32)*L3+POWER(2,$C2-32)*L2)</f>
        <v>3BF74138</v>
      </c>
      <c r="M33" s="18" t="str">
        <f>DEC2HEX(POWER(2,$C12-32)*M12+POWER(2,$C11-32)*M11+POWER(2,$C10-32)*M10+POWER(2,$C9-32)*M9+POWER(2,$C8-32)*M8+POWER(2,$C7-32)*M7+POWER(2,$C6-32)*M6+POWER(2,$C5-32)*M5+POWER(2,$C4-32)*M4+POWER(2,$C3-32)*M3+POWER(2,$C2-32)*M2)</f>
        <v>3BF740D8</v>
      </c>
      <c r="N33" s="18" t="str">
        <f>DEC2HEX(POWER(2,$C12-32)*N12+POWER(2,$C11-32)*N11+POWER(2,$C10-32)*N10+POWER(2,$C9-32)*N9+POWER(2,$C8-32)*N8+POWER(2,$C7-32)*N7+POWER(2,$C6-32)*N6+POWER(2,$C5-32)*N5+POWER(2,$C4-32)*N4+POWER(2,$C3-32)*N3+POWER(2,$C2-32)*N2)</f>
        <v>3BF6C0FC</v>
      </c>
      <c r="O33" s="18" t="str">
        <f>DEC2HEX(POWER(2,$C12-32)*O12+POWER(2,$C11-32)*O11+POWER(2,$C10-32)*O10+POWER(2,$C9-32)*O9+POWER(2,$C8-32)*O8+POWER(2,$C7-32)*O7+POWER(2,$C6-32)*O6+POWER(2,$C5-32)*O5+POWER(2,$C4-32)*O4+POWER(2,$C3-32)*O3+POWER(2,$C2-32)*O2)</f>
        <v>3BF6C09C</v>
      </c>
      <c r="P33" s="18" t="str">
        <f>DEC2HEX(POWER(2,$C12-32)*P12+POWER(2,$C11-32)*P11+POWER(2,$C10-32)*P10+POWER(2,$C9-32)*P9+POWER(2,$C8-32)*P8+POWER(2,$C7-32)*P7+POWER(2,$C6-32)*P6+POWER(2,$C5-32)*P5+POWER(2,$C4-32)*P4+POWER(2,$C3-32)*P3+POWER(2,$C2-32)*P2)</f>
        <v>3BF640D5</v>
      </c>
      <c r="Q33" s="18" t="str">
        <f>DEC2HEX(POWER(2,$C12-32)*Q12+POWER(2,$C11-32)*Q11+POWER(2,$C10-32)*Q10+POWER(2,$C9-32)*Q9+POWER(2,$C8-32)*Q8+POWER(2,$C7-32)*Q7+POWER(2,$C6-32)*Q6+POWER(2,$C5-32)*Q5+POWER(2,$C4-32)*Q4+POWER(2,$C3-32)*Q3+POWER(2,$C2-32)*Q2)</f>
        <v>3BF64075</v>
      </c>
      <c r="R33" s="18" t="str">
        <f>DEC2HEX(POWER(2,$C12-32)*R12+POWER(2,$C11-32)*R11+POWER(2,$C10-32)*R10+POWER(2,$C9-32)*R9+POWER(2,$C8-32)*R8+POWER(2,$C7-32)*R7+POWER(2,$C6-32)*R6+POWER(2,$C5-32)*R5+POWER(2,$C4-32)*R4+POWER(2,$C3-32)*R3+POWER(2,$C2-32)*R2)</f>
        <v>3BF64079</v>
      </c>
      <c r="S33" s="18" t="str">
        <f>DEC2HEX(POWER(2,$C12-32)*S12+POWER(2,$C11-32)*S11+POWER(2,$C10-32)*S10+POWER(2,$C9-32)*S9+POWER(2,$C8-32)*S8+POWER(2,$C7-32)*S7+POWER(2,$C6-32)*S6+POWER(2,$C5-32)*S5+POWER(2,$C4-32)*S4+POWER(2,$C3-32)*S3+POWER(2,$C2-32)*S2)</f>
        <v>3BF64059</v>
      </c>
      <c r="V33" s="29"/>
      <c r="W33" s="22" t="s">
        <v>144</v>
      </c>
      <c r="X33" s="31" t="str">
        <f>D33</f>
        <v>238FC7FE</v>
      </c>
      <c r="Y33" t="str">
        <f t="shared" si="0"/>
        <v>0x238FC7FE,</v>
      </c>
      <c r="Z33" s="32"/>
    </row>
    <row r="34" spans="1:19">
      <c r="A34" s="18" t="s">
        <v>141</v>
      </c>
      <c r="B34" s="19"/>
      <c r="C34" s="19"/>
      <c r="D34" s="18" t="str">
        <f>DEC2HEX(POWER(2,$C20)*D20+POWER(2,$C19)*D19+POWER(2,$C18)*D18+POWER(2,$C17)*D17+POWER(2,$C16)*D16+POWER(2,$C15)*D15+POWER(2,$C14)*D14+POWER(2,$C13)*D13)</f>
        <v>52EF3230</v>
      </c>
      <c r="E34" s="18" t="str">
        <f>DEC2HEX(POWER(2,$C20)*E20+POWER(2,$C19)*E19+POWER(2,$C18)*E18+POWER(2,$C17)*E17+POWER(2,$C16)*E16+POWER(2,$C15)*E15+POWER(2,$C14)*E14+POWER(2,$C13)*E13)</f>
        <v>50C30A36</v>
      </c>
      <c r="F34" s="18" t="str">
        <f>DEC2HEX(POWER(2,$C20)*F20+POWER(2,$C19)*F19+POWER(2,$C18)*F18+POWER(2,$C17)*F17+POWER(2,$C16)*F16+POWER(2,$C15)*F15+POWER(2,$C14)*F14+POWER(2,$C13)*F13)</f>
        <v>50C30A36</v>
      </c>
      <c r="G34" s="18" t="str">
        <f>DEC2HEX(POWER(2,$C20)*G20+POWER(2,$C19)*G19+POWER(2,$C18)*G18+POWER(2,$C17)*G17+POWER(2,$C16)*G16+POWER(2,$C15)*G15+POWER(2,$C14)*G14+POWER(2,$C13)*G13)</f>
        <v>50C30A36</v>
      </c>
      <c r="H34" s="18" t="str">
        <f>DEC2HEX(POWER(2,$C20)*H20+POWER(2,$C19)*H19+POWER(2,$C18)*H18+POWER(2,$C17)*H17+POWER(2,$C16)*H16+POWER(2,$C15)*H15+POWER(2,$C14)*H14+POWER(2,$C13)*H13)</f>
        <v>50C30A36</v>
      </c>
      <c r="I34" s="18" t="str">
        <f>DEC2HEX(POWER(2,$C20)*I20+POWER(2,$C19)*I19+POWER(2,$C18)*I18+POWER(2,$C17)*I17+POWER(2,$C16)*I16+POWER(2,$C15)*I15+POWER(2,$C14)*I14+POWER(2,$C13)*I13)</f>
        <v>52814230</v>
      </c>
      <c r="J34" s="18" t="str">
        <f>DEC2HEX(POWER(2,$C20)*J20+POWER(2,$C19)*J19+POWER(2,$C18)*J18+POWER(2,$C17)*J17+POWER(2,$C16)*J16+POWER(2,$C15)*J15+POWER(2,$C14)*J14+POWER(2,$C13)*J13)</f>
        <v>52520230</v>
      </c>
      <c r="K34" s="18" t="str">
        <f>DEC2HEX(POWER(2,$C20)*K20+POWER(2,$C19)*K19+POWER(2,$C18)*K18+POWER(2,$C17)*K17+POWER(2,$C16)*K16+POWER(2,$C15)*K15+POWER(2,$C14)*K14+POWER(2,$C13)*K13)</f>
        <v>52520230</v>
      </c>
      <c r="L34" s="18" t="str">
        <f>DEC2HEX(POWER(2,$C20)*L20+POWER(2,$C19)*L19+POWER(2,$C18)*L18+POWER(2,$C17)*L17+POWER(2,$C16)*L16+POWER(2,$C15)*L15+POWER(2,$C14)*L14+POWER(2,$C13)*L13)</f>
        <v>5290F230</v>
      </c>
      <c r="M34" s="18" t="str">
        <f>DEC2HEX(POWER(2,$C20)*M20+POWER(2,$C19)*M19+POWER(2,$C18)*M18+POWER(2,$C17)*M17+POWER(2,$C16)*M16+POWER(2,$C15)*M15+POWER(2,$C14)*M14+POWER(2,$C13)*M13)</f>
        <v>5290F230</v>
      </c>
      <c r="N34" s="18" t="str">
        <f>DEC2HEX(POWER(2,$C20)*N20+POWER(2,$C19)*N19+POWER(2,$C18)*N18+POWER(2,$C17)*N17+POWER(2,$C16)*N16+POWER(2,$C15)*N15+POWER(2,$C14)*N14+POWER(2,$C13)*N13)</f>
        <v>5290F230</v>
      </c>
      <c r="O34" s="18" t="str">
        <f>DEC2HEX(POWER(2,$C20)*O20+POWER(2,$C19)*O19+POWER(2,$C18)*O18+POWER(2,$C17)*O17+POWER(2,$C16)*O16+POWER(2,$C15)*O15+POWER(2,$C14)*O14+POWER(2,$C13)*O13)</f>
        <v>5290F230</v>
      </c>
      <c r="P34" s="18" t="str">
        <f>DEC2HEX(POWER(2,$C20)*P20+POWER(2,$C19)*P19+POWER(2,$C18)*P18+POWER(2,$C17)*P17+POWER(2,$C16)*P16+POWER(2,$C15)*P15+POWER(2,$C14)*P14+POWER(2,$C13)*P13)</f>
        <v>5290F230</v>
      </c>
      <c r="Q34" s="18" t="str">
        <f>DEC2HEX(POWER(2,$C20)*Q20+POWER(2,$C19)*Q19+POWER(2,$C18)*Q18+POWER(2,$C17)*Q17+POWER(2,$C16)*Q16+POWER(2,$C15)*Q15+POWER(2,$C14)*Q14+POWER(2,$C13)*Q13)</f>
        <v>5290F230</v>
      </c>
      <c r="R34" s="18" t="str">
        <f>DEC2HEX(POWER(2,$C20)*R20+POWER(2,$C19)*R19+POWER(2,$C18)*R18+POWER(2,$C17)*R17+POWER(2,$C16)*R16+POWER(2,$C15)*R15+POWER(2,$C14)*R14+POWER(2,$C13)*R13)</f>
        <v>5290F230</v>
      </c>
      <c r="S34" s="18" t="str">
        <f>DEC2HEX(POWER(2,$C20)*S20+POWER(2,$C19)*S19+POWER(2,$C18)*S18+POWER(2,$C17)*S17+POWER(2,$C16)*S16+POWER(2,$C15)*S15+POWER(2,$C14)*S14+POWER(2,$C13)*S13)</f>
        <v>5290F230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H1" sqref="H$1:H$1048576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3" t="s">
        <v>140</v>
      </c>
      <c r="B2" s="3">
        <v>63</v>
      </c>
      <c r="C2" s="3">
        <v>59</v>
      </c>
      <c r="D2" s="3">
        <v>16</v>
      </c>
      <c r="E2" s="4">
        <v>16</v>
      </c>
      <c r="F2" s="4">
        <v>16</v>
      </c>
      <c r="G2" s="4" t="s">
        <v>194</v>
      </c>
      <c r="H2" s="4">
        <v>16</v>
      </c>
      <c r="I2" s="4" t="s">
        <v>194</v>
      </c>
      <c r="J2" s="4">
        <v>16</v>
      </c>
      <c r="K2" s="4" t="s">
        <v>194</v>
      </c>
      <c r="L2" s="4">
        <v>16</v>
      </c>
      <c r="M2" s="4" t="s">
        <v>194</v>
      </c>
      <c r="N2" s="4" t="s">
        <v>194</v>
      </c>
      <c r="O2" s="4">
        <v>16</v>
      </c>
      <c r="P2" s="4" t="s">
        <v>194</v>
      </c>
      <c r="Q2" s="4">
        <v>16</v>
      </c>
      <c r="R2" s="4" t="s">
        <v>194</v>
      </c>
      <c r="S2" s="4">
        <v>16</v>
      </c>
      <c r="V2" s="30">
        <v>0</v>
      </c>
      <c r="W2" s="22" t="s">
        <v>141</v>
      </c>
      <c r="X2" s="31" t="str">
        <f>S34</f>
        <v>5190B3AF</v>
      </c>
      <c r="Y2" t="str">
        <f t="shared" ref="Y2:Y33" si="0">"0x"&amp;RIGHT("00000000"&amp;X2,8)&amp;","</f>
        <v>0x5190B3AF,</v>
      </c>
      <c r="Z2" s="32" t="s">
        <v>142</v>
      </c>
    </row>
    <row r="3" spans="1:26">
      <c r="A3" s="3" t="s">
        <v>143</v>
      </c>
      <c r="B3" s="3">
        <v>58</v>
      </c>
      <c r="C3" s="3">
        <v>58</v>
      </c>
      <c r="D3" s="3">
        <v>1</v>
      </c>
      <c r="E3" s="4">
        <v>1</v>
      </c>
      <c r="F3" s="4">
        <v>1</v>
      </c>
      <c r="G3" s="4" t="s">
        <v>86</v>
      </c>
      <c r="H3" s="4">
        <v>1</v>
      </c>
      <c r="I3" s="4" t="s">
        <v>86</v>
      </c>
      <c r="J3" s="4">
        <v>1</v>
      </c>
      <c r="K3" s="4" t="s">
        <v>86</v>
      </c>
      <c r="L3" s="4">
        <v>1</v>
      </c>
      <c r="M3" s="4" t="s">
        <v>86</v>
      </c>
      <c r="N3" s="4" t="s">
        <v>86</v>
      </c>
      <c r="O3" s="4">
        <v>1</v>
      </c>
      <c r="P3" s="4" t="s">
        <v>86</v>
      </c>
      <c r="Q3" s="4">
        <v>1</v>
      </c>
      <c r="R3" s="4" t="s">
        <v>86</v>
      </c>
      <c r="S3" s="4">
        <v>1</v>
      </c>
      <c r="V3" s="30"/>
      <c r="W3" s="22" t="s">
        <v>144</v>
      </c>
      <c r="X3" s="31" t="str">
        <f>S33</f>
        <v>87F4C05C</v>
      </c>
      <c r="Y3" t="str">
        <f t="shared" si="0"/>
        <v>0x87F4C05C,</v>
      </c>
      <c r="Z3" s="32"/>
    </row>
    <row r="4" spans="1:26">
      <c r="A4" s="3" t="s">
        <v>145</v>
      </c>
      <c r="B4" s="3">
        <v>57</v>
      </c>
      <c r="C4" s="3">
        <v>55</v>
      </c>
      <c r="D4" s="3">
        <v>7</v>
      </c>
      <c r="E4" s="4">
        <v>7</v>
      </c>
      <c r="F4" s="4">
        <v>7</v>
      </c>
      <c r="G4" s="4" t="s">
        <v>127</v>
      </c>
      <c r="H4" s="4">
        <v>7</v>
      </c>
      <c r="I4" s="4" t="s">
        <v>127</v>
      </c>
      <c r="J4" s="4">
        <v>7</v>
      </c>
      <c r="K4" s="4" t="s">
        <v>127</v>
      </c>
      <c r="L4" s="4">
        <v>7</v>
      </c>
      <c r="M4" s="4" t="s">
        <v>127</v>
      </c>
      <c r="N4" s="4" t="s">
        <v>127</v>
      </c>
      <c r="O4" s="4">
        <v>7</v>
      </c>
      <c r="P4" s="4" t="s">
        <v>127</v>
      </c>
      <c r="Q4" s="4">
        <v>7</v>
      </c>
      <c r="R4" s="4" t="s">
        <v>127</v>
      </c>
      <c r="S4" s="4">
        <v>7</v>
      </c>
      <c r="V4" s="30">
        <v>1</v>
      </c>
      <c r="W4" s="22" t="s">
        <v>141</v>
      </c>
      <c r="X4" s="31" t="str">
        <f>R34</f>
        <v>5190B3AF</v>
      </c>
      <c r="Y4" t="str">
        <f t="shared" si="0"/>
        <v>0x5190B3AF,</v>
      </c>
      <c r="Z4" s="32" t="s">
        <v>146</v>
      </c>
    </row>
    <row r="5" spans="1:26">
      <c r="A5" s="3" t="s">
        <v>147</v>
      </c>
      <c r="B5" s="3">
        <v>54</v>
      </c>
      <c r="C5" s="3">
        <v>52</v>
      </c>
      <c r="D5" s="3">
        <v>7</v>
      </c>
      <c r="E5" s="4">
        <v>7</v>
      </c>
      <c r="F5" s="4">
        <v>7</v>
      </c>
      <c r="G5" s="4" t="s">
        <v>127</v>
      </c>
      <c r="H5" s="4">
        <v>7</v>
      </c>
      <c r="I5" s="4" t="s">
        <v>127</v>
      </c>
      <c r="J5" s="4">
        <v>7</v>
      </c>
      <c r="K5" s="4" t="s">
        <v>127</v>
      </c>
      <c r="L5" s="4">
        <v>7</v>
      </c>
      <c r="M5" s="4" t="s">
        <v>127</v>
      </c>
      <c r="N5" s="4" t="s">
        <v>127</v>
      </c>
      <c r="O5" s="4">
        <v>7</v>
      </c>
      <c r="P5" s="4" t="s">
        <v>127</v>
      </c>
      <c r="Q5" s="4">
        <v>7</v>
      </c>
      <c r="R5" s="4" t="s">
        <v>127</v>
      </c>
      <c r="S5" s="4">
        <v>7</v>
      </c>
      <c r="V5" s="30"/>
      <c r="W5" s="22" t="s">
        <v>144</v>
      </c>
      <c r="X5" s="31" t="str">
        <f>R33</f>
        <v>87F4C079</v>
      </c>
      <c r="Y5" t="str">
        <f t="shared" si="0"/>
        <v>0x87F4C079,</v>
      </c>
      <c r="Z5" s="32"/>
    </row>
    <row r="6" spans="1:26">
      <c r="A6" s="3" t="s">
        <v>148</v>
      </c>
      <c r="B6" s="3">
        <v>51</v>
      </c>
      <c r="C6" s="3">
        <v>51</v>
      </c>
      <c r="D6" s="3">
        <v>1</v>
      </c>
      <c r="E6" s="4">
        <v>1</v>
      </c>
      <c r="F6" s="4">
        <v>1</v>
      </c>
      <c r="G6" s="4" t="s">
        <v>86</v>
      </c>
      <c r="H6" s="4">
        <v>0</v>
      </c>
      <c r="I6" s="4" t="s">
        <v>72</v>
      </c>
      <c r="J6" s="4">
        <v>0</v>
      </c>
      <c r="K6" s="4" t="s">
        <v>72</v>
      </c>
      <c r="L6" s="4">
        <v>0</v>
      </c>
      <c r="M6" s="4" t="s">
        <v>72</v>
      </c>
      <c r="N6" s="4" t="s">
        <v>72</v>
      </c>
      <c r="O6" s="4">
        <v>0</v>
      </c>
      <c r="P6" s="4" t="s">
        <v>72</v>
      </c>
      <c r="Q6" s="4">
        <v>0</v>
      </c>
      <c r="R6" s="4" t="s">
        <v>72</v>
      </c>
      <c r="S6" s="4">
        <v>0</v>
      </c>
      <c r="V6" s="30">
        <v>2</v>
      </c>
      <c r="W6" s="22" t="s">
        <v>141</v>
      </c>
      <c r="X6" s="31" t="str">
        <f>Q34</f>
        <v>5191B3AF</v>
      </c>
      <c r="Y6" t="str">
        <f t="shared" si="0"/>
        <v>0x5191B3AF,</v>
      </c>
      <c r="Z6" s="32" t="s">
        <v>149</v>
      </c>
    </row>
    <row r="7" spans="1:26">
      <c r="A7" s="3" t="s">
        <v>150</v>
      </c>
      <c r="B7" s="3">
        <v>50</v>
      </c>
      <c r="C7" s="3">
        <v>47</v>
      </c>
      <c r="D7" s="3">
        <v>15</v>
      </c>
      <c r="E7" s="4">
        <v>15</v>
      </c>
      <c r="F7" s="4">
        <v>15</v>
      </c>
      <c r="G7" s="4" t="s">
        <v>76</v>
      </c>
      <c r="H7" s="4">
        <v>15</v>
      </c>
      <c r="I7" s="4" t="s">
        <v>195</v>
      </c>
      <c r="J7" s="4">
        <v>14</v>
      </c>
      <c r="K7" s="4" t="s">
        <v>159</v>
      </c>
      <c r="L7" s="4">
        <v>12</v>
      </c>
      <c r="M7" s="4" t="s">
        <v>196</v>
      </c>
      <c r="N7" s="4" t="s">
        <v>196</v>
      </c>
      <c r="O7" s="4">
        <v>10</v>
      </c>
      <c r="P7" s="4" t="s">
        <v>109</v>
      </c>
      <c r="Q7" s="4">
        <v>9</v>
      </c>
      <c r="R7" s="4" t="s">
        <v>109</v>
      </c>
      <c r="S7" s="4">
        <v>9</v>
      </c>
      <c r="V7" s="30"/>
      <c r="W7" s="22" t="s">
        <v>144</v>
      </c>
      <c r="X7" s="31" t="str">
        <f>Q33</f>
        <v>87F4C08E</v>
      </c>
      <c r="Y7" t="str">
        <f t="shared" si="0"/>
        <v>0x87F4C08E,</v>
      </c>
      <c r="Z7" s="32"/>
    </row>
    <row r="8" spans="1:26">
      <c r="A8" s="3" t="s">
        <v>151</v>
      </c>
      <c r="B8" s="3">
        <v>46</v>
      </c>
      <c r="C8" s="3">
        <v>46</v>
      </c>
      <c r="D8" s="3">
        <v>1</v>
      </c>
      <c r="E8" s="4">
        <v>1</v>
      </c>
      <c r="F8" s="4">
        <v>1</v>
      </c>
      <c r="G8" s="4" t="s">
        <v>86</v>
      </c>
      <c r="H8" s="4">
        <v>1</v>
      </c>
      <c r="I8" s="4" t="s">
        <v>86</v>
      </c>
      <c r="J8" s="4">
        <v>1</v>
      </c>
      <c r="K8" s="4" t="s">
        <v>86</v>
      </c>
      <c r="L8" s="4">
        <v>1</v>
      </c>
      <c r="M8" s="4" t="s">
        <v>86</v>
      </c>
      <c r="N8" s="4" t="s">
        <v>86</v>
      </c>
      <c r="O8" s="4">
        <v>1</v>
      </c>
      <c r="P8" s="4" t="s">
        <v>86</v>
      </c>
      <c r="Q8" s="4">
        <v>1</v>
      </c>
      <c r="R8" s="4" t="s">
        <v>86</v>
      </c>
      <c r="S8" s="4">
        <v>1</v>
      </c>
      <c r="V8" s="30">
        <v>3</v>
      </c>
      <c r="W8" s="22" t="s">
        <v>141</v>
      </c>
      <c r="X8" s="31" t="str">
        <f>P34</f>
        <v>5191B3AF</v>
      </c>
      <c r="Y8" t="str">
        <f t="shared" si="0"/>
        <v>0x5191B3AF,</v>
      </c>
      <c r="Z8" s="32" t="s">
        <v>152</v>
      </c>
    </row>
    <row r="9" spans="1:26">
      <c r="A9" s="3" t="s">
        <v>153</v>
      </c>
      <c r="B9" s="3">
        <v>45</v>
      </c>
      <c r="C9" s="3">
        <v>45</v>
      </c>
      <c r="D9" s="3">
        <v>0</v>
      </c>
      <c r="E9" s="4">
        <v>0</v>
      </c>
      <c r="F9" s="4">
        <v>0</v>
      </c>
      <c r="G9" s="4" t="s">
        <v>72</v>
      </c>
      <c r="H9" s="4">
        <v>0</v>
      </c>
      <c r="I9" s="4" t="s">
        <v>72</v>
      </c>
      <c r="J9" s="4">
        <v>0</v>
      </c>
      <c r="K9" s="4" t="s">
        <v>72</v>
      </c>
      <c r="L9" s="4">
        <v>0</v>
      </c>
      <c r="M9" s="4" t="s">
        <v>72</v>
      </c>
      <c r="N9" s="4" t="s">
        <v>72</v>
      </c>
      <c r="O9" s="4">
        <v>0</v>
      </c>
      <c r="P9" s="4" t="s">
        <v>72</v>
      </c>
      <c r="Q9" s="4">
        <v>0</v>
      </c>
      <c r="R9" s="4" t="s">
        <v>72</v>
      </c>
      <c r="S9" s="4">
        <v>0</v>
      </c>
      <c r="V9" s="30"/>
      <c r="W9" s="22" t="s">
        <v>144</v>
      </c>
      <c r="X9" s="31" t="str">
        <f>P33</f>
        <v>87F4C0B0</v>
      </c>
      <c r="Y9" t="str">
        <f t="shared" si="0"/>
        <v>0x87F4C0B0,</v>
      </c>
      <c r="Z9" s="32"/>
    </row>
    <row r="10" spans="1:26">
      <c r="A10" s="3" t="s">
        <v>154</v>
      </c>
      <c r="B10" s="3">
        <v>44</v>
      </c>
      <c r="C10" s="3">
        <v>43</v>
      </c>
      <c r="D10" s="3">
        <v>0</v>
      </c>
      <c r="E10" s="5">
        <v>0</v>
      </c>
      <c r="F10" s="5">
        <v>0</v>
      </c>
      <c r="G10" s="5" t="s">
        <v>72</v>
      </c>
      <c r="H10" s="5">
        <v>0</v>
      </c>
      <c r="I10" s="5" t="s">
        <v>72</v>
      </c>
      <c r="J10" s="5">
        <v>0</v>
      </c>
      <c r="K10" s="5" t="s">
        <v>72</v>
      </c>
      <c r="L10" s="5">
        <v>0</v>
      </c>
      <c r="M10" s="5" t="s">
        <v>72</v>
      </c>
      <c r="N10" s="5" t="s">
        <v>72</v>
      </c>
      <c r="O10" s="5">
        <v>0</v>
      </c>
      <c r="P10" s="5" t="s">
        <v>72</v>
      </c>
      <c r="Q10" s="5">
        <v>0</v>
      </c>
      <c r="R10" s="5" t="s">
        <v>72</v>
      </c>
      <c r="S10" s="5">
        <v>0</v>
      </c>
      <c r="V10" s="30">
        <v>4</v>
      </c>
      <c r="W10" s="22" t="s">
        <v>141</v>
      </c>
      <c r="X10" s="31" t="str">
        <f>O34</f>
        <v>5190B3AF</v>
      </c>
      <c r="Y10" t="str">
        <f t="shared" si="0"/>
        <v>0x5190B3AF,</v>
      </c>
      <c r="Z10" s="32" t="s">
        <v>155</v>
      </c>
    </row>
    <row r="11" spans="1:26">
      <c r="A11" s="3" t="s">
        <v>156</v>
      </c>
      <c r="B11" s="3">
        <v>42</v>
      </c>
      <c r="C11" s="3">
        <v>37</v>
      </c>
      <c r="D11" s="3">
        <v>63</v>
      </c>
      <c r="E11" s="5">
        <v>19</v>
      </c>
      <c r="F11" s="5">
        <v>10</v>
      </c>
      <c r="G11" s="5" t="s">
        <v>127</v>
      </c>
      <c r="H11" s="5">
        <v>5</v>
      </c>
      <c r="I11" s="5" t="s">
        <v>197</v>
      </c>
      <c r="J11" s="5">
        <v>4</v>
      </c>
      <c r="K11" s="5" t="s">
        <v>106</v>
      </c>
      <c r="L11" s="5">
        <v>4</v>
      </c>
      <c r="M11" s="5" t="s">
        <v>197</v>
      </c>
      <c r="N11" s="5" t="s">
        <v>94</v>
      </c>
      <c r="O11" s="5">
        <v>3</v>
      </c>
      <c r="P11" s="5" t="s">
        <v>197</v>
      </c>
      <c r="Q11" s="5">
        <v>4</v>
      </c>
      <c r="R11" s="5" t="s">
        <v>80</v>
      </c>
      <c r="S11" s="5">
        <v>2</v>
      </c>
      <c r="V11" s="30"/>
      <c r="W11" s="22" t="s">
        <v>144</v>
      </c>
      <c r="X11" s="31" t="str">
        <f>O33</f>
        <v>87F5407B</v>
      </c>
      <c r="Y11" t="str">
        <f t="shared" si="0"/>
        <v>0x87F5407B,</v>
      </c>
      <c r="Z11" s="32"/>
    </row>
    <row r="12" spans="1:26">
      <c r="A12" s="3" t="s">
        <v>160</v>
      </c>
      <c r="B12" s="3">
        <v>36</v>
      </c>
      <c r="C12" s="3">
        <v>32</v>
      </c>
      <c r="D12" s="3">
        <v>31</v>
      </c>
      <c r="E12" s="7">
        <v>11</v>
      </c>
      <c r="F12" s="7">
        <v>8</v>
      </c>
      <c r="G12" s="7" t="s">
        <v>198</v>
      </c>
      <c r="H12" s="7">
        <v>28</v>
      </c>
      <c r="I12" s="7" t="s">
        <v>199</v>
      </c>
      <c r="J12" s="7">
        <v>20</v>
      </c>
      <c r="K12" s="7" t="s">
        <v>109</v>
      </c>
      <c r="L12" s="7">
        <v>20</v>
      </c>
      <c r="M12" s="7" t="s">
        <v>199</v>
      </c>
      <c r="N12" s="7" t="s">
        <v>195</v>
      </c>
      <c r="O12" s="7">
        <v>27</v>
      </c>
      <c r="P12" s="7" t="s">
        <v>194</v>
      </c>
      <c r="Q12" s="7">
        <v>14</v>
      </c>
      <c r="R12" s="7" t="s">
        <v>200</v>
      </c>
      <c r="S12" s="7">
        <v>28</v>
      </c>
      <c r="V12" s="30">
        <v>5</v>
      </c>
      <c r="W12" s="22" t="s">
        <v>141</v>
      </c>
      <c r="X12" s="31" t="str">
        <f>N34</f>
        <v>5191B3AF</v>
      </c>
      <c r="Y12" t="str">
        <f t="shared" si="0"/>
        <v>0x5191B3AF,</v>
      </c>
      <c r="Z12" s="32" t="s">
        <v>163</v>
      </c>
    </row>
    <row r="13" spans="1:26">
      <c r="A13" s="3" t="s">
        <v>164</v>
      </c>
      <c r="B13" s="3">
        <v>31</v>
      </c>
      <c r="C13" s="3">
        <v>29</v>
      </c>
      <c r="D13" s="3">
        <v>2</v>
      </c>
      <c r="E13" s="7" t="s">
        <v>118</v>
      </c>
      <c r="F13" s="7">
        <v>2</v>
      </c>
      <c r="G13" s="7" t="s">
        <v>118</v>
      </c>
      <c r="H13" s="3">
        <v>2</v>
      </c>
      <c r="I13" s="7" t="s">
        <v>118</v>
      </c>
      <c r="J13" s="7">
        <v>2</v>
      </c>
      <c r="K13" s="7" t="s">
        <v>118</v>
      </c>
      <c r="L13" s="3">
        <v>2</v>
      </c>
      <c r="M13" s="7" t="s">
        <v>118</v>
      </c>
      <c r="N13" s="7" t="s">
        <v>118</v>
      </c>
      <c r="O13" s="7">
        <v>2</v>
      </c>
      <c r="P13" s="3">
        <v>2</v>
      </c>
      <c r="Q13" s="7">
        <v>2</v>
      </c>
      <c r="R13" s="7" t="s">
        <v>118</v>
      </c>
      <c r="S13" s="7">
        <v>2</v>
      </c>
      <c r="V13" s="30"/>
      <c r="W13" s="22" t="s">
        <v>144</v>
      </c>
      <c r="X13" s="31" t="str">
        <f>N33</f>
        <v>87F5408E</v>
      </c>
      <c r="Y13" t="str">
        <f t="shared" si="0"/>
        <v>0x87F5408E,</v>
      </c>
      <c r="Z13" s="32"/>
    </row>
    <row r="14" spans="1:26">
      <c r="A14" s="3" t="s">
        <v>165</v>
      </c>
      <c r="B14" s="3">
        <v>28</v>
      </c>
      <c r="C14" s="3">
        <v>27</v>
      </c>
      <c r="D14" s="3">
        <v>3</v>
      </c>
      <c r="E14" s="7">
        <v>2</v>
      </c>
      <c r="F14" s="7">
        <v>2</v>
      </c>
      <c r="G14" s="7" t="s">
        <v>118</v>
      </c>
      <c r="H14" s="7">
        <v>2</v>
      </c>
      <c r="I14" s="7" t="s">
        <v>118</v>
      </c>
      <c r="J14" s="7">
        <v>2</v>
      </c>
      <c r="K14" s="7" t="s">
        <v>118</v>
      </c>
      <c r="L14" s="7">
        <v>2</v>
      </c>
      <c r="M14" s="7" t="s">
        <v>118</v>
      </c>
      <c r="N14" s="7" t="s">
        <v>118</v>
      </c>
      <c r="O14" s="7">
        <v>2</v>
      </c>
      <c r="P14" s="7" t="s">
        <v>118</v>
      </c>
      <c r="Q14" s="7">
        <v>2</v>
      </c>
      <c r="R14" s="7" t="s">
        <v>118</v>
      </c>
      <c r="S14" s="7">
        <v>2</v>
      </c>
      <c r="V14" s="30">
        <v>6</v>
      </c>
      <c r="W14" s="22" t="s">
        <v>141</v>
      </c>
      <c r="X14" s="31" t="str">
        <f>M34</f>
        <v>5191B3AF</v>
      </c>
      <c r="Y14" t="str">
        <f t="shared" si="0"/>
        <v>0x5191B3AF,</v>
      </c>
      <c r="Z14" s="32" t="s">
        <v>166</v>
      </c>
    </row>
    <row r="15" spans="1:26">
      <c r="A15" s="3" t="s">
        <v>167</v>
      </c>
      <c r="B15" s="3">
        <v>26</v>
      </c>
      <c r="C15" s="3">
        <v>24</v>
      </c>
      <c r="D15" s="3">
        <v>0</v>
      </c>
      <c r="E15" s="4" t="s">
        <v>72</v>
      </c>
      <c r="F15" s="4">
        <v>0</v>
      </c>
      <c r="G15" s="4" t="s">
        <v>72</v>
      </c>
      <c r="H15" s="3">
        <v>0</v>
      </c>
      <c r="I15" s="4" t="s">
        <v>72</v>
      </c>
      <c r="J15" s="4">
        <v>1</v>
      </c>
      <c r="K15" s="4" t="s">
        <v>86</v>
      </c>
      <c r="L15" s="4">
        <v>1</v>
      </c>
      <c r="M15" s="3">
        <v>1</v>
      </c>
      <c r="N15" s="4" t="s">
        <v>86</v>
      </c>
      <c r="O15" s="4">
        <v>1</v>
      </c>
      <c r="P15" s="4" t="s">
        <v>86</v>
      </c>
      <c r="Q15" s="4">
        <v>1</v>
      </c>
      <c r="R15" s="4" t="s">
        <v>86</v>
      </c>
      <c r="S15" s="4">
        <v>1</v>
      </c>
      <c r="V15" s="30"/>
      <c r="W15" s="22" t="s">
        <v>144</v>
      </c>
      <c r="X15" s="31" t="str">
        <f>M33</f>
        <v>87F540B1</v>
      </c>
      <c r="Y15" t="str">
        <f t="shared" si="0"/>
        <v>0x87F540B1,</v>
      </c>
      <c r="Z15" s="32"/>
    </row>
    <row r="16" spans="1:26">
      <c r="A16" s="3" t="s">
        <v>168</v>
      </c>
      <c r="B16" s="3">
        <v>23</v>
      </c>
      <c r="C16" s="3">
        <v>18</v>
      </c>
      <c r="D16" s="4" t="s">
        <v>157</v>
      </c>
      <c r="E16" s="4" t="s">
        <v>157</v>
      </c>
      <c r="F16" s="4">
        <v>48</v>
      </c>
      <c r="G16" s="4" t="s">
        <v>201</v>
      </c>
      <c r="H16" s="4">
        <v>38</v>
      </c>
      <c r="I16" s="4" t="s">
        <v>157</v>
      </c>
      <c r="J16" s="4">
        <v>36</v>
      </c>
      <c r="K16" s="4" t="s">
        <v>201</v>
      </c>
      <c r="L16" s="4">
        <v>36</v>
      </c>
      <c r="M16" s="4" t="s">
        <v>157</v>
      </c>
      <c r="N16" s="4" t="s">
        <v>157</v>
      </c>
      <c r="O16" s="4">
        <v>36</v>
      </c>
      <c r="P16" s="4" t="s">
        <v>157</v>
      </c>
      <c r="Q16" s="4">
        <v>36</v>
      </c>
      <c r="R16" s="4" t="s">
        <v>157</v>
      </c>
      <c r="S16" s="4">
        <v>36</v>
      </c>
      <c r="V16" s="30">
        <v>7</v>
      </c>
      <c r="W16" s="22" t="s">
        <v>141</v>
      </c>
      <c r="X16" s="31" t="str">
        <f>L34</f>
        <v>5191B3AF</v>
      </c>
      <c r="Y16" t="str">
        <f t="shared" si="0"/>
        <v>0x5191B3AF,</v>
      </c>
      <c r="Z16" s="32" t="s">
        <v>169</v>
      </c>
    </row>
    <row r="17" spans="1:26">
      <c r="A17" s="3" t="s">
        <v>170</v>
      </c>
      <c r="B17" s="3">
        <v>17</v>
      </c>
      <c r="C17" s="3">
        <v>12</v>
      </c>
      <c r="D17" s="4" t="s">
        <v>202</v>
      </c>
      <c r="E17" s="4" t="s">
        <v>202</v>
      </c>
      <c r="F17" s="4">
        <v>48</v>
      </c>
      <c r="G17" s="4" t="s">
        <v>203</v>
      </c>
      <c r="H17" s="4">
        <v>43</v>
      </c>
      <c r="I17" s="4" t="s">
        <v>204</v>
      </c>
      <c r="J17" s="4">
        <v>27</v>
      </c>
      <c r="K17" s="4" t="s">
        <v>205</v>
      </c>
      <c r="L17" s="4">
        <v>27</v>
      </c>
      <c r="M17" s="4" t="s">
        <v>206</v>
      </c>
      <c r="N17" s="4" t="s">
        <v>206</v>
      </c>
      <c r="O17" s="4">
        <v>11</v>
      </c>
      <c r="P17" s="4" t="s">
        <v>206</v>
      </c>
      <c r="Q17" s="4">
        <v>27</v>
      </c>
      <c r="R17" s="4" t="s">
        <v>198</v>
      </c>
      <c r="S17" s="4">
        <v>11</v>
      </c>
      <c r="V17" s="30"/>
      <c r="W17" s="22" t="s">
        <v>144</v>
      </c>
      <c r="X17" s="31" t="str">
        <f>L33</f>
        <v>87F64094</v>
      </c>
      <c r="Y17" t="str">
        <f t="shared" si="0"/>
        <v>0x87F64094,</v>
      </c>
      <c r="Z17" s="32"/>
    </row>
    <row r="18" spans="1:26">
      <c r="A18" s="3" t="s">
        <v>171</v>
      </c>
      <c r="B18" s="3">
        <v>11</v>
      </c>
      <c r="C18" s="3">
        <v>7</v>
      </c>
      <c r="D18" s="3">
        <v>7</v>
      </c>
      <c r="E18" s="4" t="s">
        <v>127</v>
      </c>
      <c r="F18" s="4">
        <v>7</v>
      </c>
      <c r="G18" s="4" t="s">
        <v>127</v>
      </c>
      <c r="H18" s="3">
        <v>7</v>
      </c>
      <c r="I18" s="4" t="s">
        <v>127</v>
      </c>
      <c r="J18" s="4">
        <v>7</v>
      </c>
      <c r="K18" s="4" t="s">
        <v>127</v>
      </c>
      <c r="L18" s="3">
        <v>7</v>
      </c>
      <c r="M18" s="4" t="s">
        <v>127</v>
      </c>
      <c r="N18" s="4" t="s">
        <v>127</v>
      </c>
      <c r="O18" s="4">
        <v>7</v>
      </c>
      <c r="P18" s="3">
        <v>7</v>
      </c>
      <c r="Q18" s="4">
        <v>7</v>
      </c>
      <c r="R18" s="4" t="s">
        <v>127</v>
      </c>
      <c r="S18" s="4">
        <v>7</v>
      </c>
      <c r="V18" s="30">
        <v>8</v>
      </c>
      <c r="W18" s="22" t="s">
        <v>141</v>
      </c>
      <c r="X18" s="31" t="str">
        <f>K34</f>
        <v>519963AF</v>
      </c>
      <c r="Y18" t="str">
        <f t="shared" si="0"/>
        <v>0x519963AF,</v>
      </c>
      <c r="Z18" s="32" t="s">
        <v>172</v>
      </c>
    </row>
    <row r="19" spans="1:26">
      <c r="A19" s="3" t="s">
        <v>173</v>
      </c>
      <c r="B19" s="3">
        <v>6</v>
      </c>
      <c r="C19" s="3">
        <v>3</v>
      </c>
      <c r="D19" s="3">
        <v>5</v>
      </c>
      <c r="E19" s="4" t="s">
        <v>197</v>
      </c>
      <c r="F19" s="4">
        <v>5</v>
      </c>
      <c r="G19" s="4" t="s">
        <v>197</v>
      </c>
      <c r="H19" s="3">
        <v>5</v>
      </c>
      <c r="I19" s="4" t="s">
        <v>197</v>
      </c>
      <c r="J19" s="4">
        <v>5</v>
      </c>
      <c r="K19" s="4" t="s">
        <v>197</v>
      </c>
      <c r="L19" s="3">
        <v>5</v>
      </c>
      <c r="M19" s="4" t="s">
        <v>197</v>
      </c>
      <c r="N19" s="4" t="s">
        <v>197</v>
      </c>
      <c r="O19" s="4">
        <v>5</v>
      </c>
      <c r="P19" s="3">
        <v>5</v>
      </c>
      <c r="Q19" s="4">
        <v>5</v>
      </c>
      <c r="R19" s="4" t="s">
        <v>197</v>
      </c>
      <c r="S19" s="4">
        <v>5</v>
      </c>
      <c r="V19" s="30"/>
      <c r="W19" s="22" t="s">
        <v>144</v>
      </c>
      <c r="X19" s="31" t="str">
        <f>K33</f>
        <v>87F640C9</v>
      </c>
      <c r="Y19" t="str">
        <f t="shared" si="0"/>
        <v>0x87F640C9,</v>
      </c>
      <c r="Z19" s="32"/>
    </row>
    <row r="20" spans="1:26">
      <c r="A20" s="3" t="s">
        <v>174</v>
      </c>
      <c r="B20" s="3">
        <v>2</v>
      </c>
      <c r="C20" s="3">
        <v>0</v>
      </c>
      <c r="D20" s="3">
        <v>7</v>
      </c>
      <c r="E20" s="4" t="s">
        <v>127</v>
      </c>
      <c r="F20" s="4">
        <v>7</v>
      </c>
      <c r="G20" s="4" t="s">
        <v>127</v>
      </c>
      <c r="H20" s="3">
        <v>7</v>
      </c>
      <c r="I20" s="4" t="s">
        <v>127</v>
      </c>
      <c r="J20" s="4">
        <v>7</v>
      </c>
      <c r="K20" s="4" t="s">
        <v>127</v>
      </c>
      <c r="L20" s="3">
        <v>7</v>
      </c>
      <c r="M20" s="4" t="s">
        <v>127</v>
      </c>
      <c r="N20" s="4" t="s">
        <v>127</v>
      </c>
      <c r="O20" s="4">
        <v>7</v>
      </c>
      <c r="P20" s="3">
        <v>7</v>
      </c>
      <c r="Q20" s="4">
        <v>7</v>
      </c>
      <c r="R20" s="4" t="s">
        <v>127</v>
      </c>
      <c r="S20" s="4">
        <v>7</v>
      </c>
      <c r="V20" s="30">
        <v>9</v>
      </c>
      <c r="W20" s="22" t="s">
        <v>141</v>
      </c>
      <c r="X20" s="31" t="str">
        <f>J34</f>
        <v>5191B3AF</v>
      </c>
      <c r="Y20" t="str">
        <f t="shared" si="0"/>
        <v>0x5191B3AF,</v>
      </c>
      <c r="Z20" s="32" t="s">
        <v>175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 t="s">
        <v>144</v>
      </c>
      <c r="X21" s="31" t="str">
        <f>J33</f>
        <v>87F74094</v>
      </c>
      <c r="Y21" t="str">
        <f t="shared" si="0"/>
        <v>0x87F74094,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176</v>
      </c>
      <c r="W22" s="22" t="s">
        <v>141</v>
      </c>
      <c r="X22" s="31" t="str">
        <f>I34</f>
        <v>5092B3AF</v>
      </c>
      <c r="Y22" t="str">
        <f t="shared" si="0"/>
        <v>0x5092B3AF,</v>
      </c>
      <c r="Z22" s="32" t="s">
        <v>177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 t="s">
        <v>144</v>
      </c>
      <c r="X23" s="31" t="str">
        <f>I33</f>
        <v>87F740B1</v>
      </c>
      <c r="Y23" t="str">
        <f t="shared" si="0"/>
        <v>0x87F740B1,</v>
      </c>
      <c r="Z23" s="32"/>
    </row>
    <row r="24" spans="1:26">
      <c r="A24" s="12" t="s">
        <v>178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179</v>
      </c>
      <c r="W24" s="22" t="s">
        <v>141</v>
      </c>
      <c r="X24" s="31" t="str">
        <f>H34</f>
        <v>509AB3AF</v>
      </c>
      <c r="Y24" t="str">
        <f t="shared" si="0"/>
        <v>0x509AB3AF,</v>
      </c>
      <c r="Z24" s="32" t="s">
        <v>180</v>
      </c>
    </row>
    <row r="25" spans="1:26">
      <c r="A25" s="12" t="s">
        <v>181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 t="s">
        <v>144</v>
      </c>
      <c r="X25" s="31" t="str">
        <f>H33</f>
        <v>87F7C0BC</v>
      </c>
      <c r="Y25" t="str">
        <f t="shared" si="0"/>
        <v>0x87F7C0BC,</v>
      </c>
      <c r="Z25" s="32"/>
    </row>
    <row r="26" spans="1:26">
      <c r="A26" s="12" t="s">
        <v>182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183</v>
      </c>
      <c r="W26" s="22" t="s">
        <v>141</v>
      </c>
      <c r="X26" s="31" t="str">
        <f>G34</f>
        <v>509AA3AF</v>
      </c>
      <c r="Y26" t="str">
        <f t="shared" si="0"/>
        <v>0x509AA3AF,</v>
      </c>
      <c r="Z26" s="32" t="s">
        <v>184</v>
      </c>
    </row>
    <row r="27" spans="1:26">
      <c r="A27" s="15" t="s">
        <v>185</v>
      </c>
      <c r="V27" s="30"/>
      <c r="W27" s="22" t="s">
        <v>144</v>
      </c>
      <c r="X27" s="31" t="str">
        <f>G33</f>
        <v>87FFC0EB</v>
      </c>
      <c r="Y27" t="str">
        <f t="shared" si="0"/>
        <v>0x87FFC0EB,</v>
      </c>
      <c r="Z27" s="32"/>
    </row>
    <row r="28" spans="22:26">
      <c r="V28" s="30" t="s">
        <v>186</v>
      </c>
      <c r="W28" s="22" t="s">
        <v>141</v>
      </c>
      <c r="X28" s="31" t="str">
        <f>F34</f>
        <v>50C303AF</v>
      </c>
      <c r="Y28" t="str">
        <f t="shared" si="0"/>
        <v>0x50C303AF,</v>
      </c>
      <c r="Z28" s="32" t="s">
        <v>187</v>
      </c>
    </row>
    <row r="29" spans="22:26">
      <c r="V29" s="30"/>
      <c r="W29" s="22" t="s">
        <v>144</v>
      </c>
      <c r="X29" s="31" t="str">
        <f>F33</f>
        <v>87FFC148</v>
      </c>
      <c r="Y29" t="str">
        <f t="shared" si="0"/>
        <v>0x87FFC148,</v>
      </c>
      <c r="Z29" s="32"/>
    </row>
    <row r="30" spans="22:26">
      <c r="V30" s="30" t="s">
        <v>188</v>
      </c>
      <c r="W30" s="22" t="s">
        <v>141</v>
      </c>
      <c r="X30" s="31" t="str">
        <f>E34</f>
        <v>5091E3AF</v>
      </c>
      <c r="Y30" t="str">
        <f t="shared" si="0"/>
        <v>0x5091E3AF,</v>
      </c>
      <c r="Z30" s="32" t="s">
        <v>189</v>
      </c>
    </row>
    <row r="31" spans="1:26">
      <c r="A31" t="s">
        <v>190</v>
      </c>
      <c r="V31" s="30"/>
      <c r="W31" s="22" t="s">
        <v>144</v>
      </c>
      <c r="X31" s="31" t="str">
        <f>E33</f>
        <v>87FFC26B</v>
      </c>
      <c r="Y31" t="str">
        <f t="shared" si="0"/>
        <v>0x87FFC26B,</v>
      </c>
      <c r="Z31" s="32"/>
    </row>
    <row r="32" spans="1:26">
      <c r="A32" s="16" t="s">
        <v>191</v>
      </c>
      <c r="B32" s="16"/>
      <c r="C32" s="16"/>
      <c r="D32" s="17">
        <v>28</v>
      </c>
      <c r="E32" s="17">
        <v>26</v>
      </c>
      <c r="F32" s="17">
        <v>24</v>
      </c>
      <c r="G32" s="17">
        <v>22</v>
      </c>
      <c r="H32" s="17">
        <v>20</v>
      </c>
      <c r="I32" s="17">
        <v>18</v>
      </c>
      <c r="J32" s="17">
        <v>16</v>
      </c>
      <c r="K32" s="17">
        <v>14</v>
      </c>
      <c r="L32" s="17">
        <v>12</v>
      </c>
      <c r="M32" s="17">
        <v>10</v>
      </c>
      <c r="N32" s="17">
        <v>8</v>
      </c>
      <c r="O32" s="17">
        <v>6</v>
      </c>
      <c r="P32" s="17">
        <v>4</v>
      </c>
      <c r="Q32" s="17">
        <v>2</v>
      </c>
      <c r="R32" s="17">
        <v>0</v>
      </c>
      <c r="S32" s="17">
        <v>-2</v>
      </c>
      <c r="V32" s="30" t="s">
        <v>192</v>
      </c>
      <c r="W32" s="22" t="s">
        <v>141</v>
      </c>
      <c r="X32" s="31" t="str">
        <f>D34</f>
        <v>5891E3AF</v>
      </c>
      <c r="Y32" t="str">
        <f t="shared" si="0"/>
        <v>0x5891E3AF,</v>
      </c>
      <c r="Z32" s="32" t="s">
        <v>193</v>
      </c>
    </row>
    <row r="33" spans="1:26">
      <c r="A33" s="18" t="s">
        <v>144</v>
      </c>
      <c r="B33" s="19"/>
      <c r="C33" s="19"/>
      <c r="D33" s="18" t="str">
        <f>DEC2HEX(POWER(2,$C12-32)*D12+POWER(2,$C11-32)*D11+POWER(2,$C10-32)*D10+POWER(2,$C9-32)*D9+POWER(2,$C8-32)*D8+POWER(2,$C7-32)*D7+POWER(2,$C6-32)*D6+POWER(2,$C5-32)*D5+POWER(2,$C4-32)*D4+POWER(2,$C3-32)*D3+POWER(2,$C2-32)*D2)</f>
        <v>87FFC7FF</v>
      </c>
      <c r="E33" s="18" t="str">
        <f>DEC2HEX(POWER(2,$C12-32)*E12+POWER(2,$C11-32)*E11+POWER(2,$C10-32)*E10+POWER(2,$C9-32)*E9+POWER(2,$C8-32)*E8+POWER(2,$C7-32)*E7+POWER(2,$C6-32)*E6+POWER(2,$C5-32)*E5+POWER(2,$C4-32)*E4+POWER(2,$C3-32)*E3+POWER(2,$C2-32)*E2)</f>
        <v>87FFC26B</v>
      </c>
      <c r="F33" s="18" t="str">
        <f t="shared" ref="F33:S33" si="1">DEC2HEX(POWER(2,$C12-32)*F12+POWER(2,$C11-32)*F11+POWER(2,$C10-32)*F10+POWER(2,$C9-32)*F9+POWER(2,$C8-32)*F8+POWER(2,$C7-32)*F7+POWER(2,$C6-32)*F6+POWER(2,$C5-32)*F5+POWER(2,$C4-32)*F4+POWER(2,$C3-32)*F3+POWER(2,$C2-32)*F2)</f>
        <v>87FFC148</v>
      </c>
      <c r="G33" s="18" t="str">
        <f t="shared" si="1"/>
        <v>87FFC0EB</v>
      </c>
      <c r="H33" s="18" t="str">
        <f t="shared" si="1"/>
        <v>87F7C0BC</v>
      </c>
      <c r="I33" s="18" t="str">
        <f t="shared" si="1"/>
        <v>87F740B1</v>
      </c>
      <c r="J33" s="18" t="str">
        <f t="shared" si="1"/>
        <v>87F74094</v>
      </c>
      <c r="K33" s="18" t="str">
        <f t="shared" si="1"/>
        <v>87F640C9</v>
      </c>
      <c r="L33" s="18" t="str">
        <f t="shared" si="1"/>
        <v>87F64094</v>
      </c>
      <c r="M33" s="18" t="str">
        <f t="shared" si="1"/>
        <v>87F540B1</v>
      </c>
      <c r="N33" s="18" t="str">
        <f t="shared" si="1"/>
        <v>87F5408E</v>
      </c>
      <c r="O33" s="18" t="str">
        <f t="shared" si="1"/>
        <v>87F5407B</v>
      </c>
      <c r="P33" s="18" t="str">
        <f t="shared" si="1"/>
        <v>87F4C0B0</v>
      </c>
      <c r="Q33" s="18" t="str">
        <f t="shared" si="1"/>
        <v>87F4C08E</v>
      </c>
      <c r="R33" s="18" t="str">
        <f t="shared" si="1"/>
        <v>87F4C079</v>
      </c>
      <c r="S33" s="18" t="str">
        <f t="shared" si="1"/>
        <v>87F4C05C</v>
      </c>
      <c r="V33" s="29"/>
      <c r="W33" s="22" t="s">
        <v>144</v>
      </c>
      <c r="X33" s="31" t="str">
        <f>D33</f>
        <v>87FFC7FF</v>
      </c>
      <c r="Y33" t="str">
        <f t="shared" si="0"/>
        <v>0x87FFC7FF,</v>
      </c>
      <c r="Z33" s="32"/>
    </row>
    <row r="34" spans="1:19">
      <c r="A34" s="18" t="s">
        <v>141</v>
      </c>
      <c r="B34" s="19"/>
      <c r="C34" s="19"/>
      <c r="D34" s="18" t="str">
        <f>DEC2HEX(POWER(2,$C20)*D20+POWER(2,$C19)*D19+POWER(2,$C18)*D18+POWER(2,$C17)*D17+POWER(2,$C16)*D16+POWER(2,$C15)*D15+POWER(2,$C14)*D14+POWER(2,$C13)*D13)</f>
        <v>5891E3AF</v>
      </c>
      <c r="E34" s="18" t="str">
        <f>DEC2HEX(POWER(2,$C20)*E20+POWER(2,$C19)*E19+POWER(2,$C18)*E18+POWER(2,$C17)*E17+POWER(2,$C16)*E16+POWER(2,$C15)*E15+POWER(2,$C14)*E14+POWER(2,$C13)*E13)</f>
        <v>5091E3AF</v>
      </c>
      <c r="F34" s="18" t="str">
        <f t="shared" ref="F34:S34" si="2">DEC2HEX(POWER(2,$C20)*F20+POWER(2,$C19)*F19+POWER(2,$C18)*F18+POWER(2,$C17)*F17+POWER(2,$C16)*F16+POWER(2,$C15)*F15+POWER(2,$C14)*F14+POWER(2,$C13)*F13)</f>
        <v>50C303AF</v>
      </c>
      <c r="G34" s="18" t="str">
        <f t="shared" si="2"/>
        <v>509AA3AF</v>
      </c>
      <c r="H34" s="18" t="str">
        <f t="shared" si="2"/>
        <v>509AB3AF</v>
      </c>
      <c r="I34" s="18" t="str">
        <f t="shared" si="2"/>
        <v>5092B3AF</v>
      </c>
      <c r="J34" s="18" t="str">
        <f t="shared" si="2"/>
        <v>5191B3AF</v>
      </c>
      <c r="K34" s="18" t="str">
        <f t="shared" si="2"/>
        <v>519963AF</v>
      </c>
      <c r="L34" s="18" t="str">
        <f t="shared" si="2"/>
        <v>5191B3AF</v>
      </c>
      <c r="M34" s="18" t="str">
        <f t="shared" si="2"/>
        <v>5191B3AF</v>
      </c>
      <c r="N34" s="18" t="str">
        <f t="shared" si="2"/>
        <v>5191B3AF</v>
      </c>
      <c r="O34" s="18" t="str">
        <f t="shared" si="2"/>
        <v>5190B3AF</v>
      </c>
      <c r="P34" s="18" t="str">
        <f t="shared" si="2"/>
        <v>5191B3AF</v>
      </c>
      <c r="Q34" s="18" t="str">
        <f t="shared" si="2"/>
        <v>5191B3AF</v>
      </c>
      <c r="R34" s="18" t="str">
        <f t="shared" si="2"/>
        <v>5190B3AF</v>
      </c>
      <c r="S34" s="18" t="str">
        <f t="shared" si="2"/>
        <v>5190B3AF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H25" sqref="H25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3" t="s">
        <v>140</v>
      </c>
      <c r="B2" s="3">
        <v>63</v>
      </c>
      <c r="C2" s="3">
        <v>59</v>
      </c>
      <c r="D2" s="3">
        <v>4</v>
      </c>
      <c r="E2" s="4">
        <v>7</v>
      </c>
      <c r="F2" s="4">
        <v>7</v>
      </c>
      <c r="G2" s="4">
        <v>7</v>
      </c>
      <c r="H2" s="4">
        <v>7</v>
      </c>
      <c r="I2" s="4">
        <v>7</v>
      </c>
      <c r="J2" s="4">
        <v>7</v>
      </c>
      <c r="K2" s="4">
        <v>7</v>
      </c>
      <c r="L2" s="4">
        <v>7</v>
      </c>
      <c r="M2" s="4">
        <v>7</v>
      </c>
      <c r="N2" s="4">
        <v>7</v>
      </c>
      <c r="O2" s="4">
        <v>7</v>
      </c>
      <c r="P2" s="4">
        <v>7</v>
      </c>
      <c r="Q2" s="4">
        <v>7</v>
      </c>
      <c r="R2" s="4">
        <v>7</v>
      </c>
      <c r="S2" s="4">
        <v>7</v>
      </c>
      <c r="V2" s="30">
        <v>0</v>
      </c>
      <c r="W2" s="22" t="s">
        <v>141</v>
      </c>
      <c r="X2" s="31" t="str">
        <f>S34</f>
        <v>528183AC</v>
      </c>
      <c r="Y2" t="str">
        <f t="shared" ref="Y2:Y33" si="0">"0x"&amp;RIGHT("00000000"&amp;X2,8)&amp;","</f>
        <v>0x528183AC,</v>
      </c>
      <c r="Z2" s="32" t="s">
        <v>142</v>
      </c>
    </row>
    <row r="3" spans="1:26">
      <c r="A3" s="3" t="s">
        <v>143</v>
      </c>
      <c r="B3" s="3">
        <v>58</v>
      </c>
      <c r="C3" s="3">
        <v>58</v>
      </c>
      <c r="D3" s="3">
        <v>0</v>
      </c>
      <c r="E3" s="4">
        <v>0</v>
      </c>
      <c r="F3" s="4">
        <v>1</v>
      </c>
      <c r="G3" s="4">
        <v>1</v>
      </c>
      <c r="H3" s="4">
        <v>1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30"/>
      <c r="W3" s="22" t="s">
        <v>144</v>
      </c>
      <c r="X3" s="31" t="str">
        <f>S33</f>
        <v>3BF4C10A</v>
      </c>
      <c r="Y3" t="str">
        <f t="shared" si="0"/>
        <v>0x3BF4C10A,</v>
      </c>
      <c r="Z3" s="32"/>
    </row>
    <row r="4" spans="1:26">
      <c r="A4" s="3" t="s">
        <v>145</v>
      </c>
      <c r="B4" s="3">
        <v>57</v>
      </c>
      <c r="C4" s="3">
        <v>55</v>
      </c>
      <c r="D4" s="3">
        <v>7</v>
      </c>
      <c r="E4" s="4">
        <v>7</v>
      </c>
      <c r="F4" s="4">
        <v>7</v>
      </c>
      <c r="G4" s="4">
        <v>7</v>
      </c>
      <c r="H4" s="4">
        <v>7</v>
      </c>
      <c r="I4" s="4">
        <v>7</v>
      </c>
      <c r="J4" s="4">
        <v>7</v>
      </c>
      <c r="K4" s="4">
        <v>7</v>
      </c>
      <c r="L4" s="4">
        <v>7</v>
      </c>
      <c r="M4" s="4">
        <v>7</v>
      </c>
      <c r="N4" s="4">
        <v>7</v>
      </c>
      <c r="O4" s="4">
        <v>7</v>
      </c>
      <c r="P4" s="4">
        <v>7</v>
      </c>
      <c r="Q4" s="4">
        <v>7</v>
      </c>
      <c r="R4" s="4">
        <v>7</v>
      </c>
      <c r="S4" s="4">
        <v>7</v>
      </c>
      <c r="V4" s="30">
        <v>1</v>
      </c>
      <c r="W4" s="22" t="s">
        <v>141</v>
      </c>
      <c r="X4" s="31" t="str">
        <f>R34</f>
        <v>528183AC</v>
      </c>
      <c r="Y4" t="str">
        <f t="shared" si="0"/>
        <v>0x528183AC,</v>
      </c>
      <c r="Z4" s="32" t="s">
        <v>146</v>
      </c>
    </row>
    <row r="5" spans="1:26">
      <c r="A5" s="3" t="s">
        <v>147</v>
      </c>
      <c r="B5" s="3">
        <v>54</v>
      </c>
      <c r="C5" s="3">
        <v>52</v>
      </c>
      <c r="D5" s="3">
        <v>0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 t="s">
        <v>144</v>
      </c>
      <c r="X5" s="31" t="str">
        <f>R33</f>
        <v>3BF4C150</v>
      </c>
      <c r="Y5" t="str">
        <f t="shared" si="0"/>
        <v>0x3BF4C150,</v>
      </c>
      <c r="Z5" s="32"/>
    </row>
    <row r="6" spans="1:26">
      <c r="A6" s="3" t="s">
        <v>148</v>
      </c>
      <c r="B6" s="3">
        <v>51</v>
      </c>
      <c r="C6" s="3">
        <v>51</v>
      </c>
      <c r="D6" s="3">
        <v>1</v>
      </c>
      <c r="E6" s="4">
        <v>1</v>
      </c>
      <c r="F6" s="4">
        <v>1</v>
      </c>
      <c r="G6" s="4">
        <v>1</v>
      </c>
      <c r="H6" s="4">
        <v>1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V6" s="30">
        <v>2</v>
      </c>
      <c r="W6" s="22" t="s">
        <v>141</v>
      </c>
      <c r="X6" s="31" t="str">
        <f>Q34</f>
        <v>528183AC</v>
      </c>
      <c r="Y6" t="str">
        <f t="shared" si="0"/>
        <v>0x528183AC,</v>
      </c>
      <c r="Z6" s="32" t="s">
        <v>149</v>
      </c>
    </row>
    <row r="7" spans="1:26">
      <c r="A7" s="3" t="s">
        <v>150</v>
      </c>
      <c r="B7" s="3">
        <v>50</v>
      </c>
      <c r="C7" s="3">
        <v>47</v>
      </c>
      <c r="D7" s="3">
        <v>15</v>
      </c>
      <c r="E7" s="4">
        <v>15</v>
      </c>
      <c r="F7" s="4">
        <v>15</v>
      </c>
      <c r="G7" s="4">
        <v>15</v>
      </c>
      <c r="H7" s="4">
        <v>15</v>
      </c>
      <c r="I7" s="4">
        <v>14</v>
      </c>
      <c r="J7" s="4">
        <v>13</v>
      </c>
      <c r="K7" s="4">
        <v>12</v>
      </c>
      <c r="L7" s="4">
        <v>12</v>
      </c>
      <c r="M7" s="4">
        <v>10</v>
      </c>
      <c r="N7" s="4">
        <v>10</v>
      </c>
      <c r="O7" s="4">
        <v>9</v>
      </c>
      <c r="P7" s="4">
        <v>9</v>
      </c>
      <c r="Q7" s="4">
        <v>9</v>
      </c>
      <c r="R7" s="4">
        <v>9</v>
      </c>
      <c r="S7" s="4">
        <v>9</v>
      </c>
      <c r="V7" s="30"/>
      <c r="W7" s="22" t="s">
        <v>144</v>
      </c>
      <c r="X7" s="31" t="str">
        <f>Q33</f>
        <v>3BF4C1B4</v>
      </c>
      <c r="Y7" t="str">
        <f t="shared" si="0"/>
        <v>0x3BF4C1B4,</v>
      </c>
      <c r="Z7" s="32"/>
    </row>
    <row r="8" spans="1:26">
      <c r="A8" s="3" t="s">
        <v>151</v>
      </c>
      <c r="B8" s="3">
        <v>46</v>
      </c>
      <c r="C8" s="3">
        <v>46</v>
      </c>
      <c r="D8" s="3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V8" s="30">
        <v>3</v>
      </c>
      <c r="W8" s="22" t="s">
        <v>141</v>
      </c>
      <c r="X8" s="31" t="str">
        <f>P34</f>
        <v>538183AF</v>
      </c>
      <c r="Y8" t="str">
        <f t="shared" si="0"/>
        <v>0x538183AF,</v>
      </c>
      <c r="Z8" s="32" t="s">
        <v>152</v>
      </c>
    </row>
    <row r="9" spans="1:26">
      <c r="A9" s="3" t="s">
        <v>153</v>
      </c>
      <c r="B9" s="3">
        <v>45</v>
      </c>
      <c r="C9" s="3">
        <v>45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 t="s">
        <v>144</v>
      </c>
      <c r="X9" s="31" t="str">
        <f>P33</f>
        <v>3BF4C24F</v>
      </c>
      <c r="Y9" t="str">
        <f t="shared" si="0"/>
        <v>0x3BF4C24F,</v>
      </c>
      <c r="Z9" s="32"/>
    </row>
    <row r="10" spans="1:26">
      <c r="A10" s="3" t="s">
        <v>154</v>
      </c>
      <c r="B10" s="3">
        <v>44</v>
      </c>
      <c r="C10" s="3">
        <v>43</v>
      </c>
      <c r="D10" s="3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V10" s="30">
        <v>4</v>
      </c>
      <c r="W10" s="22" t="s">
        <v>141</v>
      </c>
      <c r="X10" s="31" t="str">
        <f>O34</f>
        <v>528143AC</v>
      </c>
      <c r="Y10" t="str">
        <f t="shared" si="0"/>
        <v>0x528143AC,</v>
      </c>
      <c r="Z10" s="32" t="s">
        <v>155</v>
      </c>
    </row>
    <row r="11" spans="1:26">
      <c r="A11" s="3" t="s">
        <v>156</v>
      </c>
      <c r="B11" s="3">
        <v>42</v>
      </c>
      <c r="C11" s="3">
        <v>37</v>
      </c>
      <c r="D11" s="3">
        <v>63</v>
      </c>
      <c r="E11" s="5">
        <v>63</v>
      </c>
      <c r="F11" s="5">
        <v>34</v>
      </c>
      <c r="G11" s="5" t="s">
        <v>207</v>
      </c>
      <c r="H11" s="5">
        <v>17</v>
      </c>
      <c r="I11" s="5">
        <v>17</v>
      </c>
      <c r="J11" s="5">
        <v>18</v>
      </c>
      <c r="K11" s="5">
        <v>17</v>
      </c>
      <c r="L11" s="5">
        <v>16</v>
      </c>
      <c r="M11" s="5">
        <v>16</v>
      </c>
      <c r="N11" s="5">
        <v>16</v>
      </c>
      <c r="O11" s="5">
        <v>21</v>
      </c>
      <c r="P11" s="5">
        <v>18</v>
      </c>
      <c r="Q11" s="5">
        <v>13</v>
      </c>
      <c r="R11" s="5">
        <v>10</v>
      </c>
      <c r="S11" s="5">
        <v>8</v>
      </c>
      <c r="V11" s="30"/>
      <c r="W11" s="22" t="s">
        <v>144</v>
      </c>
      <c r="X11" s="31" t="str">
        <f>O33</f>
        <v>3BF4C2B3</v>
      </c>
      <c r="Y11" t="str">
        <f t="shared" si="0"/>
        <v>0x3BF4C2B3,</v>
      </c>
      <c r="Z11" s="32"/>
    </row>
    <row r="12" spans="1:26">
      <c r="A12" s="3" t="s">
        <v>160</v>
      </c>
      <c r="B12" s="3">
        <v>36</v>
      </c>
      <c r="C12" s="3">
        <v>32</v>
      </c>
      <c r="D12" s="3">
        <v>30</v>
      </c>
      <c r="E12" s="7">
        <v>31</v>
      </c>
      <c r="F12" s="7">
        <v>4</v>
      </c>
      <c r="G12" s="7">
        <v>4</v>
      </c>
      <c r="H12" s="7">
        <v>4</v>
      </c>
      <c r="I12" s="7">
        <v>18</v>
      </c>
      <c r="J12" s="7">
        <v>23</v>
      </c>
      <c r="K12" s="7">
        <v>18</v>
      </c>
      <c r="L12" s="7">
        <v>20</v>
      </c>
      <c r="M12" s="7">
        <v>27</v>
      </c>
      <c r="N12" s="7">
        <v>1</v>
      </c>
      <c r="O12" s="7">
        <v>19</v>
      </c>
      <c r="P12" s="7">
        <v>15</v>
      </c>
      <c r="Q12" s="7">
        <v>20</v>
      </c>
      <c r="R12" s="7">
        <v>16</v>
      </c>
      <c r="S12" s="7">
        <v>10</v>
      </c>
      <c r="V12" s="30">
        <v>5</v>
      </c>
      <c r="W12" s="22" t="s">
        <v>141</v>
      </c>
      <c r="X12" s="31" t="str">
        <f>N34</f>
        <v>538143AF</v>
      </c>
      <c r="Y12" t="str">
        <f t="shared" si="0"/>
        <v>0x538143AF,</v>
      </c>
      <c r="Z12" s="32" t="s">
        <v>163</v>
      </c>
    </row>
    <row r="13" spans="1:26">
      <c r="A13" s="3" t="s">
        <v>164</v>
      </c>
      <c r="B13" s="3">
        <v>31</v>
      </c>
      <c r="C13" s="3">
        <v>29</v>
      </c>
      <c r="D13" s="3">
        <v>2</v>
      </c>
      <c r="E13" s="7" t="s">
        <v>118</v>
      </c>
      <c r="F13" s="7">
        <v>3</v>
      </c>
      <c r="G13" s="7">
        <v>3</v>
      </c>
      <c r="H13" s="7">
        <v>3</v>
      </c>
      <c r="I13" s="7" t="s">
        <v>118</v>
      </c>
      <c r="J13" s="7">
        <v>2</v>
      </c>
      <c r="K13" s="7" t="s">
        <v>118</v>
      </c>
      <c r="L13" s="7">
        <v>2</v>
      </c>
      <c r="M13" s="7" t="s">
        <v>118</v>
      </c>
      <c r="N13" s="7">
        <v>2</v>
      </c>
      <c r="O13" s="7" t="s">
        <v>118</v>
      </c>
      <c r="P13" s="7">
        <v>2</v>
      </c>
      <c r="Q13" s="7" t="s">
        <v>118</v>
      </c>
      <c r="R13" s="7" t="s">
        <v>118</v>
      </c>
      <c r="S13" s="7" t="s">
        <v>118</v>
      </c>
      <c r="V13" s="30"/>
      <c r="W13" s="22" t="s">
        <v>144</v>
      </c>
      <c r="X13" s="31" t="str">
        <f>N33</f>
        <v>3BF54201</v>
      </c>
      <c r="Y13" t="str">
        <f t="shared" si="0"/>
        <v>0x3BF54201,</v>
      </c>
      <c r="Z13" s="32"/>
    </row>
    <row r="14" spans="1:26">
      <c r="A14" s="3" t="s">
        <v>165</v>
      </c>
      <c r="B14" s="3">
        <v>28</v>
      </c>
      <c r="C14" s="3">
        <v>27</v>
      </c>
      <c r="D14" s="3">
        <v>2</v>
      </c>
      <c r="E14" s="7">
        <v>2</v>
      </c>
      <c r="F14" s="7">
        <v>1</v>
      </c>
      <c r="G14" s="7">
        <v>1</v>
      </c>
      <c r="H14" s="7">
        <v>1</v>
      </c>
      <c r="I14" s="7">
        <v>2</v>
      </c>
      <c r="J14" s="7">
        <v>2</v>
      </c>
      <c r="K14" s="7">
        <v>2</v>
      </c>
      <c r="L14" s="7">
        <v>2</v>
      </c>
      <c r="M14" s="7">
        <v>2</v>
      </c>
      <c r="N14" s="7">
        <v>2</v>
      </c>
      <c r="O14" s="7">
        <v>2</v>
      </c>
      <c r="P14" s="7">
        <v>2</v>
      </c>
      <c r="Q14" s="7">
        <v>2</v>
      </c>
      <c r="R14" s="7">
        <v>2</v>
      </c>
      <c r="S14" s="7">
        <v>2</v>
      </c>
      <c r="V14" s="30">
        <v>6</v>
      </c>
      <c r="W14" s="22" t="s">
        <v>141</v>
      </c>
      <c r="X14" s="31" t="str">
        <f>M34</f>
        <v>528143AC</v>
      </c>
      <c r="Y14" t="str">
        <f t="shared" si="0"/>
        <v>0x528143AC,</v>
      </c>
      <c r="Z14" s="32" t="s">
        <v>166</v>
      </c>
    </row>
    <row r="15" spans="1:26">
      <c r="A15" s="3" t="s">
        <v>167</v>
      </c>
      <c r="B15" s="3">
        <v>26</v>
      </c>
      <c r="C15" s="3">
        <v>24</v>
      </c>
      <c r="D15" s="3">
        <v>1</v>
      </c>
      <c r="E15" s="4" t="s">
        <v>86</v>
      </c>
      <c r="F15" s="4">
        <v>0</v>
      </c>
      <c r="G15" s="4">
        <v>0</v>
      </c>
      <c r="H15" s="4">
        <v>0</v>
      </c>
      <c r="I15" s="4" t="s">
        <v>118</v>
      </c>
      <c r="J15" s="3">
        <v>2</v>
      </c>
      <c r="K15" s="4" t="s">
        <v>118</v>
      </c>
      <c r="L15" s="4">
        <v>2</v>
      </c>
      <c r="M15" s="3">
        <v>2</v>
      </c>
      <c r="N15" s="3">
        <v>3</v>
      </c>
      <c r="O15" s="4" t="s">
        <v>118</v>
      </c>
      <c r="P15" s="3">
        <v>3</v>
      </c>
      <c r="Q15" s="4" t="s">
        <v>118</v>
      </c>
      <c r="R15" s="4" t="s">
        <v>118</v>
      </c>
      <c r="S15" s="4" t="s">
        <v>118</v>
      </c>
      <c r="V15" s="30"/>
      <c r="W15" s="22" t="s">
        <v>144</v>
      </c>
      <c r="X15" s="31" t="str">
        <f>M33</f>
        <v>3BF5421B</v>
      </c>
      <c r="Y15" t="str">
        <f t="shared" si="0"/>
        <v>0x3BF5421B,</v>
      </c>
      <c r="Z15" s="32"/>
    </row>
    <row r="16" spans="1:26">
      <c r="A16" s="3" t="s">
        <v>168</v>
      </c>
      <c r="B16" s="3">
        <v>23</v>
      </c>
      <c r="C16" s="3">
        <v>18</v>
      </c>
      <c r="D16" s="3">
        <v>59</v>
      </c>
      <c r="E16" s="4">
        <v>32</v>
      </c>
      <c r="F16" s="4">
        <v>48</v>
      </c>
      <c r="G16" s="4">
        <v>48</v>
      </c>
      <c r="H16" s="4">
        <v>48</v>
      </c>
      <c r="I16" s="4">
        <v>32</v>
      </c>
      <c r="J16" s="4">
        <v>32</v>
      </c>
      <c r="K16" s="4">
        <v>32</v>
      </c>
      <c r="L16" s="4">
        <v>32</v>
      </c>
      <c r="M16" s="4">
        <v>32</v>
      </c>
      <c r="N16" s="4">
        <v>32</v>
      </c>
      <c r="O16" s="4">
        <v>32</v>
      </c>
      <c r="P16" s="4">
        <v>32</v>
      </c>
      <c r="Q16" s="4">
        <v>32</v>
      </c>
      <c r="R16" s="4">
        <v>32</v>
      </c>
      <c r="S16" s="4">
        <v>32</v>
      </c>
      <c r="V16" s="30">
        <v>7</v>
      </c>
      <c r="W16" s="22" t="s">
        <v>141</v>
      </c>
      <c r="X16" s="31" t="str">
        <f>L34</f>
        <v>528143AF</v>
      </c>
      <c r="Y16" t="str">
        <f t="shared" si="0"/>
        <v>0x528143AF,</v>
      </c>
      <c r="Z16" s="32" t="s">
        <v>169</v>
      </c>
    </row>
    <row r="17" spans="1:26">
      <c r="A17" s="3" t="s">
        <v>170</v>
      </c>
      <c r="B17" s="3">
        <v>17</v>
      </c>
      <c r="C17" s="3">
        <v>12</v>
      </c>
      <c r="D17" s="3">
        <v>51</v>
      </c>
      <c r="E17" s="4">
        <v>40</v>
      </c>
      <c r="F17" s="4">
        <v>48</v>
      </c>
      <c r="G17" s="4">
        <v>48</v>
      </c>
      <c r="H17" s="4">
        <v>48</v>
      </c>
      <c r="I17" s="4" t="s">
        <v>162</v>
      </c>
      <c r="J17" s="4">
        <v>24</v>
      </c>
      <c r="K17" s="4" t="s">
        <v>162</v>
      </c>
      <c r="L17" s="4">
        <v>20</v>
      </c>
      <c r="M17" s="4" t="s">
        <v>158</v>
      </c>
      <c r="N17" s="4">
        <v>20</v>
      </c>
      <c r="O17" s="4" t="s">
        <v>158</v>
      </c>
      <c r="P17" s="4">
        <v>24</v>
      </c>
      <c r="Q17" s="4">
        <v>24</v>
      </c>
      <c r="R17" s="4">
        <v>24</v>
      </c>
      <c r="S17" s="4">
        <v>24</v>
      </c>
      <c r="V17" s="30"/>
      <c r="W17" s="22" t="s">
        <v>144</v>
      </c>
      <c r="X17" s="31" t="str">
        <f>L33</f>
        <v>3BF64214</v>
      </c>
      <c r="Y17" t="str">
        <f t="shared" si="0"/>
        <v>0x3BF64214,</v>
      </c>
      <c r="Z17" s="32"/>
    </row>
    <row r="18" spans="1:26">
      <c r="A18" s="3" t="s">
        <v>171</v>
      </c>
      <c r="B18" s="3">
        <v>11</v>
      </c>
      <c r="C18" s="3">
        <v>7</v>
      </c>
      <c r="D18" s="3">
        <v>7</v>
      </c>
      <c r="E18" s="4" t="s">
        <v>127</v>
      </c>
      <c r="F18" s="4">
        <v>7</v>
      </c>
      <c r="G18" s="4">
        <v>7</v>
      </c>
      <c r="H18" s="4">
        <v>7</v>
      </c>
      <c r="I18" s="4" t="s">
        <v>127</v>
      </c>
      <c r="J18" s="4">
        <v>7</v>
      </c>
      <c r="K18" s="4" t="s">
        <v>127</v>
      </c>
      <c r="L18" s="4">
        <v>7</v>
      </c>
      <c r="M18" s="4" t="s">
        <v>127</v>
      </c>
      <c r="N18" s="4">
        <v>7</v>
      </c>
      <c r="O18" s="4" t="s">
        <v>127</v>
      </c>
      <c r="P18" s="4">
        <v>7</v>
      </c>
      <c r="Q18" s="4" t="s">
        <v>127</v>
      </c>
      <c r="R18" s="4" t="s">
        <v>127</v>
      </c>
      <c r="S18" s="4" t="s">
        <v>127</v>
      </c>
      <c r="V18" s="30">
        <v>8</v>
      </c>
      <c r="W18" s="22" t="s">
        <v>141</v>
      </c>
      <c r="X18" s="31" t="str">
        <f>K34</f>
        <v>528183AC</v>
      </c>
      <c r="Y18" t="str">
        <f t="shared" si="0"/>
        <v>0x528183AC,</v>
      </c>
      <c r="Z18" s="32" t="s">
        <v>172</v>
      </c>
    </row>
    <row r="19" spans="1:26">
      <c r="A19" s="3" t="s">
        <v>173</v>
      </c>
      <c r="B19" s="3">
        <v>6</v>
      </c>
      <c r="C19" s="3">
        <v>3</v>
      </c>
      <c r="D19" s="3">
        <v>5</v>
      </c>
      <c r="E19" s="4" t="s">
        <v>197</v>
      </c>
      <c r="F19" s="3">
        <v>5</v>
      </c>
      <c r="G19" s="3">
        <v>5</v>
      </c>
      <c r="H19" s="3">
        <v>5</v>
      </c>
      <c r="I19" s="4" t="s">
        <v>197</v>
      </c>
      <c r="J19" s="4">
        <v>5</v>
      </c>
      <c r="K19" s="4" t="s">
        <v>197</v>
      </c>
      <c r="L19" s="3">
        <v>5</v>
      </c>
      <c r="M19" s="4" t="s">
        <v>197</v>
      </c>
      <c r="N19" s="4">
        <v>5</v>
      </c>
      <c r="O19" s="4" t="s">
        <v>197</v>
      </c>
      <c r="P19" s="3">
        <v>5</v>
      </c>
      <c r="Q19" s="4" t="s">
        <v>197</v>
      </c>
      <c r="R19" s="4" t="s">
        <v>197</v>
      </c>
      <c r="S19" s="4" t="s">
        <v>197</v>
      </c>
      <c r="V19" s="30"/>
      <c r="W19" s="22" t="s">
        <v>144</v>
      </c>
      <c r="X19" s="31" t="str">
        <f>K33</f>
        <v>3BF64232</v>
      </c>
      <c r="Y19" t="str">
        <f t="shared" si="0"/>
        <v>0x3BF64232,</v>
      </c>
      <c r="Z19" s="32"/>
    </row>
    <row r="20" spans="1:26">
      <c r="A20" s="3" t="s">
        <v>174</v>
      </c>
      <c r="B20" s="3">
        <v>2</v>
      </c>
      <c r="C20" s="3">
        <v>0</v>
      </c>
      <c r="D20" s="3">
        <v>4</v>
      </c>
      <c r="E20" s="4">
        <v>4</v>
      </c>
      <c r="F20" s="4">
        <v>7</v>
      </c>
      <c r="G20" s="4">
        <v>7</v>
      </c>
      <c r="H20" s="4">
        <v>7</v>
      </c>
      <c r="I20" s="4">
        <v>4</v>
      </c>
      <c r="J20" s="4">
        <v>7</v>
      </c>
      <c r="K20" s="4">
        <v>4</v>
      </c>
      <c r="L20" s="4">
        <v>7</v>
      </c>
      <c r="M20" s="4">
        <v>4</v>
      </c>
      <c r="N20" s="4">
        <v>7</v>
      </c>
      <c r="O20" s="4">
        <v>4</v>
      </c>
      <c r="P20" s="4">
        <v>7</v>
      </c>
      <c r="Q20" s="4">
        <v>4</v>
      </c>
      <c r="R20" s="4">
        <v>4</v>
      </c>
      <c r="S20" s="4">
        <v>4</v>
      </c>
      <c r="V20" s="30">
        <v>9</v>
      </c>
      <c r="W20" s="22" t="s">
        <v>141</v>
      </c>
      <c r="X20" s="31" t="str">
        <f>J34</f>
        <v>528183AF</v>
      </c>
      <c r="Y20" t="str">
        <f t="shared" si="0"/>
        <v>0x528183AF,</v>
      </c>
      <c r="Z20" s="32" t="s">
        <v>175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 t="s">
        <v>144</v>
      </c>
      <c r="X21" s="31" t="str">
        <f>J33</f>
        <v>3BF6C257</v>
      </c>
      <c r="Y21" t="str">
        <f t="shared" si="0"/>
        <v>0x3BF6C257,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176</v>
      </c>
      <c r="W22" s="22" t="s">
        <v>141</v>
      </c>
      <c r="X22" s="31" t="str">
        <f>I34</f>
        <v>528183AC</v>
      </c>
      <c r="Y22" t="str">
        <f t="shared" si="0"/>
        <v>0x528183AC,</v>
      </c>
      <c r="Z22" s="32" t="s">
        <v>177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 t="s">
        <v>144</v>
      </c>
      <c r="X23" s="31" t="str">
        <f>I33</f>
        <v>3BF74232</v>
      </c>
      <c r="Y23" t="str">
        <f t="shared" si="0"/>
        <v>0x3BF74232,</v>
      </c>
      <c r="Z23" s="32"/>
    </row>
    <row r="24" spans="1:26">
      <c r="A24" s="12" t="s">
        <v>178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179</v>
      </c>
      <c r="W24" s="22" t="s">
        <v>141</v>
      </c>
      <c r="X24" s="31" t="str">
        <f>H34</f>
        <v>68C303AF</v>
      </c>
      <c r="Y24" t="str">
        <f t="shared" si="0"/>
        <v>0x68C303AF,</v>
      </c>
      <c r="Z24" s="32" t="s">
        <v>180</v>
      </c>
    </row>
    <row r="25" spans="1:26">
      <c r="A25" s="12" t="s">
        <v>181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 t="s">
        <v>144</v>
      </c>
      <c r="X25" s="31" t="str">
        <f>H33</f>
        <v>3FFFC224</v>
      </c>
      <c r="Y25" t="str">
        <f t="shared" si="0"/>
        <v>0x3FFFC224,</v>
      </c>
      <c r="Z25" s="32"/>
    </row>
    <row r="26" spans="1:26">
      <c r="A26" s="12" t="s">
        <v>182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183</v>
      </c>
      <c r="W26" s="22" t="s">
        <v>141</v>
      </c>
      <c r="X26" s="31" t="str">
        <f>G34</f>
        <v>68C303AF</v>
      </c>
      <c r="Y26" t="str">
        <f t="shared" si="0"/>
        <v>0x68C303AF,</v>
      </c>
      <c r="Z26" s="32" t="s">
        <v>184</v>
      </c>
    </row>
    <row r="27" spans="1:26">
      <c r="A27" s="15" t="s">
        <v>185</v>
      </c>
      <c r="V27" s="30"/>
      <c r="W27" s="22" t="s">
        <v>144</v>
      </c>
      <c r="X27" s="31" t="str">
        <f>G33</f>
        <v>3FFFC344</v>
      </c>
      <c r="Y27" t="str">
        <f t="shared" si="0"/>
        <v>0x3FFFC344,</v>
      </c>
      <c r="Z27" s="32"/>
    </row>
    <row r="28" spans="22:26">
      <c r="V28" s="30" t="s">
        <v>186</v>
      </c>
      <c r="W28" s="22" t="s">
        <v>141</v>
      </c>
      <c r="X28" s="31" t="str">
        <f>F34</f>
        <v>68C303AF</v>
      </c>
      <c r="Y28" t="str">
        <f t="shared" si="0"/>
        <v>0x68C303AF,</v>
      </c>
      <c r="Z28" s="32" t="s">
        <v>187</v>
      </c>
    </row>
    <row r="29" spans="22:26">
      <c r="V29" s="30"/>
      <c r="W29" s="22" t="s">
        <v>144</v>
      </c>
      <c r="X29" s="31" t="str">
        <f>F33</f>
        <v>3FFFC444</v>
      </c>
      <c r="Y29" t="str">
        <f t="shared" si="0"/>
        <v>0x3FFFC444,</v>
      </c>
      <c r="Z29" s="32"/>
    </row>
    <row r="30" spans="22:26">
      <c r="V30" s="30" t="s">
        <v>188</v>
      </c>
      <c r="W30" s="22" t="s">
        <v>141</v>
      </c>
      <c r="X30" s="31" t="str">
        <f>E34</f>
        <v>518283AC</v>
      </c>
      <c r="Y30" t="str">
        <f t="shared" si="0"/>
        <v>0x518283AC,</v>
      </c>
      <c r="Z30" s="32" t="s">
        <v>189</v>
      </c>
    </row>
    <row r="31" spans="1:26">
      <c r="A31" t="s">
        <v>190</v>
      </c>
      <c r="V31" s="30"/>
      <c r="W31" s="22" t="s">
        <v>144</v>
      </c>
      <c r="X31" s="31" t="str">
        <f>E33</f>
        <v>3BFFC7FF</v>
      </c>
      <c r="Y31" t="str">
        <f t="shared" si="0"/>
        <v>0x3BFFC7FF,</v>
      </c>
      <c r="Z31" s="32"/>
    </row>
    <row r="32" spans="1:26">
      <c r="A32" s="16" t="s">
        <v>191</v>
      </c>
      <c r="B32" s="16"/>
      <c r="C32" s="16"/>
      <c r="D32" s="17">
        <v>26</v>
      </c>
      <c r="E32" s="17">
        <v>24</v>
      </c>
      <c r="F32" s="17">
        <v>22</v>
      </c>
      <c r="G32" s="17">
        <v>20</v>
      </c>
      <c r="H32" s="17">
        <v>18</v>
      </c>
      <c r="I32" s="17">
        <v>16</v>
      </c>
      <c r="J32" s="17">
        <v>14</v>
      </c>
      <c r="K32" s="17">
        <v>12</v>
      </c>
      <c r="L32" s="17">
        <v>10</v>
      </c>
      <c r="M32" s="17">
        <v>8</v>
      </c>
      <c r="N32" s="17">
        <v>6</v>
      </c>
      <c r="O32" s="17">
        <v>4</v>
      </c>
      <c r="P32" s="17">
        <v>2</v>
      </c>
      <c r="Q32" s="17">
        <v>0</v>
      </c>
      <c r="R32" s="17">
        <v>-2</v>
      </c>
      <c r="S32" s="17">
        <v>-4</v>
      </c>
      <c r="V32" s="30" t="s">
        <v>192</v>
      </c>
      <c r="W32" s="22" t="s">
        <v>141</v>
      </c>
      <c r="X32" s="31" t="str">
        <f>D34</f>
        <v>51EF33AC</v>
      </c>
      <c r="Y32" t="str">
        <f t="shared" si="0"/>
        <v>0x51EF33AC,</v>
      </c>
      <c r="Z32" s="32" t="s">
        <v>193</v>
      </c>
    </row>
    <row r="33" spans="1:26">
      <c r="A33" s="18" t="s">
        <v>144</v>
      </c>
      <c r="B33" s="19"/>
      <c r="C33" s="19"/>
      <c r="D33" s="18" t="str">
        <f>DEC2HEX(POWER(2,$C12-32)*D12+POWER(2,$C11-32)*D11+POWER(2,$C10-32)*D10+POWER(2,$C9-32)*D9+POWER(2,$C8-32)*D8+POWER(2,$C7-32)*D7+POWER(2,$C6-32)*D6+POWER(2,$C5-32)*D5+POWER(2,$C4-32)*D4+POWER(2,$C3-32)*D3+POWER(2,$C2-32)*D2)</f>
        <v>238FC7FE</v>
      </c>
      <c r="E33" s="18" t="str">
        <f>DEC2HEX(POWER(2,$C12-32)*E12+POWER(2,$C11-32)*E11+POWER(2,$C10-32)*E10+POWER(2,$C9-32)*E9+POWER(2,$C8-32)*E8+POWER(2,$C7-32)*E7+POWER(2,$C6-32)*E6+POWER(2,$C5-32)*E5+POWER(2,$C4-32)*E4+POWER(2,$C3-32)*E3+POWER(2,$C2-32)*E2)</f>
        <v>3BFFC7FF</v>
      </c>
      <c r="F33" s="18" t="str">
        <f>DEC2HEX(POWER(2,$C12-32)*F12+POWER(2,$C11-32)*F11+POWER(2,$C10-32)*F10+POWER(2,$C9-32)*F9+POWER(2,$C8-32)*F8+POWER(2,$C7-32)*F7+POWER(2,$C6-32)*F6+POWER(2,$C5-32)*F5+POWER(2,$C4-32)*F4+POWER(2,$C3-32)*F3+POWER(2,$C2-32)*F2)</f>
        <v>3FFFC444</v>
      </c>
      <c r="G33" s="18" t="str">
        <f>DEC2HEX(POWER(2,$C12-32)*G12+POWER(2,$C11-32)*G11+POWER(2,$C10-32)*G10+POWER(2,$C9-32)*G9+POWER(2,$C8-32)*G8+POWER(2,$C7-32)*G7+POWER(2,$C6-32)*G6+POWER(2,$C5-32)*G5+POWER(2,$C4-32)*G4+POWER(2,$C3-32)*G3+POWER(2,$C2-32)*G2)</f>
        <v>3FFFC344</v>
      </c>
      <c r="H33" s="18" t="str">
        <f>DEC2HEX(POWER(2,$C12-32)*H12+POWER(2,$C11-32)*H11+POWER(2,$C10-32)*H10+POWER(2,$C9-32)*H9+POWER(2,$C8-32)*H8+POWER(2,$C7-32)*H7+POWER(2,$C6-32)*H6+POWER(2,$C5-32)*H5+POWER(2,$C4-32)*H4+POWER(2,$C3-32)*H3+POWER(2,$C2-32)*H2)</f>
        <v>3FFFC224</v>
      </c>
      <c r="I33" s="18" t="str">
        <f>DEC2HEX(POWER(2,$C12-32)*I12+POWER(2,$C11-32)*I11+POWER(2,$C10-32)*I10+POWER(2,$C9-32)*I9+POWER(2,$C8-32)*I8+POWER(2,$C7-32)*I7+POWER(2,$C6-32)*I6+POWER(2,$C5-32)*I5+POWER(2,$C4-32)*I4+POWER(2,$C3-32)*I3+POWER(2,$C2-32)*I2)</f>
        <v>3BF74232</v>
      </c>
      <c r="J33" s="18" t="str">
        <f>DEC2HEX(POWER(2,$C12-32)*J12+POWER(2,$C11-32)*J11+POWER(2,$C10-32)*J10+POWER(2,$C9-32)*J9+POWER(2,$C8-32)*J8+POWER(2,$C7-32)*J7+POWER(2,$C6-32)*J6+POWER(2,$C5-32)*J5+POWER(2,$C4-32)*J4+POWER(2,$C3-32)*J3+POWER(2,$C2-32)*J2)</f>
        <v>3BF6C257</v>
      </c>
      <c r="K33" s="18" t="str">
        <f>DEC2HEX(POWER(2,$C12-32)*K12+POWER(2,$C11-32)*K11+POWER(2,$C10-32)*K10+POWER(2,$C9-32)*K9+POWER(2,$C8-32)*K8+POWER(2,$C7-32)*K7+POWER(2,$C6-32)*K6+POWER(2,$C5-32)*K5+POWER(2,$C4-32)*K4+POWER(2,$C3-32)*K3+POWER(2,$C2-32)*K2)</f>
        <v>3BF64232</v>
      </c>
      <c r="L33" s="18" t="str">
        <f>DEC2HEX(POWER(2,$C12-32)*L12+POWER(2,$C11-32)*L11+POWER(2,$C10-32)*L10+POWER(2,$C9-32)*L9+POWER(2,$C8-32)*L8+POWER(2,$C7-32)*L7+POWER(2,$C6-32)*L6+POWER(2,$C5-32)*L5+POWER(2,$C4-32)*L4+POWER(2,$C3-32)*L3+POWER(2,$C2-32)*L2)</f>
        <v>3BF64214</v>
      </c>
      <c r="M33" s="18" t="str">
        <f>DEC2HEX(POWER(2,$C12-32)*M12+POWER(2,$C11-32)*M11+POWER(2,$C10-32)*M10+POWER(2,$C9-32)*M9+POWER(2,$C8-32)*M8+POWER(2,$C7-32)*M7+POWER(2,$C6-32)*M6+POWER(2,$C5-32)*M5+POWER(2,$C4-32)*M4+POWER(2,$C3-32)*M3+POWER(2,$C2-32)*M2)</f>
        <v>3BF5421B</v>
      </c>
      <c r="N33" s="18" t="str">
        <f>DEC2HEX(POWER(2,$C12-32)*N12+POWER(2,$C11-32)*N11+POWER(2,$C10-32)*N10+POWER(2,$C9-32)*N9+POWER(2,$C8-32)*N8+POWER(2,$C7-32)*N7+POWER(2,$C6-32)*N6+POWER(2,$C5-32)*N5+POWER(2,$C4-32)*N4+POWER(2,$C3-32)*N3+POWER(2,$C2-32)*N2)</f>
        <v>3BF54201</v>
      </c>
      <c r="O33" s="18" t="str">
        <f>DEC2HEX(POWER(2,$C12-32)*O12+POWER(2,$C11-32)*O11+POWER(2,$C10-32)*O10+POWER(2,$C9-32)*O9+POWER(2,$C8-32)*O8+POWER(2,$C7-32)*O7+POWER(2,$C6-32)*O6+POWER(2,$C5-32)*O5+POWER(2,$C4-32)*O4+POWER(2,$C3-32)*O3+POWER(2,$C2-32)*O2)</f>
        <v>3BF4C2B3</v>
      </c>
      <c r="P33" s="18" t="str">
        <f>DEC2HEX(POWER(2,$C12-32)*P12+POWER(2,$C11-32)*P11+POWER(2,$C10-32)*P10+POWER(2,$C9-32)*P9+POWER(2,$C8-32)*P8+POWER(2,$C7-32)*P7+POWER(2,$C6-32)*P6+POWER(2,$C5-32)*P5+POWER(2,$C4-32)*P4+POWER(2,$C3-32)*P3+POWER(2,$C2-32)*P2)</f>
        <v>3BF4C24F</v>
      </c>
      <c r="Q33" s="18" t="str">
        <f>DEC2HEX(POWER(2,$C12-32)*Q12+POWER(2,$C11-32)*Q11+POWER(2,$C10-32)*Q10+POWER(2,$C9-32)*Q9+POWER(2,$C8-32)*Q8+POWER(2,$C7-32)*Q7+POWER(2,$C6-32)*Q6+POWER(2,$C5-32)*Q5+POWER(2,$C4-32)*Q4+POWER(2,$C3-32)*Q3+POWER(2,$C2-32)*Q2)</f>
        <v>3BF4C1B4</v>
      </c>
      <c r="R33" s="18" t="str">
        <f>DEC2HEX(POWER(2,$C12-32)*R12+POWER(2,$C11-32)*R11+POWER(2,$C10-32)*R10+POWER(2,$C9-32)*R9+POWER(2,$C8-32)*R8+POWER(2,$C7-32)*R7+POWER(2,$C6-32)*R6+POWER(2,$C5-32)*R5+POWER(2,$C4-32)*R4+POWER(2,$C3-32)*R3+POWER(2,$C2-32)*R2)</f>
        <v>3BF4C150</v>
      </c>
      <c r="S33" s="18" t="str">
        <f>DEC2HEX(POWER(2,$C12-32)*S12+POWER(2,$C11-32)*S11+POWER(2,$C10-32)*S10+POWER(2,$C9-32)*S9+POWER(2,$C8-32)*S8+POWER(2,$C7-32)*S7+POWER(2,$C6-32)*S6+POWER(2,$C5-32)*S5+POWER(2,$C4-32)*S4+POWER(2,$C3-32)*S3+POWER(2,$C2-32)*S2)</f>
        <v>3BF4C10A</v>
      </c>
      <c r="V33" s="29"/>
      <c r="W33" s="22" t="s">
        <v>144</v>
      </c>
      <c r="X33" s="31" t="str">
        <f>D33</f>
        <v>238FC7FE</v>
      </c>
      <c r="Y33" t="str">
        <f t="shared" si="0"/>
        <v>0x238FC7FE,</v>
      </c>
      <c r="Z33" s="32"/>
    </row>
    <row r="34" spans="1:19">
      <c r="A34" s="18" t="s">
        <v>141</v>
      </c>
      <c r="B34" s="19"/>
      <c r="C34" s="19"/>
      <c r="D34" s="18" t="str">
        <f>DEC2HEX(POWER(2,$C20)*D20+POWER(2,$C19)*D19+POWER(2,$C18)*D18+POWER(2,$C17)*D17+POWER(2,$C16)*D16+POWER(2,$C15)*D15+POWER(2,$C14)*D14+POWER(2,$C13)*D13)</f>
        <v>51EF33AC</v>
      </c>
      <c r="E34" s="18" t="str">
        <f>DEC2HEX(POWER(2,$C20)*E20+POWER(2,$C19)*E19+POWER(2,$C18)*E18+POWER(2,$C17)*E17+POWER(2,$C16)*E16+POWER(2,$C15)*E15+POWER(2,$C14)*E14+POWER(2,$C13)*E13)</f>
        <v>518283AC</v>
      </c>
      <c r="F34" s="18" t="str">
        <f>DEC2HEX(POWER(2,$C20)*F20+POWER(2,$C19)*F19+POWER(2,$C18)*F18+POWER(2,$C17)*F17+POWER(2,$C16)*F16+POWER(2,$C15)*F15+POWER(2,$C14)*F14+POWER(2,$C13)*F13)</f>
        <v>68C303AF</v>
      </c>
      <c r="G34" s="18" t="str">
        <f>DEC2HEX(POWER(2,$C20)*G20+POWER(2,$C19)*G19+POWER(2,$C18)*G18+POWER(2,$C17)*G17+POWER(2,$C16)*G16+POWER(2,$C15)*G15+POWER(2,$C14)*G14+POWER(2,$C13)*G13)</f>
        <v>68C303AF</v>
      </c>
      <c r="H34" s="18" t="str">
        <f>DEC2HEX(POWER(2,$C20)*H20+POWER(2,$C19)*H19+POWER(2,$C18)*H18+POWER(2,$C17)*H17+POWER(2,$C16)*H16+POWER(2,$C15)*H15+POWER(2,$C14)*H14+POWER(2,$C13)*H13)</f>
        <v>68C303AF</v>
      </c>
      <c r="I34" s="18" t="str">
        <f>DEC2HEX(POWER(2,$C20)*I20+POWER(2,$C19)*I19+POWER(2,$C18)*I18+POWER(2,$C17)*I17+POWER(2,$C16)*I16+POWER(2,$C15)*I15+POWER(2,$C14)*I14+POWER(2,$C13)*I13)</f>
        <v>528183AC</v>
      </c>
      <c r="J34" s="18" t="str">
        <f>DEC2HEX(POWER(2,$C20)*J20+POWER(2,$C19)*J19+POWER(2,$C18)*J18+POWER(2,$C17)*J17+POWER(2,$C16)*J16+POWER(2,$C15)*J15+POWER(2,$C14)*J14+POWER(2,$C13)*J13)</f>
        <v>528183AF</v>
      </c>
      <c r="K34" s="18" t="str">
        <f>DEC2HEX(POWER(2,$C20)*K20+POWER(2,$C19)*K19+POWER(2,$C18)*K18+POWER(2,$C17)*K17+POWER(2,$C16)*K16+POWER(2,$C15)*K15+POWER(2,$C14)*K14+POWER(2,$C13)*K13)</f>
        <v>528183AC</v>
      </c>
      <c r="L34" s="18" t="str">
        <f>DEC2HEX(POWER(2,$C20)*L20+POWER(2,$C19)*L19+POWER(2,$C18)*L18+POWER(2,$C17)*L17+POWER(2,$C16)*L16+POWER(2,$C15)*L15+POWER(2,$C14)*L14+POWER(2,$C13)*L13)</f>
        <v>528143AF</v>
      </c>
      <c r="M34" s="18" t="str">
        <f>DEC2HEX(POWER(2,$C20)*M20+POWER(2,$C19)*M19+POWER(2,$C18)*M18+POWER(2,$C17)*M17+POWER(2,$C16)*M16+POWER(2,$C15)*M15+POWER(2,$C14)*M14+POWER(2,$C13)*M13)</f>
        <v>528143AC</v>
      </c>
      <c r="N34" s="18" t="str">
        <f>DEC2HEX(POWER(2,$C20)*N20+POWER(2,$C19)*N19+POWER(2,$C18)*N18+POWER(2,$C17)*N17+POWER(2,$C16)*N16+POWER(2,$C15)*N15+POWER(2,$C14)*N14+POWER(2,$C13)*N13)</f>
        <v>538143AF</v>
      </c>
      <c r="O34" s="18" t="str">
        <f>DEC2HEX(POWER(2,$C20)*O20+POWER(2,$C19)*O19+POWER(2,$C18)*O18+POWER(2,$C17)*O17+POWER(2,$C16)*O16+POWER(2,$C15)*O15+POWER(2,$C14)*O14+POWER(2,$C13)*O13)</f>
        <v>528143AC</v>
      </c>
      <c r="P34" s="18" t="str">
        <f>DEC2HEX(POWER(2,$C20)*P20+POWER(2,$C19)*P19+POWER(2,$C18)*P18+POWER(2,$C17)*P17+POWER(2,$C16)*P16+POWER(2,$C15)*P15+POWER(2,$C14)*P14+POWER(2,$C13)*P13)</f>
        <v>538183AF</v>
      </c>
      <c r="Q34" s="18" t="str">
        <f>DEC2HEX(POWER(2,$C20)*Q20+POWER(2,$C19)*Q19+POWER(2,$C18)*Q18+POWER(2,$C17)*Q17+POWER(2,$C16)*Q16+POWER(2,$C15)*Q15+POWER(2,$C14)*Q14+POWER(2,$C13)*Q13)</f>
        <v>528183AC</v>
      </c>
      <c r="R34" s="18" t="str">
        <f>DEC2HEX(POWER(2,$C20)*R20+POWER(2,$C19)*R19+POWER(2,$C18)*R18+POWER(2,$C17)*R17+POWER(2,$C16)*R16+POWER(2,$C15)*R15+POWER(2,$C14)*R14+POWER(2,$C13)*R13)</f>
        <v>528183AC</v>
      </c>
      <c r="S34" s="18" t="str">
        <f>DEC2HEX(POWER(2,$C20)*S20+POWER(2,$C19)*S19+POWER(2,$C18)*S18+POWER(2,$C17)*S17+POWER(2,$C16)*S16+POWER(2,$C15)*S15+POWER(2,$C14)*S14+POWER(2,$C13)*S13)</f>
        <v>528183AC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E10" sqref="E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208</v>
      </c>
      <c r="B2" s="3">
        <v>63</v>
      </c>
      <c r="C2" s="3">
        <v>62</v>
      </c>
      <c r="D2" s="3">
        <v>3</v>
      </c>
      <c r="E2" s="4">
        <v>3</v>
      </c>
      <c r="F2" s="4" t="s">
        <v>80</v>
      </c>
      <c r="G2" s="4" t="s">
        <v>80</v>
      </c>
      <c r="H2" s="4" t="s">
        <v>80</v>
      </c>
      <c r="I2" s="4" t="s">
        <v>80</v>
      </c>
      <c r="J2" s="4">
        <v>3</v>
      </c>
      <c r="K2" s="4" t="s">
        <v>80</v>
      </c>
      <c r="L2" s="4" t="s">
        <v>80</v>
      </c>
      <c r="M2" s="4" t="s">
        <v>80</v>
      </c>
      <c r="N2" s="4" t="s">
        <v>80</v>
      </c>
      <c r="O2" s="4">
        <v>3</v>
      </c>
      <c r="P2" s="4" t="s">
        <v>80</v>
      </c>
      <c r="Q2" s="4" t="s">
        <v>80</v>
      </c>
      <c r="R2" s="4" t="s">
        <v>80</v>
      </c>
      <c r="S2" s="4" t="s">
        <v>80</v>
      </c>
      <c r="V2" s="30">
        <v>0</v>
      </c>
      <c r="W2" s="22">
        <v>40348060</v>
      </c>
      <c r="X2" s="31" t="str">
        <f>S34</f>
        <v>12217A0C</v>
      </c>
      <c r="Y2" t="str">
        <f t="shared" ref="Y2:Y33" si="0">"0x"&amp;RIGHT("00000000"&amp;X2,8)&amp;","</f>
        <v>0x12217A0C,</v>
      </c>
      <c r="Z2" s="32" t="s">
        <v>142</v>
      </c>
    </row>
    <row r="3" spans="1:26">
      <c r="A3" s="2" t="s">
        <v>209</v>
      </c>
      <c r="B3" s="3">
        <v>61</v>
      </c>
      <c r="C3" s="3">
        <v>57</v>
      </c>
      <c r="D3" s="3">
        <v>12</v>
      </c>
      <c r="E3" s="4">
        <v>12</v>
      </c>
      <c r="F3" s="4" t="s">
        <v>159</v>
      </c>
      <c r="G3" s="4" t="s">
        <v>159</v>
      </c>
      <c r="H3" s="4" t="s">
        <v>159</v>
      </c>
      <c r="I3" s="4" t="s">
        <v>159</v>
      </c>
      <c r="J3" s="4">
        <v>12</v>
      </c>
      <c r="K3" s="4" t="s">
        <v>159</v>
      </c>
      <c r="L3" s="4" t="s">
        <v>159</v>
      </c>
      <c r="M3" s="4" t="s">
        <v>159</v>
      </c>
      <c r="N3" s="4" t="s">
        <v>159</v>
      </c>
      <c r="O3" s="4">
        <v>12</v>
      </c>
      <c r="P3" s="4" t="s">
        <v>159</v>
      </c>
      <c r="Q3" s="4" t="s">
        <v>159</v>
      </c>
      <c r="R3" s="4" t="s">
        <v>159</v>
      </c>
      <c r="S3" s="4" t="s">
        <v>159</v>
      </c>
      <c r="V3" s="30"/>
      <c r="W3" s="22">
        <v>40348064</v>
      </c>
      <c r="X3" s="31" t="str">
        <f>S33</f>
        <v>D9E640D4</v>
      </c>
      <c r="Y3" t="str">
        <f t="shared" si="0"/>
        <v>0xD9E640D4,</v>
      </c>
      <c r="Z3" s="32"/>
    </row>
    <row r="4" spans="1:26">
      <c r="A4" s="2" t="s">
        <v>210</v>
      </c>
      <c r="B4" s="3">
        <v>56</v>
      </c>
      <c r="C4" s="3">
        <v>56</v>
      </c>
      <c r="D4" s="3">
        <v>1</v>
      </c>
      <c r="E4" s="4">
        <v>1</v>
      </c>
      <c r="F4" s="4" t="s">
        <v>86</v>
      </c>
      <c r="G4" s="4" t="s">
        <v>86</v>
      </c>
      <c r="H4" s="4" t="s">
        <v>86</v>
      </c>
      <c r="I4" s="4" t="s">
        <v>86</v>
      </c>
      <c r="J4" s="4">
        <v>1</v>
      </c>
      <c r="K4" s="4" t="s">
        <v>86</v>
      </c>
      <c r="L4" s="4" t="s">
        <v>86</v>
      </c>
      <c r="M4" s="4" t="s">
        <v>86</v>
      </c>
      <c r="N4" s="4" t="s">
        <v>86</v>
      </c>
      <c r="O4" s="4">
        <v>1</v>
      </c>
      <c r="P4" s="4" t="s">
        <v>86</v>
      </c>
      <c r="Q4" s="4" t="s">
        <v>86</v>
      </c>
      <c r="R4" s="4" t="s">
        <v>86</v>
      </c>
      <c r="S4" s="4" t="s">
        <v>86</v>
      </c>
      <c r="V4" s="30">
        <v>1</v>
      </c>
      <c r="W4" s="22">
        <v>40348060</v>
      </c>
      <c r="X4" s="31" t="str">
        <f>R34</f>
        <v>12217A0C</v>
      </c>
      <c r="Y4" t="str">
        <f t="shared" si="0"/>
        <v>0x12217A0C,</v>
      </c>
      <c r="Z4" s="32" t="s">
        <v>146</v>
      </c>
    </row>
    <row r="5" spans="1:26">
      <c r="A5" s="2" t="s">
        <v>211</v>
      </c>
      <c r="B5" s="3">
        <v>55</v>
      </c>
      <c r="C5" s="3">
        <v>53</v>
      </c>
      <c r="D5" s="3">
        <v>7</v>
      </c>
      <c r="E5" s="4">
        <v>7</v>
      </c>
      <c r="F5" s="4" t="s">
        <v>127</v>
      </c>
      <c r="G5" s="4" t="s">
        <v>127</v>
      </c>
      <c r="H5" s="4" t="s">
        <v>127</v>
      </c>
      <c r="I5" s="4" t="s">
        <v>127</v>
      </c>
      <c r="J5" s="4">
        <v>7</v>
      </c>
      <c r="K5" s="4" t="s">
        <v>127</v>
      </c>
      <c r="L5" s="4" t="s">
        <v>127</v>
      </c>
      <c r="M5" s="4" t="s">
        <v>127</v>
      </c>
      <c r="N5" s="4" t="s">
        <v>127</v>
      </c>
      <c r="O5" s="4">
        <v>7</v>
      </c>
      <c r="P5" s="4" t="s">
        <v>127</v>
      </c>
      <c r="Q5" s="4" t="s">
        <v>127</v>
      </c>
      <c r="R5" s="4" t="s">
        <v>127</v>
      </c>
      <c r="S5" s="4" t="s">
        <v>127</v>
      </c>
      <c r="V5" s="30"/>
      <c r="W5" s="22">
        <v>40348064</v>
      </c>
      <c r="X5" s="31" t="str">
        <f>R33</f>
        <v>D9E64115</v>
      </c>
      <c r="Y5" t="str">
        <f t="shared" si="0"/>
        <v>0xD9E64115,</v>
      </c>
      <c r="Z5" s="32"/>
    </row>
    <row r="6" spans="1:26">
      <c r="A6" s="2" t="s">
        <v>212</v>
      </c>
      <c r="B6" s="3">
        <v>52</v>
      </c>
      <c r="C6" s="3">
        <v>49</v>
      </c>
      <c r="D6" s="3">
        <v>7</v>
      </c>
      <c r="E6" s="4">
        <v>3</v>
      </c>
      <c r="F6" s="4" t="s">
        <v>80</v>
      </c>
      <c r="G6" s="4" t="s">
        <v>80</v>
      </c>
      <c r="H6" s="4" t="s">
        <v>80</v>
      </c>
      <c r="I6" s="4" t="s">
        <v>80</v>
      </c>
      <c r="J6" s="4">
        <v>3</v>
      </c>
      <c r="K6" s="4" t="s">
        <v>80</v>
      </c>
      <c r="L6" s="4" t="s">
        <v>80</v>
      </c>
      <c r="M6" s="4" t="s">
        <v>80</v>
      </c>
      <c r="N6" s="4" t="s">
        <v>80</v>
      </c>
      <c r="O6" s="4">
        <v>3</v>
      </c>
      <c r="P6" s="4" t="s">
        <v>80</v>
      </c>
      <c r="Q6" s="4" t="s">
        <v>80</v>
      </c>
      <c r="R6" s="4" t="s">
        <v>80</v>
      </c>
      <c r="S6" s="4" t="s">
        <v>80</v>
      </c>
      <c r="V6" s="30">
        <v>2</v>
      </c>
      <c r="W6" s="22">
        <v>40348060</v>
      </c>
      <c r="X6" s="31" t="str">
        <f>Q34</f>
        <v>12217A0C</v>
      </c>
      <c r="Y6" t="str">
        <f t="shared" si="0"/>
        <v>0x12217A0C,</v>
      </c>
      <c r="Z6" s="32" t="s">
        <v>149</v>
      </c>
    </row>
    <row r="7" spans="1:26">
      <c r="A7" s="2" t="s">
        <v>213</v>
      </c>
      <c r="B7" s="3">
        <v>48</v>
      </c>
      <c r="C7" s="3">
        <v>46</v>
      </c>
      <c r="D7" s="3">
        <v>7</v>
      </c>
      <c r="E7" s="4">
        <v>7</v>
      </c>
      <c r="F7" s="4" t="s">
        <v>127</v>
      </c>
      <c r="G7" s="4" t="s">
        <v>127</v>
      </c>
      <c r="H7" s="4" t="s">
        <v>106</v>
      </c>
      <c r="I7" s="4" t="s">
        <v>197</v>
      </c>
      <c r="J7" s="4">
        <v>4</v>
      </c>
      <c r="K7" s="4" t="s">
        <v>94</v>
      </c>
      <c r="L7" s="4" t="s">
        <v>118</v>
      </c>
      <c r="M7" s="4" t="s">
        <v>118</v>
      </c>
      <c r="N7" s="4" t="s">
        <v>86</v>
      </c>
      <c r="O7" s="4">
        <v>1</v>
      </c>
      <c r="P7" s="4" t="s">
        <v>86</v>
      </c>
      <c r="Q7" s="4" t="s">
        <v>86</v>
      </c>
      <c r="R7" s="4" t="s">
        <v>86</v>
      </c>
      <c r="S7" s="4" t="s">
        <v>86</v>
      </c>
      <c r="V7" s="30"/>
      <c r="W7" s="22">
        <v>40348064</v>
      </c>
      <c r="X7" s="31" t="str">
        <f>Q33</f>
        <v>D9E64172</v>
      </c>
      <c r="Y7" t="str">
        <f t="shared" si="0"/>
        <v>0xD9E64172,</v>
      </c>
      <c r="Z7" s="3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>
        <v>0</v>
      </c>
      <c r="F8" s="4" t="s">
        <v>72</v>
      </c>
      <c r="G8" s="4" t="s">
        <v>72</v>
      </c>
      <c r="H8" s="4" t="s">
        <v>72</v>
      </c>
      <c r="I8" s="4" t="s">
        <v>72</v>
      </c>
      <c r="J8" s="4">
        <v>0</v>
      </c>
      <c r="K8" s="4" t="s">
        <v>72</v>
      </c>
      <c r="L8" s="4" t="s">
        <v>72</v>
      </c>
      <c r="M8" s="4" t="s">
        <v>72</v>
      </c>
      <c r="N8" s="4" t="s">
        <v>72</v>
      </c>
      <c r="O8" s="4">
        <v>0</v>
      </c>
      <c r="P8" s="4" t="s">
        <v>72</v>
      </c>
      <c r="Q8" s="4" t="s">
        <v>72</v>
      </c>
      <c r="R8" s="4" t="s">
        <v>72</v>
      </c>
      <c r="S8" s="4" t="s">
        <v>72</v>
      </c>
      <c r="V8" s="30">
        <v>3</v>
      </c>
      <c r="W8" s="22">
        <v>40348060</v>
      </c>
      <c r="X8" s="31" t="str">
        <f>P34</f>
        <v>12217A0C</v>
      </c>
      <c r="Y8" t="str">
        <f t="shared" si="0"/>
        <v>0x12217A0C,</v>
      </c>
      <c r="Z8" s="3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>
        <v>0</v>
      </c>
      <c r="F9" s="4" t="s">
        <v>72</v>
      </c>
      <c r="G9" s="4" t="s">
        <v>72</v>
      </c>
      <c r="H9" s="4" t="s">
        <v>72</v>
      </c>
      <c r="I9" s="4" t="s">
        <v>72</v>
      </c>
      <c r="J9" s="4">
        <v>0</v>
      </c>
      <c r="K9" s="4" t="s">
        <v>72</v>
      </c>
      <c r="L9" s="4" t="s">
        <v>72</v>
      </c>
      <c r="M9" s="4" t="s">
        <v>72</v>
      </c>
      <c r="N9" s="4" t="s">
        <v>72</v>
      </c>
      <c r="O9" s="4">
        <v>0</v>
      </c>
      <c r="P9" s="4" t="s">
        <v>72</v>
      </c>
      <c r="Q9" s="4" t="s">
        <v>72</v>
      </c>
      <c r="R9" s="4" t="s">
        <v>72</v>
      </c>
      <c r="S9" s="4" t="s">
        <v>72</v>
      </c>
      <c r="V9" s="30"/>
      <c r="W9" s="22">
        <v>40348064</v>
      </c>
      <c r="X9" s="31" t="str">
        <f>P33</f>
        <v>D9E641E8</v>
      </c>
      <c r="Y9" t="str">
        <f t="shared" si="0"/>
        <v>0xD9E641E8,</v>
      </c>
      <c r="Z9" s="32"/>
    </row>
    <row r="10" spans="1:26">
      <c r="A10" s="2" t="s">
        <v>156</v>
      </c>
      <c r="B10" s="3">
        <v>42</v>
      </c>
      <c r="C10" s="3">
        <v>37</v>
      </c>
      <c r="D10" s="3">
        <v>63</v>
      </c>
      <c r="E10" s="5">
        <v>52</v>
      </c>
      <c r="F10" s="6" t="s">
        <v>214</v>
      </c>
      <c r="G10" s="6" t="s">
        <v>112</v>
      </c>
      <c r="H10" s="5" t="s">
        <v>158</v>
      </c>
      <c r="I10" s="6" t="s">
        <v>215</v>
      </c>
      <c r="J10" s="5">
        <v>21</v>
      </c>
      <c r="K10" s="6" t="s">
        <v>76</v>
      </c>
      <c r="L10" s="5" t="s">
        <v>215</v>
      </c>
      <c r="M10" s="6" t="s">
        <v>76</v>
      </c>
      <c r="N10" s="5" t="s">
        <v>200</v>
      </c>
      <c r="O10" s="6" t="s">
        <v>216</v>
      </c>
      <c r="P10" s="5" t="s">
        <v>76</v>
      </c>
      <c r="Q10" s="5" t="s">
        <v>198</v>
      </c>
      <c r="R10" s="5" t="s">
        <v>217</v>
      </c>
      <c r="S10" s="5" t="s">
        <v>106</v>
      </c>
      <c r="V10" s="30">
        <v>4</v>
      </c>
      <c r="W10" s="22">
        <v>40348060</v>
      </c>
      <c r="X10" s="31" t="str">
        <f>O34</f>
        <v>12217A0C</v>
      </c>
      <c r="Y10" t="str">
        <f t="shared" si="0"/>
        <v>0x12217A0C,</v>
      </c>
      <c r="Z10" s="32" t="s">
        <v>155</v>
      </c>
    </row>
    <row r="11" spans="1:26">
      <c r="A11" s="2" t="s">
        <v>160</v>
      </c>
      <c r="B11" s="3">
        <v>36</v>
      </c>
      <c r="C11" s="3">
        <v>32</v>
      </c>
      <c r="D11" s="3">
        <v>31</v>
      </c>
      <c r="E11" s="5">
        <v>20</v>
      </c>
      <c r="F11" s="5" t="s">
        <v>158</v>
      </c>
      <c r="G11" s="5" t="s">
        <v>158</v>
      </c>
      <c r="H11" s="5" t="s">
        <v>205</v>
      </c>
      <c r="I11" s="5" t="s">
        <v>214</v>
      </c>
      <c r="J11" s="5">
        <v>28</v>
      </c>
      <c r="K11" s="5" t="s">
        <v>205</v>
      </c>
      <c r="L11" s="5" t="s">
        <v>207</v>
      </c>
      <c r="M11" s="5" t="s">
        <v>158</v>
      </c>
      <c r="N11" s="5" t="s">
        <v>158</v>
      </c>
      <c r="O11" s="5">
        <v>8</v>
      </c>
      <c r="P11" s="5" t="s">
        <v>217</v>
      </c>
      <c r="Q11" s="5" t="s">
        <v>215</v>
      </c>
      <c r="R11" s="5" t="s">
        <v>112</v>
      </c>
      <c r="S11" s="5" t="s">
        <v>158</v>
      </c>
      <c r="V11" s="30"/>
      <c r="W11" s="22">
        <v>40348064</v>
      </c>
      <c r="X11" s="31" t="str">
        <f>O33</f>
        <v>D9E64268</v>
      </c>
      <c r="Y11" t="str">
        <f t="shared" si="0"/>
        <v>0xD9E64268,</v>
      </c>
      <c r="Z11" s="32"/>
    </row>
    <row r="12" spans="1:26">
      <c r="A12" s="2" t="s">
        <v>164</v>
      </c>
      <c r="B12" s="3">
        <v>31</v>
      </c>
      <c r="C12" s="3">
        <v>29</v>
      </c>
      <c r="D12" s="3">
        <v>0</v>
      </c>
      <c r="E12" s="7">
        <v>0</v>
      </c>
      <c r="F12" s="7" t="s">
        <v>72</v>
      </c>
      <c r="G12" s="7" t="s">
        <v>72</v>
      </c>
      <c r="H12" s="7" t="s">
        <v>72</v>
      </c>
      <c r="I12" s="7" t="s">
        <v>72</v>
      </c>
      <c r="J12" s="7">
        <v>0</v>
      </c>
      <c r="K12" s="7" t="s">
        <v>72</v>
      </c>
      <c r="L12" s="7" t="s">
        <v>72</v>
      </c>
      <c r="M12" s="7" t="s">
        <v>72</v>
      </c>
      <c r="N12" s="7" t="s">
        <v>72</v>
      </c>
      <c r="O12" s="7">
        <v>0</v>
      </c>
      <c r="P12" s="7" t="s">
        <v>72</v>
      </c>
      <c r="Q12" s="7" t="s">
        <v>72</v>
      </c>
      <c r="R12" s="7" t="s">
        <v>72</v>
      </c>
      <c r="S12" s="7" t="s">
        <v>72</v>
      </c>
      <c r="V12" s="30">
        <v>5</v>
      </c>
      <c r="W12" s="22">
        <v>40348060</v>
      </c>
      <c r="X12" s="31" t="str">
        <f>N34</f>
        <v>12217A0C</v>
      </c>
      <c r="Y12" t="str">
        <f t="shared" si="0"/>
        <v>0x12217A0C,</v>
      </c>
      <c r="Z12" s="32" t="s">
        <v>163</v>
      </c>
    </row>
    <row r="13" spans="1:26">
      <c r="A13" s="2" t="s">
        <v>165</v>
      </c>
      <c r="B13" s="3">
        <v>28</v>
      </c>
      <c r="C13" s="3">
        <v>27</v>
      </c>
      <c r="D13" s="3">
        <v>3</v>
      </c>
      <c r="E13" s="7">
        <v>2</v>
      </c>
      <c r="F13" s="7" t="s">
        <v>118</v>
      </c>
      <c r="G13" s="7" t="s">
        <v>118</v>
      </c>
      <c r="H13" s="7" t="s">
        <v>118</v>
      </c>
      <c r="I13" s="7" t="s">
        <v>118</v>
      </c>
      <c r="J13" s="7">
        <v>2</v>
      </c>
      <c r="K13" s="7" t="s">
        <v>118</v>
      </c>
      <c r="L13" s="7" t="s">
        <v>118</v>
      </c>
      <c r="M13" s="7" t="s">
        <v>118</v>
      </c>
      <c r="N13" s="7" t="s">
        <v>118</v>
      </c>
      <c r="O13" s="7">
        <v>2</v>
      </c>
      <c r="P13" s="7" t="s">
        <v>118</v>
      </c>
      <c r="Q13" s="7" t="s">
        <v>118</v>
      </c>
      <c r="R13" s="7" t="s">
        <v>118</v>
      </c>
      <c r="S13" s="7" t="s">
        <v>118</v>
      </c>
      <c r="V13" s="30"/>
      <c r="W13" s="22">
        <v>40348064</v>
      </c>
      <c r="X13" s="31" t="str">
        <f>N33</f>
        <v>D9E64334</v>
      </c>
      <c r="Y13" t="str">
        <f t="shared" si="0"/>
        <v>0xD9E64334,</v>
      </c>
      <c r="Z13" s="32"/>
    </row>
    <row r="14" spans="1:26">
      <c r="A14" s="2" t="s">
        <v>167</v>
      </c>
      <c r="B14" s="3">
        <v>26</v>
      </c>
      <c r="C14" s="3">
        <v>24</v>
      </c>
      <c r="D14" s="3">
        <v>2</v>
      </c>
      <c r="E14" s="7" t="s">
        <v>118</v>
      </c>
      <c r="F14" s="7" t="s">
        <v>118</v>
      </c>
      <c r="G14" s="7" t="s">
        <v>118</v>
      </c>
      <c r="H14" s="3">
        <v>2</v>
      </c>
      <c r="I14" s="7" t="s">
        <v>118</v>
      </c>
      <c r="J14" s="7" t="s">
        <v>118</v>
      </c>
      <c r="K14" s="7" t="s">
        <v>118</v>
      </c>
      <c r="L14" s="3">
        <v>2</v>
      </c>
      <c r="M14" s="7" t="s">
        <v>118</v>
      </c>
      <c r="N14" s="7" t="s">
        <v>118</v>
      </c>
      <c r="O14" s="7" t="s">
        <v>118</v>
      </c>
      <c r="P14" s="3">
        <v>2</v>
      </c>
      <c r="Q14" s="7" t="s">
        <v>118</v>
      </c>
      <c r="R14" s="7" t="s">
        <v>118</v>
      </c>
      <c r="S14" s="7" t="s">
        <v>118</v>
      </c>
      <c r="V14" s="30">
        <v>6</v>
      </c>
      <c r="W14" s="22">
        <v>40348060</v>
      </c>
      <c r="X14" s="31" t="str">
        <f>M34</f>
        <v>12217A0C</v>
      </c>
      <c r="Y14" t="str">
        <f t="shared" si="0"/>
        <v>0x12217A0C,</v>
      </c>
      <c r="Z14" s="32" t="s">
        <v>166</v>
      </c>
    </row>
    <row r="15" spans="1:26">
      <c r="A15" s="2" t="s">
        <v>168</v>
      </c>
      <c r="B15" s="3">
        <v>23</v>
      </c>
      <c r="C15" s="3">
        <v>18</v>
      </c>
      <c r="D15" s="3">
        <v>47</v>
      </c>
      <c r="E15" s="4" t="s">
        <v>217</v>
      </c>
      <c r="F15" s="4" t="s">
        <v>217</v>
      </c>
      <c r="G15" s="4" t="s">
        <v>217</v>
      </c>
      <c r="H15" s="4" t="s">
        <v>217</v>
      </c>
      <c r="I15" s="4" t="s">
        <v>217</v>
      </c>
      <c r="J15" s="4" t="s">
        <v>217</v>
      </c>
      <c r="K15" s="4" t="s">
        <v>217</v>
      </c>
      <c r="L15" s="4" t="s">
        <v>217</v>
      </c>
      <c r="M15" s="4" t="s">
        <v>217</v>
      </c>
      <c r="N15" s="4" t="s">
        <v>217</v>
      </c>
      <c r="O15" s="4" t="s">
        <v>217</v>
      </c>
      <c r="P15" s="4" t="s">
        <v>217</v>
      </c>
      <c r="Q15" s="4" t="s">
        <v>217</v>
      </c>
      <c r="R15" s="4" t="s">
        <v>217</v>
      </c>
      <c r="S15" s="4" t="s">
        <v>217</v>
      </c>
      <c r="V15" s="30"/>
      <c r="W15" s="22">
        <v>40348064</v>
      </c>
      <c r="X15" s="31" t="str">
        <f>M33</f>
        <v>D9E681F4</v>
      </c>
      <c r="Y15" t="str">
        <f t="shared" si="0"/>
        <v>0xD9E681F4,</v>
      </c>
      <c r="Z15" s="32"/>
    </row>
    <row r="16" spans="1:26">
      <c r="A16" s="2" t="s">
        <v>170</v>
      </c>
      <c r="B16" s="3">
        <v>17</v>
      </c>
      <c r="C16" s="3">
        <v>12</v>
      </c>
      <c r="D16" s="3">
        <v>42</v>
      </c>
      <c r="E16" s="4" t="s">
        <v>161</v>
      </c>
      <c r="F16" s="4" t="s">
        <v>161</v>
      </c>
      <c r="G16" s="4" t="s">
        <v>161</v>
      </c>
      <c r="H16" s="4" t="s">
        <v>161</v>
      </c>
      <c r="I16" s="4" t="s">
        <v>161</v>
      </c>
      <c r="J16" s="4" t="s">
        <v>161</v>
      </c>
      <c r="K16" s="4" t="s">
        <v>161</v>
      </c>
      <c r="L16" s="4" t="s">
        <v>161</v>
      </c>
      <c r="M16" s="4" t="s">
        <v>161</v>
      </c>
      <c r="N16" s="4" t="s">
        <v>161</v>
      </c>
      <c r="O16" s="4" t="s">
        <v>161</v>
      </c>
      <c r="P16" s="4" t="s">
        <v>161</v>
      </c>
      <c r="Q16" s="4" t="s">
        <v>161</v>
      </c>
      <c r="R16" s="4" t="s">
        <v>161</v>
      </c>
      <c r="S16" s="4" t="s">
        <v>161</v>
      </c>
      <c r="V16" s="30">
        <v>7</v>
      </c>
      <c r="W16" s="22">
        <v>40348060</v>
      </c>
      <c r="X16" s="31" t="str">
        <f>L34</f>
        <v>12217A0C</v>
      </c>
      <c r="Y16" t="str">
        <f t="shared" si="0"/>
        <v>0x12217A0C,</v>
      </c>
      <c r="Z16" s="32" t="s">
        <v>169</v>
      </c>
    </row>
    <row r="17" spans="1:26">
      <c r="A17" s="2" t="s">
        <v>171</v>
      </c>
      <c r="B17" s="3">
        <v>11</v>
      </c>
      <c r="C17" s="3">
        <v>7</v>
      </c>
      <c r="D17" s="3">
        <v>20</v>
      </c>
      <c r="E17" s="4" t="s">
        <v>158</v>
      </c>
      <c r="F17" s="4">
        <v>20</v>
      </c>
      <c r="G17" s="4" t="s">
        <v>158</v>
      </c>
      <c r="H17" s="4">
        <v>20</v>
      </c>
      <c r="I17" s="4" t="s">
        <v>158</v>
      </c>
      <c r="J17" s="4">
        <v>20</v>
      </c>
      <c r="K17" s="4" t="s">
        <v>158</v>
      </c>
      <c r="L17" s="4">
        <v>20</v>
      </c>
      <c r="M17" s="4" t="s">
        <v>158</v>
      </c>
      <c r="N17" s="4">
        <v>20</v>
      </c>
      <c r="O17" s="4" t="s">
        <v>158</v>
      </c>
      <c r="P17" s="4">
        <v>20</v>
      </c>
      <c r="Q17" s="4" t="s">
        <v>158</v>
      </c>
      <c r="R17" s="4">
        <v>20</v>
      </c>
      <c r="S17" s="4" t="s">
        <v>158</v>
      </c>
      <c r="V17" s="30"/>
      <c r="W17" s="22">
        <v>40348064</v>
      </c>
      <c r="X17" s="31" t="str">
        <f>L33</f>
        <v>D9E6825A</v>
      </c>
      <c r="Y17" t="str">
        <f t="shared" si="0"/>
        <v>0xD9E6825A,</v>
      </c>
      <c r="Z17" s="32"/>
    </row>
    <row r="18" spans="1:26">
      <c r="A18" s="2" t="s">
        <v>173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12217A0C</v>
      </c>
      <c r="Y18" t="str">
        <f t="shared" si="0"/>
        <v>0x12217A0C,</v>
      </c>
      <c r="Z18" s="32" t="s">
        <v>172</v>
      </c>
    </row>
    <row r="19" spans="1:26">
      <c r="A19" s="2" t="s">
        <v>174</v>
      </c>
      <c r="B19" s="3">
        <v>2</v>
      </c>
      <c r="C19" s="3">
        <v>0</v>
      </c>
      <c r="D19" s="3">
        <v>4</v>
      </c>
      <c r="E19" s="4">
        <v>4</v>
      </c>
      <c r="F19" s="4" t="s">
        <v>94</v>
      </c>
      <c r="G19" s="4" t="s">
        <v>94</v>
      </c>
      <c r="H19" s="4" t="s">
        <v>94</v>
      </c>
      <c r="I19" s="4" t="s">
        <v>94</v>
      </c>
      <c r="J19" s="4">
        <v>4</v>
      </c>
      <c r="K19" s="4" t="s">
        <v>94</v>
      </c>
      <c r="L19" s="4" t="s">
        <v>94</v>
      </c>
      <c r="M19" s="4" t="s">
        <v>94</v>
      </c>
      <c r="N19" s="4" t="s">
        <v>94</v>
      </c>
      <c r="O19" s="4">
        <v>4</v>
      </c>
      <c r="P19" s="4" t="s">
        <v>94</v>
      </c>
      <c r="Q19" s="4" t="s">
        <v>94</v>
      </c>
      <c r="R19" s="4" t="s">
        <v>94</v>
      </c>
      <c r="S19" s="4" t="s">
        <v>94</v>
      </c>
      <c r="V19" s="30"/>
      <c r="W19" s="22">
        <v>40348064</v>
      </c>
      <c r="X19" s="31" t="str">
        <f>K33</f>
        <v>D9E701F6</v>
      </c>
      <c r="Y19" t="str">
        <f t="shared" si="0"/>
        <v>0xD9E701F6,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12217A0C</v>
      </c>
      <c r="Y20" t="str">
        <f t="shared" si="0"/>
        <v>0x12217A0C,</v>
      </c>
      <c r="Z20" s="32" t="s">
        <v>175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D9E702BC</v>
      </c>
      <c r="Y21" t="str">
        <f t="shared" si="0"/>
        <v>0xD9E702BC,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176</v>
      </c>
      <c r="W22" s="22">
        <v>40348060</v>
      </c>
      <c r="X22" s="31" t="str">
        <f>I34</f>
        <v>12217A0C</v>
      </c>
      <c r="Y22" t="str">
        <f t="shared" si="0"/>
        <v>0x12217A0C,</v>
      </c>
      <c r="Z22" s="32" t="s">
        <v>177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D9E7425C</v>
      </c>
      <c r="Y23" t="str">
        <f t="shared" si="0"/>
        <v>0xD9E7425C,</v>
      </c>
      <c r="Z23" s="32"/>
    </row>
    <row r="24" spans="1:26">
      <c r="A24" s="12" t="s">
        <v>178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179</v>
      </c>
      <c r="W24" s="22">
        <v>40348060</v>
      </c>
      <c r="X24" s="31" t="str">
        <f>H34</f>
        <v>12217A0C</v>
      </c>
      <c r="Y24" t="str">
        <f t="shared" si="0"/>
        <v>0x12217A0C,</v>
      </c>
      <c r="Z24" s="32" t="s">
        <v>180</v>
      </c>
    </row>
    <row r="25" spans="1:26">
      <c r="A25" s="12" t="s">
        <v>181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D9E78296</v>
      </c>
      <c r="Y25" t="str">
        <f t="shared" si="0"/>
        <v>0xD9E78296,</v>
      </c>
      <c r="Z25" s="32"/>
    </row>
    <row r="26" spans="1:26">
      <c r="A26" s="12" t="s">
        <v>182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183</v>
      </c>
      <c r="W26" s="22">
        <v>40348060</v>
      </c>
      <c r="X26" s="31" t="str">
        <f>G34</f>
        <v>12217A0C</v>
      </c>
      <c r="Y26" t="str">
        <f t="shared" si="0"/>
        <v>0x12217A0C,</v>
      </c>
      <c r="Z26" s="32" t="s">
        <v>184</v>
      </c>
    </row>
    <row r="27" spans="1:26">
      <c r="A27" s="15" t="s">
        <v>185</v>
      </c>
      <c r="V27" s="30"/>
      <c r="W27" s="22">
        <v>40348064</v>
      </c>
      <c r="X27" s="31" t="str">
        <f>G33</f>
        <v>D9E7C2B4</v>
      </c>
      <c r="Y27" t="str">
        <f t="shared" si="0"/>
        <v>0xD9E7C2B4,</v>
      </c>
      <c r="Z27" s="32"/>
    </row>
    <row r="28" spans="22:26">
      <c r="V28" s="30" t="s">
        <v>186</v>
      </c>
      <c r="W28" s="22">
        <v>40348060</v>
      </c>
      <c r="X28" s="31" t="str">
        <f>F34</f>
        <v>12217A0C</v>
      </c>
      <c r="Y28" t="str">
        <f t="shared" si="0"/>
        <v>0x12217A0C,</v>
      </c>
      <c r="Z28" s="32" t="s">
        <v>187</v>
      </c>
    </row>
    <row r="29" spans="22:26">
      <c r="V29" s="30"/>
      <c r="W29" s="22">
        <v>40348064</v>
      </c>
      <c r="X29" s="31" t="str">
        <f>F33</f>
        <v>D9E7C394</v>
      </c>
      <c r="Y29" t="str">
        <f t="shared" si="0"/>
        <v>0xD9E7C394,</v>
      </c>
      <c r="Z29" s="32"/>
    </row>
    <row r="30" spans="22:26">
      <c r="V30" s="30" t="s">
        <v>188</v>
      </c>
      <c r="W30" s="22">
        <v>40348060</v>
      </c>
      <c r="X30" s="31" t="str">
        <f>E34</f>
        <v>12217A0C</v>
      </c>
      <c r="Y30" t="str">
        <f t="shared" si="0"/>
        <v>0x12217A0C,</v>
      </c>
      <c r="Z30" s="32" t="s">
        <v>189</v>
      </c>
    </row>
    <row r="31" spans="1:26">
      <c r="A31" t="s">
        <v>190</v>
      </c>
      <c r="V31" s="30"/>
      <c r="W31" s="22">
        <v>40348064</v>
      </c>
      <c r="X31" s="31" t="str">
        <f>E33</f>
        <v>D9E7C694</v>
      </c>
      <c r="Y31" t="str">
        <f t="shared" si="0"/>
        <v>0xD9E7C694,</v>
      </c>
      <c r="Z31" s="32"/>
    </row>
    <row r="32" spans="1:26">
      <c r="A32" s="16" t="s">
        <v>191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192</v>
      </c>
      <c r="W32" s="22">
        <v>40348060</v>
      </c>
      <c r="X32" s="31" t="str">
        <f>D34</f>
        <v>1ABEAA0C</v>
      </c>
      <c r="Y32" t="str">
        <f t="shared" si="0"/>
        <v>0x1ABEAA0C,</v>
      </c>
      <c r="Z32" s="32" t="s">
        <v>193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D9EFC7FF</v>
      </c>
      <c r="E33" s="18" t="str">
        <f>DEC2HEX(POWER(2,$C12-32)*E12+POWER(2,$C11-32)*E11+POWER(2,$C10-32)*E10+POWER(2,$C9-32)*E9+POWER(2,$C8-32)*E8+POWER(2,$C7-32)*E7+POWER(2,$C6-32)*E6+POWER(2,$C5-32)*E5+POWER(2,$C4-32)*E4+POWER(2,$C3-32)*E3+POWER(2,$C2-32)*E2)</f>
        <v>D9E7C694</v>
      </c>
      <c r="F33" s="18" t="str">
        <f>DEC2HEX(POWER(2,$C12-32)*F12+POWER(2,$C11-32)*F11+POWER(2,$C10-32)*F10+POWER(2,$C9-32)*F9+POWER(2,$C8-32)*F8+POWER(2,$C7-32)*F7+POWER(2,$C6-32)*F6+POWER(2,$C5-32)*F5+POWER(2,$C4-32)*F4+POWER(2,$C3-32)*F3+POWER(2,$C2-32)*F2)</f>
        <v>D9E7C394</v>
      </c>
      <c r="G33" s="18" t="str">
        <f>DEC2HEX(POWER(2,$C12-32)*G12+POWER(2,$C11-32)*G11+POWER(2,$C10-32)*G10+POWER(2,$C9-32)*G9+POWER(2,$C8-32)*G8+POWER(2,$C7-32)*G7+POWER(2,$C6-32)*G6+POWER(2,$C5-32)*G5+POWER(2,$C4-32)*G4+POWER(2,$C3-32)*G3+POWER(2,$C2-32)*G2)</f>
        <v>D9E7C2B4</v>
      </c>
      <c r="H33" s="18" t="str">
        <f>DEC2HEX(POWER(2,$C12-32)*H12+POWER(2,$C11-32)*H11+POWER(2,$C10-32)*H10+POWER(2,$C9-32)*H9+POWER(2,$C8-32)*H8+POWER(2,$C7-32)*H7+POWER(2,$C6-32)*H6+POWER(2,$C5-32)*H5+POWER(2,$C4-32)*H4+POWER(2,$C3-32)*H3+POWER(2,$C2-32)*H2)</f>
        <v>D9E78296</v>
      </c>
      <c r="I33" s="18" t="str">
        <f>DEC2HEX(POWER(2,$C12-32)*I12+POWER(2,$C11-32)*I11+POWER(2,$C10-32)*I10+POWER(2,$C9-32)*I9+POWER(2,$C8-32)*I8+POWER(2,$C7-32)*I7+POWER(2,$C6-32)*I6+POWER(2,$C5-32)*I5+POWER(2,$C4-32)*I4+POWER(2,$C3-32)*I3+POWER(2,$C2-32)*I2)</f>
        <v>D9E7425C</v>
      </c>
      <c r="J33" s="18" t="str">
        <f>DEC2HEX(POWER(2,$C12-32)*J12+POWER(2,$C11-32)*J11+POWER(2,$C10-32)*J10+POWER(2,$C9-32)*J9+POWER(2,$C8-32)*J8+POWER(2,$C7-32)*J7+POWER(2,$C6-32)*J6+POWER(2,$C5-32)*J5+POWER(2,$C4-32)*J4+POWER(2,$C3-32)*J3+POWER(2,$C2-32)*J2)</f>
        <v>D9E702BC</v>
      </c>
      <c r="K33" s="18" t="str">
        <f>DEC2HEX(POWER(2,$C12-32)*K12+POWER(2,$C11-32)*K11+POWER(2,$C10-32)*K10+POWER(2,$C9-32)*K9+POWER(2,$C8-32)*K8+POWER(2,$C7-32)*K7+POWER(2,$C6-32)*K6+POWER(2,$C5-32)*K5+POWER(2,$C4-32)*K4+POWER(2,$C3-32)*K3+POWER(2,$C2-32)*K2)</f>
        <v>D9E701F6</v>
      </c>
      <c r="L33" s="18" t="str">
        <f>DEC2HEX(POWER(2,$C12-32)*L12+POWER(2,$C11-32)*L11+POWER(2,$C10-32)*L10+POWER(2,$C9-32)*L9+POWER(2,$C8-32)*L8+POWER(2,$C7-32)*L7+POWER(2,$C6-32)*L6+POWER(2,$C5-32)*L5+POWER(2,$C4-32)*L4+POWER(2,$C3-32)*L3+POWER(2,$C2-32)*L2)</f>
        <v>D9E6825A</v>
      </c>
      <c r="M33" s="18" t="str">
        <f>DEC2HEX(POWER(2,$C12-32)*M12+POWER(2,$C11-32)*M11+POWER(2,$C10-32)*M10+POWER(2,$C9-32)*M9+POWER(2,$C8-32)*M8+POWER(2,$C7-32)*M7+POWER(2,$C6-32)*M6+POWER(2,$C5-32)*M5+POWER(2,$C4-32)*M4+POWER(2,$C3-32)*M3+POWER(2,$C2-32)*M2)</f>
        <v>D9E681F4</v>
      </c>
      <c r="N33" s="18" t="str">
        <f>DEC2HEX(POWER(2,$C12-32)*N12+POWER(2,$C11-32)*N11+POWER(2,$C10-32)*N10+POWER(2,$C9-32)*N9+POWER(2,$C8-32)*N8+POWER(2,$C7-32)*N7+POWER(2,$C6-32)*N6+POWER(2,$C5-32)*N5+POWER(2,$C4-32)*N4+POWER(2,$C3-32)*N3+POWER(2,$C2-32)*N2)</f>
        <v>D9E64334</v>
      </c>
      <c r="O33" s="18" t="str">
        <f>DEC2HEX(POWER(2,$C12-32)*O12+POWER(2,$C11-32)*O11+POWER(2,$C10-32)*O10+POWER(2,$C9-32)*O9+POWER(2,$C8-32)*O8+POWER(2,$C7-32)*O7+POWER(2,$C6-32)*O6+POWER(2,$C5-32)*O5+POWER(2,$C4-32)*O4+POWER(2,$C3-32)*O3+POWER(2,$C2-32)*O2)</f>
        <v>D9E64268</v>
      </c>
      <c r="P33" s="18" t="str">
        <f>DEC2HEX(POWER(2,$C12-32)*P12+POWER(2,$C11-32)*P11+POWER(2,$C10-32)*P10+POWER(2,$C9-32)*P9+POWER(2,$C8-32)*P8+POWER(2,$C7-32)*P7+POWER(2,$C6-32)*P6+POWER(2,$C5-32)*P5+POWER(2,$C4-32)*P4+POWER(2,$C3-32)*P3+POWER(2,$C2-32)*P2)</f>
        <v>D9E641E8</v>
      </c>
      <c r="Q33" s="18" t="str">
        <f>DEC2HEX(POWER(2,$C12-32)*Q12+POWER(2,$C11-32)*Q11+POWER(2,$C10-32)*Q10+POWER(2,$C9-32)*Q9+POWER(2,$C8-32)*Q8+POWER(2,$C7-32)*Q7+POWER(2,$C6-32)*Q6+POWER(2,$C5-32)*Q5+POWER(2,$C4-32)*Q4+POWER(2,$C3-32)*Q3+POWER(2,$C2-32)*Q2)</f>
        <v>D9E64172</v>
      </c>
      <c r="R33" s="18" t="str">
        <f>DEC2HEX(POWER(2,$C12-32)*R12+POWER(2,$C11-32)*R11+POWER(2,$C10-32)*R10+POWER(2,$C9-32)*R9+POWER(2,$C8-32)*R8+POWER(2,$C7-32)*R7+POWER(2,$C6-32)*R6+POWER(2,$C5-32)*R5+POWER(2,$C4-32)*R4+POWER(2,$C3-32)*R3+POWER(2,$C2-32)*R2)</f>
        <v>D9E64115</v>
      </c>
      <c r="S33" s="18" t="str">
        <f>DEC2HEX(POWER(2,$C12-32)*S12+POWER(2,$C11-32)*S11+POWER(2,$C10-32)*S10+POWER(2,$C9-32)*S9+POWER(2,$C8-32)*S8+POWER(2,$C7-32)*S7+POWER(2,$C6-32)*S6+POWER(2,$C5-32)*S5+POWER(2,$C4-32)*S4+POWER(2,$C3-32)*S3+POWER(2,$C2-32)*S2)</f>
        <v>D9E640D4</v>
      </c>
      <c r="V33" s="29"/>
      <c r="W33" s="22">
        <v>40348064</v>
      </c>
      <c r="X33" s="31" t="str">
        <f>D33</f>
        <v>D9EFC7FF</v>
      </c>
      <c r="Y33" t="str">
        <f t="shared" si="0"/>
        <v>0xD9EFC7FF,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1ABEAA0C</v>
      </c>
      <c r="E34" s="18" t="str">
        <f>DEC2HEX(POWER(2,$C20)*E20+POWER(2,$C19)*E19+POWER(2,$C18)*E18+POWER(2,$C17)*E17+POWER(2,$C16)*E16+POWER(2,$C15)*E15+POWER(2,$C14)*E14+POWER(2,$C13)*E13)</f>
        <v>12217A0C</v>
      </c>
      <c r="F34" s="18" t="str">
        <f>DEC2HEX(POWER(2,$C20)*F20+POWER(2,$C19)*F19+POWER(2,$C18)*F18+POWER(2,$C17)*F17+POWER(2,$C16)*F16+POWER(2,$C15)*F15+POWER(2,$C14)*F14+POWER(2,$C13)*F13)</f>
        <v>12217A0C</v>
      </c>
      <c r="G34" s="18" t="str">
        <f>DEC2HEX(POWER(2,$C20)*G20+POWER(2,$C19)*G19+POWER(2,$C18)*G18+POWER(2,$C17)*G17+POWER(2,$C16)*G16+POWER(2,$C15)*G15+POWER(2,$C14)*G14+POWER(2,$C13)*G13)</f>
        <v>12217A0C</v>
      </c>
      <c r="H34" s="18" t="str">
        <f>DEC2HEX(POWER(2,$C20)*H20+POWER(2,$C19)*H19+POWER(2,$C18)*H18+POWER(2,$C17)*H17+POWER(2,$C16)*H16+POWER(2,$C15)*H15+POWER(2,$C14)*H14+POWER(2,$C13)*H13)</f>
        <v>12217A0C</v>
      </c>
      <c r="I34" s="18" t="str">
        <f>DEC2HEX(POWER(2,$C20)*I20+POWER(2,$C19)*I19+POWER(2,$C18)*I18+POWER(2,$C17)*I17+POWER(2,$C16)*I16+POWER(2,$C15)*I15+POWER(2,$C14)*I14+POWER(2,$C13)*I13)</f>
        <v>12217A0C</v>
      </c>
      <c r="J34" s="18" t="str">
        <f>DEC2HEX(POWER(2,$C20)*J20+POWER(2,$C19)*J19+POWER(2,$C18)*J18+POWER(2,$C17)*J17+POWER(2,$C16)*J16+POWER(2,$C15)*J15+POWER(2,$C14)*J14+POWER(2,$C13)*J13)</f>
        <v>12217A0C</v>
      </c>
      <c r="K34" s="18" t="str">
        <f>DEC2HEX(POWER(2,$C20)*K20+POWER(2,$C19)*K19+POWER(2,$C18)*K18+POWER(2,$C17)*K17+POWER(2,$C16)*K16+POWER(2,$C15)*K15+POWER(2,$C14)*K14+POWER(2,$C13)*K13)</f>
        <v>12217A0C</v>
      </c>
      <c r="L34" s="18" t="str">
        <f>DEC2HEX(POWER(2,$C20)*L20+POWER(2,$C19)*L19+POWER(2,$C18)*L18+POWER(2,$C17)*L17+POWER(2,$C16)*L16+POWER(2,$C15)*L15+POWER(2,$C14)*L14+POWER(2,$C13)*L13)</f>
        <v>12217A0C</v>
      </c>
      <c r="M34" s="18" t="str">
        <f>DEC2HEX(POWER(2,$C20)*M20+POWER(2,$C19)*M19+POWER(2,$C18)*M18+POWER(2,$C17)*M17+POWER(2,$C16)*M16+POWER(2,$C15)*M15+POWER(2,$C14)*M14+POWER(2,$C13)*M13)</f>
        <v>12217A0C</v>
      </c>
      <c r="N34" s="18" t="str">
        <f>DEC2HEX(POWER(2,$C20)*N20+POWER(2,$C19)*N19+POWER(2,$C18)*N18+POWER(2,$C17)*N17+POWER(2,$C16)*N16+POWER(2,$C15)*N15+POWER(2,$C14)*N14+POWER(2,$C13)*N13)</f>
        <v>12217A0C</v>
      </c>
      <c r="O34" s="18" t="str">
        <f>DEC2HEX(POWER(2,$C20)*O20+POWER(2,$C19)*O19+POWER(2,$C18)*O18+POWER(2,$C17)*O17+POWER(2,$C16)*O16+POWER(2,$C15)*O15+POWER(2,$C14)*O14+POWER(2,$C13)*O13)</f>
        <v>12217A0C</v>
      </c>
      <c r="P34" s="18" t="str">
        <f>DEC2HEX(POWER(2,$C20)*P20+POWER(2,$C19)*P19+POWER(2,$C18)*P18+POWER(2,$C17)*P17+POWER(2,$C16)*P16+POWER(2,$C15)*P15+POWER(2,$C14)*P14+POWER(2,$C13)*P13)</f>
        <v>12217A0C</v>
      </c>
      <c r="Q34" s="18" t="str">
        <f>DEC2HEX(POWER(2,$C20)*Q20+POWER(2,$C19)*Q19+POWER(2,$C18)*Q18+POWER(2,$C17)*Q17+POWER(2,$C16)*Q16+POWER(2,$C15)*Q15+POWER(2,$C14)*Q14+POWER(2,$C13)*Q13)</f>
        <v>12217A0C</v>
      </c>
      <c r="R34" s="18" t="str">
        <f>DEC2HEX(POWER(2,$C20)*R20+POWER(2,$C19)*R19+POWER(2,$C18)*R18+POWER(2,$C17)*R17+POWER(2,$C16)*R16+POWER(2,$C15)*R15+POWER(2,$C14)*R14+POWER(2,$C13)*R13)</f>
        <v>12217A0C</v>
      </c>
      <c r="S34" s="18" t="str">
        <f>DEC2HEX(POWER(2,$C20)*S20+POWER(2,$C19)*S19+POWER(2,$C18)*S18+POWER(2,$C17)*S17+POWER(2,$C16)*S16+POWER(2,$C15)*S15+POWER(2,$C14)*S14+POWER(2,$C13)*S13)</f>
        <v>12217A0C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F27" sqref="F27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208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11217A0C</v>
      </c>
      <c r="Y2" t="str">
        <f t="shared" ref="Y2:Y33" si="0">"0x"&amp;RIGHT("00000000"&amp;X2,8)&amp;","</f>
        <v>0x11217A0C,</v>
      </c>
      <c r="Z2" s="32" t="s">
        <v>142</v>
      </c>
    </row>
    <row r="3" spans="1:26">
      <c r="A3" s="2" t="s">
        <v>209</v>
      </c>
      <c r="B3" s="3">
        <v>61</v>
      </c>
      <c r="C3" s="3">
        <v>57</v>
      </c>
      <c r="D3" s="3">
        <v>8</v>
      </c>
      <c r="E3" s="4">
        <v>19</v>
      </c>
      <c r="F3" s="4">
        <v>31</v>
      </c>
      <c r="G3" s="4">
        <v>31</v>
      </c>
      <c r="H3" s="4">
        <v>31</v>
      </c>
      <c r="I3" s="4">
        <v>31</v>
      </c>
      <c r="J3" s="4">
        <v>31</v>
      </c>
      <c r="K3" s="4">
        <v>31</v>
      </c>
      <c r="L3" s="4">
        <v>31</v>
      </c>
      <c r="M3" s="4">
        <v>31</v>
      </c>
      <c r="N3" s="4">
        <v>31</v>
      </c>
      <c r="O3" s="4">
        <v>31</v>
      </c>
      <c r="P3" s="4">
        <v>31</v>
      </c>
      <c r="Q3" s="4">
        <v>31</v>
      </c>
      <c r="R3" s="4">
        <v>31</v>
      </c>
      <c r="S3" s="4">
        <v>31</v>
      </c>
      <c r="V3" s="30"/>
      <c r="W3" s="22">
        <v>40348064</v>
      </c>
      <c r="X3" s="31" t="str">
        <f>S33</f>
        <v>FFEE4136</v>
      </c>
      <c r="Y3" t="str">
        <f t="shared" si="0"/>
        <v>0xFFEE4136,</v>
      </c>
      <c r="Z3" s="32"/>
    </row>
    <row r="4" spans="1:26">
      <c r="A4" s="2" t="s">
        <v>210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11217A0C</v>
      </c>
      <c r="Y4" t="str">
        <f t="shared" si="0"/>
        <v>0x11217A0C,</v>
      </c>
      <c r="Z4" s="32" t="s">
        <v>146</v>
      </c>
    </row>
    <row r="5" spans="1:26">
      <c r="A5" s="2" t="s">
        <v>211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FFEE4196</v>
      </c>
      <c r="Y5" t="str">
        <f t="shared" si="0"/>
        <v>0xFFEE4196,</v>
      </c>
      <c r="Z5" s="32"/>
    </row>
    <row r="6" spans="1:26">
      <c r="A6" s="2" t="s">
        <v>212</v>
      </c>
      <c r="B6" s="3">
        <v>52</v>
      </c>
      <c r="C6" s="3">
        <v>49</v>
      </c>
      <c r="D6" s="3">
        <v>7</v>
      </c>
      <c r="E6" s="4">
        <v>7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11217A0C</v>
      </c>
      <c r="Y6" t="str">
        <f t="shared" si="0"/>
        <v>0x11217A0C,</v>
      </c>
      <c r="Z6" s="32" t="s">
        <v>149</v>
      </c>
    </row>
    <row r="7" spans="1:26">
      <c r="A7" s="2" t="s">
        <v>213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FFEE4216</v>
      </c>
      <c r="Y7" t="str">
        <f t="shared" si="0"/>
        <v>0xFFEE4216,</v>
      </c>
      <c r="Z7" s="3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11217A0C</v>
      </c>
      <c r="Y8" t="str">
        <f t="shared" si="0"/>
        <v>0x11217A0C,</v>
      </c>
      <c r="Z8" s="3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FFEE812F</v>
      </c>
      <c r="Y9" t="str">
        <f t="shared" si="0"/>
        <v>0xFFEE812F,</v>
      </c>
      <c r="Z9" s="32"/>
    </row>
    <row r="10" spans="1:26">
      <c r="A10" s="2" t="s">
        <v>156</v>
      </c>
      <c r="B10" s="3">
        <v>42</v>
      </c>
      <c r="C10" s="3">
        <v>37</v>
      </c>
      <c r="D10" s="3">
        <v>63</v>
      </c>
      <c r="E10" s="6" t="s">
        <v>218</v>
      </c>
      <c r="F10" s="6" t="s">
        <v>219</v>
      </c>
      <c r="G10" s="6" t="s">
        <v>220</v>
      </c>
      <c r="H10" s="6" t="s">
        <v>214</v>
      </c>
      <c r="I10" s="6" t="s">
        <v>162</v>
      </c>
      <c r="J10" s="6" t="s">
        <v>112</v>
      </c>
      <c r="K10" s="6" t="s">
        <v>215</v>
      </c>
      <c r="L10" s="6">
        <v>18</v>
      </c>
      <c r="M10" s="6" t="s">
        <v>195</v>
      </c>
      <c r="N10" s="6" t="s">
        <v>195</v>
      </c>
      <c r="O10" s="6" t="s">
        <v>195</v>
      </c>
      <c r="P10" s="5">
        <v>9</v>
      </c>
      <c r="Q10" s="5">
        <v>16</v>
      </c>
      <c r="R10" s="5">
        <v>12</v>
      </c>
      <c r="S10" s="5">
        <v>9</v>
      </c>
      <c r="V10" s="30">
        <v>4</v>
      </c>
      <c r="W10" s="22">
        <v>40348060</v>
      </c>
      <c r="X10" s="31" t="str">
        <f>O34</f>
        <v>11217A0C</v>
      </c>
      <c r="Y10" t="str">
        <f t="shared" si="0"/>
        <v>0x11217A0C,</v>
      </c>
      <c r="Z10" s="32" t="s">
        <v>155</v>
      </c>
    </row>
    <row r="11" spans="1:26">
      <c r="A11" s="2" t="s">
        <v>160</v>
      </c>
      <c r="B11" s="3">
        <v>36</v>
      </c>
      <c r="C11" s="3">
        <v>32</v>
      </c>
      <c r="D11" s="3">
        <v>31</v>
      </c>
      <c r="E11" s="5">
        <v>31</v>
      </c>
      <c r="F11" s="5">
        <v>22</v>
      </c>
      <c r="G11" s="5">
        <v>22</v>
      </c>
      <c r="H11" s="5">
        <v>16</v>
      </c>
      <c r="I11" s="5">
        <v>16</v>
      </c>
      <c r="J11" s="5">
        <v>16</v>
      </c>
      <c r="K11" s="5">
        <v>16</v>
      </c>
      <c r="L11" s="5">
        <v>24</v>
      </c>
      <c r="M11" s="5">
        <v>26</v>
      </c>
      <c r="N11" s="5">
        <v>18</v>
      </c>
      <c r="O11" s="5">
        <v>16</v>
      </c>
      <c r="P11" s="5">
        <v>15</v>
      </c>
      <c r="Q11" s="5">
        <v>22</v>
      </c>
      <c r="R11" s="5">
        <v>22</v>
      </c>
      <c r="S11" s="5">
        <v>22</v>
      </c>
      <c r="V11" s="30"/>
      <c r="W11" s="22">
        <v>40348064</v>
      </c>
      <c r="X11" s="31" t="str">
        <f>O33</f>
        <v>FFEE81D0</v>
      </c>
      <c r="Y11" t="str">
        <f t="shared" si="0"/>
        <v>0xFFEE81D0,</v>
      </c>
      <c r="Z11" s="32"/>
    </row>
    <row r="12" spans="1:26">
      <c r="A12" s="2" t="s">
        <v>164</v>
      </c>
      <c r="B12" s="3">
        <v>31</v>
      </c>
      <c r="C12" s="3">
        <v>29</v>
      </c>
      <c r="D12" s="3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11217A0C</v>
      </c>
      <c r="Y12" t="str">
        <f t="shared" si="0"/>
        <v>0x11217A0C,</v>
      </c>
      <c r="Z12" s="32" t="s">
        <v>163</v>
      </c>
    </row>
    <row r="13" spans="1:26">
      <c r="A13" s="2" t="s">
        <v>165</v>
      </c>
      <c r="B13" s="3">
        <v>28</v>
      </c>
      <c r="C13" s="3">
        <v>27</v>
      </c>
      <c r="D13" s="3">
        <v>3</v>
      </c>
      <c r="E13" s="7">
        <v>2</v>
      </c>
      <c r="F13" s="7">
        <v>2</v>
      </c>
      <c r="G13" s="7">
        <v>2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FFEEC1D2</v>
      </c>
      <c r="Y13" t="str">
        <f t="shared" si="0"/>
        <v>0xFFEEC1D2,</v>
      </c>
      <c r="Z13" s="32"/>
    </row>
    <row r="14" spans="1:26">
      <c r="A14" s="2" t="s">
        <v>167</v>
      </c>
      <c r="B14" s="3">
        <v>26</v>
      </c>
      <c r="C14" s="3">
        <v>24</v>
      </c>
      <c r="D14" s="3">
        <v>1</v>
      </c>
      <c r="E14" s="7" t="s">
        <v>86</v>
      </c>
      <c r="F14" s="7" t="s">
        <v>86</v>
      </c>
      <c r="G14" s="7" t="s">
        <v>86</v>
      </c>
      <c r="H14" s="7" t="s">
        <v>86</v>
      </c>
      <c r="I14" s="7" t="s">
        <v>86</v>
      </c>
      <c r="J14" s="7" t="s">
        <v>86</v>
      </c>
      <c r="K14" s="7" t="s">
        <v>86</v>
      </c>
      <c r="L14" s="7" t="s">
        <v>86</v>
      </c>
      <c r="M14" s="7" t="s">
        <v>86</v>
      </c>
      <c r="N14" s="7" t="s">
        <v>86</v>
      </c>
      <c r="O14" s="7" t="s">
        <v>86</v>
      </c>
      <c r="P14" s="7" t="s">
        <v>86</v>
      </c>
      <c r="Q14" s="7" t="s">
        <v>86</v>
      </c>
      <c r="R14" s="7" t="s">
        <v>86</v>
      </c>
      <c r="S14" s="7" t="s">
        <v>86</v>
      </c>
      <c r="V14" s="30">
        <v>6</v>
      </c>
      <c r="W14" s="22">
        <v>40348060</v>
      </c>
      <c r="X14" s="31" t="str">
        <f>M34</f>
        <v>11217A0C</v>
      </c>
      <c r="Y14" t="str">
        <f t="shared" si="0"/>
        <v>0x11217A0C,</v>
      </c>
      <c r="Z14" s="32" t="s">
        <v>166</v>
      </c>
    </row>
    <row r="15" spans="1:26">
      <c r="A15" s="2" t="s">
        <v>168</v>
      </c>
      <c r="B15" s="3">
        <v>23</v>
      </c>
      <c r="C15" s="3">
        <v>18</v>
      </c>
      <c r="D15" s="3">
        <v>47</v>
      </c>
      <c r="E15" s="4" t="s">
        <v>217</v>
      </c>
      <c r="F15" s="4" t="s">
        <v>217</v>
      </c>
      <c r="G15" s="4" t="s">
        <v>217</v>
      </c>
      <c r="H15" s="4" t="s">
        <v>217</v>
      </c>
      <c r="I15" s="4" t="s">
        <v>217</v>
      </c>
      <c r="J15" s="4" t="s">
        <v>217</v>
      </c>
      <c r="K15" s="4" t="s">
        <v>217</v>
      </c>
      <c r="L15" s="4" t="s">
        <v>217</v>
      </c>
      <c r="M15" s="4" t="s">
        <v>217</v>
      </c>
      <c r="N15" s="4" t="s">
        <v>217</v>
      </c>
      <c r="O15" s="4" t="s">
        <v>217</v>
      </c>
      <c r="P15" s="4" t="s">
        <v>217</v>
      </c>
      <c r="Q15" s="4" t="s">
        <v>217</v>
      </c>
      <c r="R15" s="4" t="s">
        <v>217</v>
      </c>
      <c r="S15" s="4" t="s">
        <v>217</v>
      </c>
      <c r="V15" s="30"/>
      <c r="W15" s="22">
        <v>40348064</v>
      </c>
      <c r="X15" s="31" t="str">
        <f>M33</f>
        <v>FFEF01DA</v>
      </c>
      <c r="Y15" t="str">
        <f t="shared" si="0"/>
        <v>0xFFEF01DA,</v>
      </c>
      <c r="Z15" s="32"/>
    </row>
    <row r="16" spans="1:26">
      <c r="A16" s="2" t="s">
        <v>170</v>
      </c>
      <c r="B16" s="3">
        <v>17</v>
      </c>
      <c r="C16" s="3">
        <v>12</v>
      </c>
      <c r="D16" s="3">
        <v>42</v>
      </c>
      <c r="E16" s="4" t="s">
        <v>161</v>
      </c>
      <c r="F16" s="4" t="s">
        <v>161</v>
      </c>
      <c r="G16" s="4" t="s">
        <v>161</v>
      </c>
      <c r="H16" s="4" t="s">
        <v>161</v>
      </c>
      <c r="I16" s="4" t="s">
        <v>161</v>
      </c>
      <c r="J16" s="4" t="s">
        <v>161</v>
      </c>
      <c r="K16" s="4" t="s">
        <v>161</v>
      </c>
      <c r="L16" s="4" t="s">
        <v>161</v>
      </c>
      <c r="M16" s="4" t="s">
        <v>161</v>
      </c>
      <c r="N16" s="4" t="s">
        <v>161</v>
      </c>
      <c r="O16" s="4" t="s">
        <v>161</v>
      </c>
      <c r="P16" s="4" t="s">
        <v>161</v>
      </c>
      <c r="Q16" s="4" t="s">
        <v>161</v>
      </c>
      <c r="R16" s="4" t="s">
        <v>161</v>
      </c>
      <c r="S16" s="4" t="s">
        <v>161</v>
      </c>
      <c r="V16" s="30">
        <v>7</v>
      </c>
      <c r="W16" s="22">
        <v>40348060</v>
      </c>
      <c r="X16" s="31" t="str">
        <f>L34</f>
        <v>11217A0C</v>
      </c>
      <c r="Y16" t="str">
        <f t="shared" si="0"/>
        <v>0x11217A0C,</v>
      </c>
      <c r="Z16" s="32" t="s">
        <v>169</v>
      </c>
    </row>
    <row r="17" spans="1:26">
      <c r="A17" s="2" t="s">
        <v>171</v>
      </c>
      <c r="B17" s="3">
        <v>11</v>
      </c>
      <c r="C17" s="3">
        <v>7</v>
      </c>
      <c r="D17" s="3">
        <v>20</v>
      </c>
      <c r="E17" s="4" t="s">
        <v>158</v>
      </c>
      <c r="F17" s="3">
        <v>20</v>
      </c>
      <c r="G17" s="4" t="s">
        <v>158</v>
      </c>
      <c r="H17" s="3">
        <v>20</v>
      </c>
      <c r="I17" s="4" t="s">
        <v>158</v>
      </c>
      <c r="J17" s="3">
        <v>20</v>
      </c>
      <c r="K17" s="4" t="s">
        <v>158</v>
      </c>
      <c r="L17" s="3">
        <v>20</v>
      </c>
      <c r="M17" s="4" t="s">
        <v>158</v>
      </c>
      <c r="N17" s="3">
        <v>20</v>
      </c>
      <c r="O17" s="4" t="s">
        <v>158</v>
      </c>
      <c r="P17" s="3">
        <v>20</v>
      </c>
      <c r="Q17" s="4" t="s">
        <v>158</v>
      </c>
      <c r="R17" s="3">
        <v>20</v>
      </c>
      <c r="S17" s="4" t="s">
        <v>158</v>
      </c>
      <c r="V17" s="30"/>
      <c r="W17" s="22">
        <v>40348064</v>
      </c>
      <c r="X17" s="31" t="str">
        <f>L33</f>
        <v>FFEF0258</v>
      </c>
      <c r="Y17" t="str">
        <f t="shared" si="0"/>
        <v>0xFFEF0258,</v>
      </c>
      <c r="Z17" s="32"/>
    </row>
    <row r="18" spans="1:26">
      <c r="A18" s="2" t="s">
        <v>173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3">
        <v>1</v>
      </c>
      <c r="I18" s="9" t="s">
        <v>86</v>
      </c>
      <c r="J18" s="9" t="s">
        <v>86</v>
      </c>
      <c r="K18" s="9" t="s">
        <v>86</v>
      </c>
      <c r="L18" s="3">
        <v>1</v>
      </c>
      <c r="M18" s="9" t="s">
        <v>86</v>
      </c>
      <c r="N18" s="9" t="s">
        <v>86</v>
      </c>
      <c r="O18" s="9" t="s">
        <v>86</v>
      </c>
      <c r="P18" s="3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11217A0C</v>
      </c>
      <c r="Y18" t="str">
        <f t="shared" si="0"/>
        <v>0x11217A0C,</v>
      </c>
      <c r="Z18" s="32" t="s">
        <v>172</v>
      </c>
    </row>
    <row r="19" spans="1:26">
      <c r="A19" s="2" t="s">
        <v>174</v>
      </c>
      <c r="B19" s="3">
        <v>2</v>
      </c>
      <c r="C19" s="3">
        <v>0</v>
      </c>
      <c r="D19" s="3">
        <v>4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FFEF4250</v>
      </c>
      <c r="Y19" t="str">
        <f t="shared" si="0"/>
        <v>0xFFEF4250,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11217A0C</v>
      </c>
      <c r="Y20" t="str">
        <f t="shared" si="0"/>
        <v>0x11217A0C,</v>
      </c>
      <c r="Z20" s="32" t="s">
        <v>175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FFEF82B0</v>
      </c>
      <c r="Y21" t="str">
        <f t="shared" si="0"/>
        <v>0xFFEF82B0,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176</v>
      </c>
      <c r="W22" s="22">
        <v>40348060</v>
      </c>
      <c r="X22" s="31" t="str">
        <f>I34</f>
        <v>11217A0C</v>
      </c>
      <c r="Y22" t="str">
        <f t="shared" si="0"/>
        <v>0x11217A0C,</v>
      </c>
      <c r="Z22" s="32" t="s">
        <v>177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FFEF8310</v>
      </c>
      <c r="Y23" t="str">
        <f t="shared" si="0"/>
        <v>0xFFEF8310,</v>
      </c>
      <c r="Z23" s="32"/>
    </row>
    <row r="24" spans="1:26">
      <c r="A24" s="12" t="s">
        <v>178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179</v>
      </c>
      <c r="W24" s="22">
        <v>40348060</v>
      </c>
      <c r="X24" s="31" t="str">
        <f>H34</f>
        <v>11217A0C</v>
      </c>
      <c r="Y24" t="str">
        <f t="shared" si="0"/>
        <v>0x11217A0C,</v>
      </c>
      <c r="Z24" s="32" t="s">
        <v>180</v>
      </c>
    </row>
    <row r="25" spans="1:26">
      <c r="A25" s="12" t="s">
        <v>181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FFEF8390</v>
      </c>
      <c r="Y25" t="str">
        <f t="shared" si="0"/>
        <v>0xFFEF8390,</v>
      </c>
      <c r="Z25" s="32"/>
    </row>
    <row r="26" spans="1:26">
      <c r="A26" s="12" t="s">
        <v>182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183</v>
      </c>
      <c r="W26" s="22">
        <v>40348060</v>
      </c>
      <c r="X26" s="31" t="str">
        <f>G34</f>
        <v>11217A0C</v>
      </c>
      <c r="Y26" t="str">
        <f t="shared" si="0"/>
        <v>0x11217A0C,</v>
      </c>
      <c r="Z26" s="32" t="s">
        <v>184</v>
      </c>
    </row>
    <row r="27" spans="1:26">
      <c r="A27" s="15" t="s">
        <v>185</v>
      </c>
      <c r="V27" s="30"/>
      <c r="W27" s="22">
        <v>40348064</v>
      </c>
      <c r="X27" s="31" t="str">
        <f>G33</f>
        <v>FFEFC436</v>
      </c>
      <c r="Y27" t="str">
        <f t="shared" si="0"/>
        <v>0xFFEFC436,</v>
      </c>
      <c r="Z27" s="32"/>
    </row>
    <row r="28" spans="22:26">
      <c r="V28" s="30" t="s">
        <v>186</v>
      </c>
      <c r="W28" s="22">
        <v>40348060</v>
      </c>
      <c r="X28" s="31" t="str">
        <f>F34</f>
        <v>11217A0C</v>
      </c>
      <c r="Y28" t="str">
        <f t="shared" si="0"/>
        <v>0x11217A0C,</v>
      </c>
      <c r="Z28" s="32" t="s">
        <v>187</v>
      </c>
    </row>
    <row r="29" spans="22:26">
      <c r="V29" s="30"/>
      <c r="W29" s="22">
        <v>40348064</v>
      </c>
      <c r="X29" s="31" t="str">
        <f>F33</f>
        <v>FFEFC516</v>
      </c>
      <c r="Y29" t="str">
        <f t="shared" si="0"/>
        <v>0xFFEFC516,</v>
      </c>
      <c r="Z29" s="32"/>
    </row>
    <row r="30" spans="22:26">
      <c r="V30" s="30" t="s">
        <v>188</v>
      </c>
      <c r="W30" s="22">
        <v>40348060</v>
      </c>
      <c r="X30" s="31" t="str">
        <f>E34</f>
        <v>11217A0C</v>
      </c>
      <c r="Y30" t="str">
        <f t="shared" si="0"/>
        <v>0x11217A0C,</v>
      </c>
      <c r="Z30" s="32" t="s">
        <v>189</v>
      </c>
    </row>
    <row r="31" spans="1:26">
      <c r="A31" t="s">
        <v>190</v>
      </c>
      <c r="V31" s="30"/>
      <c r="W31" s="22">
        <v>40348064</v>
      </c>
      <c r="X31" s="31" t="str">
        <f>E33</f>
        <v>E7EFC61F</v>
      </c>
      <c r="Y31" t="str">
        <f t="shared" si="0"/>
        <v>0xE7EFC61F,</v>
      </c>
      <c r="Z31" s="32"/>
    </row>
    <row r="32" spans="1:26">
      <c r="A32" s="16" t="s">
        <v>191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192</v>
      </c>
      <c r="W32" s="22">
        <v>40348060</v>
      </c>
      <c r="X32" s="31" t="str">
        <f>D34</f>
        <v>19BEAA0C</v>
      </c>
      <c r="Y32" t="str">
        <f t="shared" si="0"/>
        <v>0x19BEAA0C,</v>
      </c>
      <c r="Z32" s="32" t="s">
        <v>193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D1EFC7FF</v>
      </c>
      <c r="E33" s="18" t="str">
        <f>DEC2HEX(POWER(2,$C12-32)*E12+POWER(2,$C11-32)*E11+POWER(2,$C10-32)*E10+POWER(2,$C9-32)*E9+POWER(2,$C8-32)*E8+POWER(2,$C7-32)*E7+POWER(2,$C6-32)*E6+POWER(2,$C5-32)*E5+POWER(2,$C4-32)*E4+POWER(2,$C3-32)*E3+POWER(2,$C2-32)*E2)</f>
        <v>E7EFC61F</v>
      </c>
      <c r="F33" s="18" t="str">
        <f>DEC2HEX(POWER(2,$C12-32)*F12+POWER(2,$C11-32)*F11+POWER(2,$C10-32)*F10+POWER(2,$C9-32)*F9+POWER(2,$C8-32)*F8+POWER(2,$C7-32)*F7+POWER(2,$C6-32)*F6+POWER(2,$C5-32)*F5+POWER(2,$C4-32)*F4+POWER(2,$C3-32)*F3+POWER(2,$C2-32)*F2)</f>
        <v>FFEFC516</v>
      </c>
      <c r="G33" s="18" t="str">
        <f>DEC2HEX(POWER(2,$C12-32)*G12+POWER(2,$C11-32)*G11+POWER(2,$C10-32)*G10+POWER(2,$C9-32)*G9+POWER(2,$C8-32)*G8+POWER(2,$C7-32)*G7+POWER(2,$C6-32)*G6+POWER(2,$C5-32)*G5+POWER(2,$C4-32)*G4+POWER(2,$C3-32)*G3+POWER(2,$C2-32)*G2)</f>
        <v>FFEFC436</v>
      </c>
      <c r="H33" s="18" t="str">
        <f>DEC2HEX(POWER(2,$C12-32)*H12+POWER(2,$C11-32)*H11+POWER(2,$C10-32)*H10+POWER(2,$C9-32)*H9+POWER(2,$C8-32)*H8+POWER(2,$C7-32)*H7+POWER(2,$C6-32)*H6+POWER(2,$C5-32)*H5+POWER(2,$C4-32)*H4+POWER(2,$C3-32)*H3+POWER(2,$C2-32)*H2)</f>
        <v>FFEF8390</v>
      </c>
      <c r="I33" s="18" t="str">
        <f>DEC2HEX(POWER(2,$C12-32)*I12+POWER(2,$C11-32)*I11+POWER(2,$C10-32)*I10+POWER(2,$C9-32)*I9+POWER(2,$C8-32)*I8+POWER(2,$C7-32)*I7+POWER(2,$C6-32)*I6+POWER(2,$C5-32)*I5+POWER(2,$C4-32)*I4+POWER(2,$C3-32)*I3+POWER(2,$C2-32)*I2)</f>
        <v>FFEF8310</v>
      </c>
      <c r="J33" s="18" t="str">
        <f>DEC2HEX(POWER(2,$C12-32)*J12+POWER(2,$C11-32)*J11+POWER(2,$C10-32)*J10+POWER(2,$C9-32)*J9+POWER(2,$C8-32)*J8+POWER(2,$C7-32)*J7+POWER(2,$C6-32)*J6+POWER(2,$C5-32)*J5+POWER(2,$C4-32)*J4+POWER(2,$C3-32)*J3+POWER(2,$C2-32)*J2)</f>
        <v>FFEF82B0</v>
      </c>
      <c r="K33" s="18" t="str">
        <f>DEC2HEX(POWER(2,$C12-32)*K12+POWER(2,$C11-32)*K11+POWER(2,$C10-32)*K10+POWER(2,$C9-32)*K9+POWER(2,$C8-32)*K8+POWER(2,$C7-32)*K7+POWER(2,$C6-32)*K6+POWER(2,$C5-32)*K5+POWER(2,$C4-32)*K4+POWER(2,$C3-32)*K3+POWER(2,$C2-32)*K2)</f>
        <v>FFEF4250</v>
      </c>
      <c r="L33" s="18" t="str">
        <f>DEC2HEX(POWER(2,$C12-32)*L12+POWER(2,$C11-32)*L11+POWER(2,$C10-32)*L10+POWER(2,$C9-32)*L9+POWER(2,$C8-32)*L8+POWER(2,$C7-32)*L7+POWER(2,$C6-32)*L6+POWER(2,$C5-32)*L5+POWER(2,$C4-32)*L4+POWER(2,$C3-32)*L3+POWER(2,$C2-32)*L2)</f>
        <v>FFEF0258</v>
      </c>
      <c r="M33" s="18" t="str">
        <f>DEC2HEX(POWER(2,$C12-32)*M12+POWER(2,$C11-32)*M11+POWER(2,$C10-32)*M10+POWER(2,$C9-32)*M9+POWER(2,$C8-32)*M8+POWER(2,$C7-32)*M7+POWER(2,$C6-32)*M6+POWER(2,$C5-32)*M5+POWER(2,$C4-32)*M4+POWER(2,$C3-32)*M3+POWER(2,$C2-32)*M2)</f>
        <v>FFEF01DA</v>
      </c>
      <c r="N33" s="18" t="str">
        <f>DEC2HEX(POWER(2,$C12-32)*N12+POWER(2,$C11-32)*N11+POWER(2,$C10-32)*N10+POWER(2,$C9-32)*N9+POWER(2,$C8-32)*N8+POWER(2,$C7-32)*N7+POWER(2,$C6-32)*N6+POWER(2,$C5-32)*N5+POWER(2,$C4-32)*N4+POWER(2,$C3-32)*N3+POWER(2,$C2-32)*N2)</f>
        <v>FFEEC1D2</v>
      </c>
      <c r="O33" s="18" t="str">
        <f>DEC2HEX(POWER(2,$C12-32)*O12+POWER(2,$C11-32)*O11+POWER(2,$C10-32)*O10+POWER(2,$C9-32)*O9+POWER(2,$C8-32)*O8+POWER(2,$C7-32)*O7+POWER(2,$C6-32)*O6+POWER(2,$C5-32)*O5+POWER(2,$C4-32)*O4+POWER(2,$C3-32)*O3+POWER(2,$C2-32)*O2)</f>
        <v>FFEE81D0</v>
      </c>
      <c r="P33" s="18" t="str">
        <f>DEC2HEX(POWER(2,$C12-32)*P12+POWER(2,$C11-32)*P11+POWER(2,$C10-32)*P10+POWER(2,$C9-32)*P9+POWER(2,$C8-32)*P8+POWER(2,$C7-32)*P7+POWER(2,$C6-32)*P6+POWER(2,$C5-32)*P5+POWER(2,$C4-32)*P4+POWER(2,$C3-32)*P3+POWER(2,$C2-32)*P2)</f>
        <v>FFEE812F</v>
      </c>
      <c r="Q33" s="18" t="str">
        <f>DEC2HEX(POWER(2,$C12-32)*Q12+POWER(2,$C11-32)*Q11+POWER(2,$C10-32)*Q10+POWER(2,$C9-32)*Q9+POWER(2,$C8-32)*Q8+POWER(2,$C7-32)*Q7+POWER(2,$C6-32)*Q6+POWER(2,$C5-32)*Q5+POWER(2,$C4-32)*Q4+POWER(2,$C3-32)*Q3+POWER(2,$C2-32)*Q2)</f>
        <v>FFEE4216</v>
      </c>
      <c r="R33" s="18" t="str">
        <f>DEC2HEX(POWER(2,$C12-32)*R12+POWER(2,$C11-32)*R11+POWER(2,$C10-32)*R10+POWER(2,$C9-32)*R9+POWER(2,$C8-32)*R8+POWER(2,$C7-32)*R7+POWER(2,$C6-32)*R6+POWER(2,$C5-32)*R5+POWER(2,$C4-32)*R4+POWER(2,$C3-32)*R3+POWER(2,$C2-32)*R2)</f>
        <v>FFEE4196</v>
      </c>
      <c r="S33" s="18" t="str">
        <f>DEC2HEX(POWER(2,$C12-32)*S12+POWER(2,$C11-32)*S11+POWER(2,$C10-32)*S10+POWER(2,$C9-32)*S9+POWER(2,$C8-32)*S8+POWER(2,$C7-32)*S7+POWER(2,$C6-32)*S6+POWER(2,$C5-32)*S5+POWER(2,$C4-32)*S4+POWER(2,$C3-32)*S3+POWER(2,$C2-32)*S2)</f>
        <v>FFEE4136</v>
      </c>
      <c r="V33" s="29"/>
      <c r="W33" s="22">
        <v>40348064</v>
      </c>
      <c r="X33" s="31" t="str">
        <f>D33</f>
        <v>D1EFC7FF</v>
      </c>
      <c r="Y33" t="str">
        <f t="shared" si="0"/>
        <v>0xD1EFC7FF,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19BEAA0C</v>
      </c>
      <c r="E34" s="18" t="str">
        <f>DEC2HEX(POWER(2,$C20)*E20+POWER(2,$C19)*E19+POWER(2,$C18)*E18+POWER(2,$C17)*E17+POWER(2,$C16)*E16+POWER(2,$C15)*E15+POWER(2,$C14)*E14+POWER(2,$C13)*E13)</f>
        <v>11217A0C</v>
      </c>
      <c r="F34" s="18" t="str">
        <f>DEC2HEX(POWER(2,$C20)*F20+POWER(2,$C19)*F19+POWER(2,$C18)*F18+POWER(2,$C17)*F17+POWER(2,$C16)*F16+POWER(2,$C15)*F15+POWER(2,$C14)*F14+POWER(2,$C13)*F13)</f>
        <v>11217A0C</v>
      </c>
      <c r="G34" s="18" t="str">
        <f>DEC2HEX(POWER(2,$C20)*G20+POWER(2,$C19)*G19+POWER(2,$C18)*G18+POWER(2,$C17)*G17+POWER(2,$C16)*G16+POWER(2,$C15)*G15+POWER(2,$C14)*G14+POWER(2,$C13)*G13)</f>
        <v>11217A0C</v>
      </c>
      <c r="H34" s="18" t="str">
        <f>DEC2HEX(POWER(2,$C20)*H20+POWER(2,$C19)*H19+POWER(2,$C18)*H18+POWER(2,$C17)*H17+POWER(2,$C16)*H16+POWER(2,$C15)*H15+POWER(2,$C14)*H14+POWER(2,$C13)*H13)</f>
        <v>11217A0C</v>
      </c>
      <c r="I34" s="18" t="str">
        <f>DEC2HEX(POWER(2,$C20)*I20+POWER(2,$C19)*I19+POWER(2,$C18)*I18+POWER(2,$C17)*I17+POWER(2,$C16)*I16+POWER(2,$C15)*I15+POWER(2,$C14)*I14+POWER(2,$C13)*I13)</f>
        <v>11217A0C</v>
      </c>
      <c r="J34" s="18" t="str">
        <f>DEC2HEX(POWER(2,$C20)*J20+POWER(2,$C19)*J19+POWER(2,$C18)*J18+POWER(2,$C17)*J17+POWER(2,$C16)*J16+POWER(2,$C15)*J15+POWER(2,$C14)*J14+POWER(2,$C13)*J13)</f>
        <v>11217A0C</v>
      </c>
      <c r="K34" s="18" t="str">
        <f>DEC2HEX(POWER(2,$C20)*K20+POWER(2,$C19)*K19+POWER(2,$C18)*K18+POWER(2,$C17)*K17+POWER(2,$C16)*K16+POWER(2,$C15)*K15+POWER(2,$C14)*K14+POWER(2,$C13)*K13)</f>
        <v>11217A0C</v>
      </c>
      <c r="L34" s="18" t="str">
        <f>DEC2HEX(POWER(2,$C20)*L20+POWER(2,$C19)*L19+POWER(2,$C18)*L18+POWER(2,$C17)*L17+POWER(2,$C16)*L16+POWER(2,$C15)*L15+POWER(2,$C14)*L14+POWER(2,$C13)*L13)</f>
        <v>11217A0C</v>
      </c>
      <c r="M34" s="18" t="str">
        <f>DEC2HEX(POWER(2,$C20)*M20+POWER(2,$C19)*M19+POWER(2,$C18)*M18+POWER(2,$C17)*M17+POWER(2,$C16)*M16+POWER(2,$C15)*M15+POWER(2,$C14)*M14+POWER(2,$C13)*M13)</f>
        <v>11217A0C</v>
      </c>
      <c r="N34" s="18" t="str">
        <f>DEC2HEX(POWER(2,$C20)*N20+POWER(2,$C19)*N19+POWER(2,$C18)*N18+POWER(2,$C17)*N17+POWER(2,$C16)*N16+POWER(2,$C15)*N15+POWER(2,$C14)*N14+POWER(2,$C13)*N13)</f>
        <v>11217A0C</v>
      </c>
      <c r="O34" s="18" t="str">
        <f>DEC2HEX(POWER(2,$C20)*O20+POWER(2,$C19)*O19+POWER(2,$C18)*O18+POWER(2,$C17)*O17+POWER(2,$C16)*O16+POWER(2,$C15)*O15+POWER(2,$C14)*O14+POWER(2,$C13)*O13)</f>
        <v>11217A0C</v>
      </c>
      <c r="P34" s="18" t="str">
        <f>DEC2HEX(POWER(2,$C20)*P20+POWER(2,$C19)*P19+POWER(2,$C18)*P18+POWER(2,$C17)*P17+POWER(2,$C16)*P16+POWER(2,$C15)*P15+POWER(2,$C14)*P14+POWER(2,$C13)*P13)</f>
        <v>11217A0C</v>
      </c>
      <c r="Q34" s="18" t="str">
        <f>DEC2HEX(POWER(2,$C20)*Q20+POWER(2,$C19)*Q19+POWER(2,$C18)*Q18+POWER(2,$C17)*Q17+POWER(2,$C16)*Q16+POWER(2,$C15)*Q15+POWER(2,$C14)*Q14+POWER(2,$C13)*Q13)</f>
        <v>11217A0C</v>
      </c>
      <c r="R34" s="18" t="str">
        <f>DEC2HEX(POWER(2,$C20)*R20+POWER(2,$C19)*R19+POWER(2,$C18)*R18+POWER(2,$C17)*R17+POWER(2,$C16)*R16+POWER(2,$C15)*R15+POWER(2,$C14)*R14+POWER(2,$C13)*R13)</f>
        <v>11217A0C</v>
      </c>
      <c r="S34" s="18" t="str">
        <f>DEC2HEX(POWER(2,$C20)*S20+POWER(2,$C19)*S19+POWER(2,$C18)*S18+POWER(2,$C17)*S17+POWER(2,$C16)*S16+POWER(2,$C15)*S15+POWER(2,$C14)*S14+POWER(2,$C13)*S13)</f>
        <v>11217A0C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D10" sqref="D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208</v>
      </c>
      <c r="B2" s="3">
        <v>63</v>
      </c>
      <c r="C2" s="3">
        <v>62</v>
      </c>
      <c r="D2" s="3">
        <v>3</v>
      </c>
      <c r="E2" s="4">
        <v>3</v>
      </c>
      <c r="F2" s="4" t="s">
        <v>80</v>
      </c>
      <c r="G2" s="4" t="s">
        <v>80</v>
      </c>
      <c r="H2" s="4" t="s">
        <v>80</v>
      </c>
      <c r="I2" s="4" t="s">
        <v>80</v>
      </c>
      <c r="J2" s="4">
        <v>3</v>
      </c>
      <c r="K2" s="4" t="s">
        <v>80</v>
      </c>
      <c r="L2" s="4" t="s">
        <v>80</v>
      </c>
      <c r="M2" s="4" t="s">
        <v>80</v>
      </c>
      <c r="N2" s="4" t="s">
        <v>80</v>
      </c>
      <c r="O2" s="4">
        <v>3</v>
      </c>
      <c r="P2" s="4" t="s">
        <v>80</v>
      </c>
      <c r="Q2" s="4" t="s">
        <v>80</v>
      </c>
      <c r="R2" s="4" t="s">
        <v>80</v>
      </c>
      <c r="S2" s="4" t="s">
        <v>80</v>
      </c>
      <c r="V2" s="30">
        <v>0</v>
      </c>
      <c r="W2" s="22">
        <v>40348060</v>
      </c>
      <c r="X2" s="31" t="str">
        <f>S34</f>
        <v>13217A0C</v>
      </c>
      <c r="Y2" t="str">
        <f t="shared" ref="Y2:Y33" si="0">"0x"&amp;RIGHT("00000000"&amp;X2,8)&amp;","</f>
        <v>0x13217A0C,</v>
      </c>
      <c r="Z2" s="32" t="s">
        <v>142</v>
      </c>
    </row>
    <row r="3" spans="1:26">
      <c r="A3" s="2" t="s">
        <v>209</v>
      </c>
      <c r="B3" s="3">
        <v>61</v>
      </c>
      <c r="C3" s="3">
        <v>57</v>
      </c>
      <c r="D3" s="3">
        <v>12</v>
      </c>
      <c r="E3" s="4">
        <v>12</v>
      </c>
      <c r="F3" s="4" t="s">
        <v>159</v>
      </c>
      <c r="G3" s="4" t="s">
        <v>159</v>
      </c>
      <c r="H3" s="4" t="s">
        <v>159</v>
      </c>
      <c r="I3" s="4" t="s">
        <v>159</v>
      </c>
      <c r="J3" s="4">
        <v>12</v>
      </c>
      <c r="K3" s="4" t="s">
        <v>159</v>
      </c>
      <c r="L3" s="4" t="s">
        <v>159</v>
      </c>
      <c r="M3" s="4" t="s">
        <v>159</v>
      </c>
      <c r="N3" s="4" t="s">
        <v>159</v>
      </c>
      <c r="O3" s="4">
        <v>12</v>
      </c>
      <c r="P3" s="4" t="s">
        <v>159</v>
      </c>
      <c r="Q3" s="4" t="s">
        <v>159</v>
      </c>
      <c r="R3" s="4" t="s">
        <v>159</v>
      </c>
      <c r="S3" s="4" t="s">
        <v>159</v>
      </c>
      <c r="V3" s="30"/>
      <c r="W3" s="22">
        <v>40348064</v>
      </c>
      <c r="X3" s="31" t="str">
        <f>S33</f>
        <v>D9E640D4</v>
      </c>
      <c r="Y3" t="str">
        <f t="shared" si="0"/>
        <v>0xD9E640D4,</v>
      </c>
      <c r="Z3" s="32"/>
    </row>
    <row r="4" spans="1:26">
      <c r="A4" s="2" t="s">
        <v>210</v>
      </c>
      <c r="B4" s="3">
        <v>56</v>
      </c>
      <c r="C4" s="3">
        <v>56</v>
      </c>
      <c r="D4" s="3">
        <v>1</v>
      </c>
      <c r="E4" s="4">
        <v>1</v>
      </c>
      <c r="F4" s="4" t="s">
        <v>86</v>
      </c>
      <c r="G4" s="4" t="s">
        <v>86</v>
      </c>
      <c r="H4" s="4" t="s">
        <v>86</v>
      </c>
      <c r="I4" s="4" t="s">
        <v>86</v>
      </c>
      <c r="J4" s="4">
        <v>1</v>
      </c>
      <c r="K4" s="4" t="s">
        <v>86</v>
      </c>
      <c r="L4" s="4" t="s">
        <v>86</v>
      </c>
      <c r="M4" s="4" t="s">
        <v>86</v>
      </c>
      <c r="N4" s="4" t="s">
        <v>86</v>
      </c>
      <c r="O4" s="4">
        <v>1</v>
      </c>
      <c r="P4" s="4" t="s">
        <v>86</v>
      </c>
      <c r="Q4" s="4" t="s">
        <v>86</v>
      </c>
      <c r="R4" s="4" t="s">
        <v>86</v>
      </c>
      <c r="S4" s="4" t="s">
        <v>86</v>
      </c>
      <c r="V4" s="30">
        <v>1</v>
      </c>
      <c r="W4" s="22">
        <v>40348060</v>
      </c>
      <c r="X4" s="31" t="str">
        <f>R34</f>
        <v>13217A0C</v>
      </c>
      <c r="Y4" t="str">
        <f t="shared" si="0"/>
        <v>0x13217A0C,</v>
      </c>
      <c r="Z4" s="32" t="s">
        <v>146</v>
      </c>
    </row>
    <row r="5" spans="1:26">
      <c r="A5" s="2" t="s">
        <v>211</v>
      </c>
      <c r="B5" s="3">
        <v>55</v>
      </c>
      <c r="C5" s="3">
        <v>53</v>
      </c>
      <c r="D5" s="3">
        <v>7</v>
      </c>
      <c r="E5" s="4">
        <v>7</v>
      </c>
      <c r="F5" s="4" t="s">
        <v>127</v>
      </c>
      <c r="G5" s="4" t="s">
        <v>127</v>
      </c>
      <c r="H5" s="4" t="s">
        <v>127</v>
      </c>
      <c r="I5" s="4" t="s">
        <v>127</v>
      </c>
      <c r="J5" s="4">
        <v>7</v>
      </c>
      <c r="K5" s="4" t="s">
        <v>127</v>
      </c>
      <c r="L5" s="4" t="s">
        <v>127</v>
      </c>
      <c r="M5" s="4" t="s">
        <v>127</v>
      </c>
      <c r="N5" s="4" t="s">
        <v>127</v>
      </c>
      <c r="O5" s="4">
        <v>7</v>
      </c>
      <c r="P5" s="4" t="s">
        <v>127</v>
      </c>
      <c r="Q5" s="4" t="s">
        <v>127</v>
      </c>
      <c r="R5" s="4" t="s">
        <v>127</v>
      </c>
      <c r="S5" s="4" t="s">
        <v>127</v>
      </c>
      <c r="V5" s="30"/>
      <c r="W5" s="22">
        <v>40348064</v>
      </c>
      <c r="X5" s="31" t="str">
        <f>R33</f>
        <v>D9E64115</v>
      </c>
      <c r="Y5" t="str">
        <f t="shared" si="0"/>
        <v>0xD9E64115,</v>
      </c>
      <c r="Z5" s="32"/>
    </row>
    <row r="6" spans="1:26">
      <c r="A6" s="2" t="s">
        <v>212</v>
      </c>
      <c r="B6" s="3">
        <v>52</v>
      </c>
      <c r="C6" s="3">
        <v>49</v>
      </c>
      <c r="D6" s="3">
        <v>7</v>
      </c>
      <c r="E6" s="4">
        <v>3</v>
      </c>
      <c r="F6" s="4" t="s">
        <v>80</v>
      </c>
      <c r="G6" s="4" t="s">
        <v>80</v>
      </c>
      <c r="H6" s="4" t="s">
        <v>80</v>
      </c>
      <c r="I6" s="4" t="s">
        <v>80</v>
      </c>
      <c r="J6" s="4">
        <v>3</v>
      </c>
      <c r="K6" s="4" t="s">
        <v>80</v>
      </c>
      <c r="L6" s="4" t="s">
        <v>80</v>
      </c>
      <c r="M6" s="4" t="s">
        <v>80</v>
      </c>
      <c r="N6" s="4" t="s">
        <v>80</v>
      </c>
      <c r="O6" s="4">
        <v>3</v>
      </c>
      <c r="P6" s="4" t="s">
        <v>80</v>
      </c>
      <c r="Q6" s="4" t="s">
        <v>80</v>
      </c>
      <c r="R6" s="4" t="s">
        <v>80</v>
      </c>
      <c r="S6" s="4" t="s">
        <v>80</v>
      </c>
      <c r="V6" s="30">
        <v>2</v>
      </c>
      <c r="W6" s="22">
        <v>40348060</v>
      </c>
      <c r="X6" s="31" t="str">
        <f>Q34</f>
        <v>13217A0C</v>
      </c>
      <c r="Y6" t="str">
        <f t="shared" si="0"/>
        <v>0x13217A0C,</v>
      </c>
      <c r="Z6" s="32" t="s">
        <v>149</v>
      </c>
    </row>
    <row r="7" spans="1:26">
      <c r="A7" s="2" t="s">
        <v>213</v>
      </c>
      <c r="B7" s="3">
        <v>48</v>
      </c>
      <c r="C7" s="3">
        <v>46</v>
      </c>
      <c r="D7" s="3">
        <v>7</v>
      </c>
      <c r="E7" s="4">
        <v>7</v>
      </c>
      <c r="F7" s="4" t="s">
        <v>127</v>
      </c>
      <c r="G7" s="4" t="s">
        <v>127</v>
      </c>
      <c r="H7" s="4" t="s">
        <v>106</v>
      </c>
      <c r="I7" s="4" t="s">
        <v>197</v>
      </c>
      <c r="J7" s="4">
        <v>4</v>
      </c>
      <c r="K7" s="4" t="s">
        <v>94</v>
      </c>
      <c r="L7" s="4" t="s">
        <v>118</v>
      </c>
      <c r="M7" s="4" t="s">
        <v>118</v>
      </c>
      <c r="N7" s="4" t="s">
        <v>86</v>
      </c>
      <c r="O7" s="4">
        <v>1</v>
      </c>
      <c r="P7" s="4" t="s">
        <v>86</v>
      </c>
      <c r="Q7" s="4" t="s">
        <v>86</v>
      </c>
      <c r="R7" s="4" t="s">
        <v>86</v>
      </c>
      <c r="S7" s="4" t="s">
        <v>86</v>
      </c>
      <c r="V7" s="30"/>
      <c r="W7" s="22">
        <v>40348064</v>
      </c>
      <c r="X7" s="31" t="str">
        <f>Q33</f>
        <v>D9E64172</v>
      </c>
      <c r="Y7" t="str">
        <f t="shared" si="0"/>
        <v>0xD9E64172,</v>
      </c>
      <c r="Z7" s="3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>
        <v>0</v>
      </c>
      <c r="F8" s="4" t="s">
        <v>72</v>
      </c>
      <c r="G8" s="4" t="s">
        <v>72</v>
      </c>
      <c r="H8" s="4" t="s">
        <v>72</v>
      </c>
      <c r="I8" s="4" t="s">
        <v>72</v>
      </c>
      <c r="J8" s="4">
        <v>0</v>
      </c>
      <c r="K8" s="4" t="s">
        <v>72</v>
      </c>
      <c r="L8" s="4" t="s">
        <v>72</v>
      </c>
      <c r="M8" s="4" t="s">
        <v>72</v>
      </c>
      <c r="N8" s="4" t="s">
        <v>72</v>
      </c>
      <c r="O8" s="4">
        <v>0</v>
      </c>
      <c r="P8" s="4" t="s">
        <v>72</v>
      </c>
      <c r="Q8" s="4" t="s">
        <v>72</v>
      </c>
      <c r="R8" s="4" t="s">
        <v>72</v>
      </c>
      <c r="S8" s="4" t="s">
        <v>72</v>
      </c>
      <c r="V8" s="30">
        <v>3</v>
      </c>
      <c r="W8" s="22">
        <v>40348060</v>
      </c>
      <c r="X8" s="31" t="str">
        <f>P34</f>
        <v>13217A0C</v>
      </c>
      <c r="Y8" t="str">
        <f t="shared" si="0"/>
        <v>0x13217A0C,</v>
      </c>
      <c r="Z8" s="3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>
        <v>0</v>
      </c>
      <c r="F9" s="4" t="s">
        <v>72</v>
      </c>
      <c r="G9" s="4" t="s">
        <v>72</v>
      </c>
      <c r="H9" s="4" t="s">
        <v>72</v>
      </c>
      <c r="I9" s="4" t="s">
        <v>72</v>
      </c>
      <c r="J9" s="4">
        <v>0</v>
      </c>
      <c r="K9" s="4" t="s">
        <v>72</v>
      </c>
      <c r="L9" s="4" t="s">
        <v>72</v>
      </c>
      <c r="M9" s="4" t="s">
        <v>72</v>
      </c>
      <c r="N9" s="4" t="s">
        <v>72</v>
      </c>
      <c r="O9" s="4">
        <v>0</v>
      </c>
      <c r="P9" s="4" t="s">
        <v>72</v>
      </c>
      <c r="Q9" s="4" t="s">
        <v>72</v>
      </c>
      <c r="R9" s="4" t="s">
        <v>72</v>
      </c>
      <c r="S9" s="4" t="s">
        <v>72</v>
      </c>
      <c r="V9" s="30"/>
      <c r="W9" s="22">
        <v>40348064</v>
      </c>
      <c r="X9" s="31" t="str">
        <f>P33</f>
        <v>D9E641E8</v>
      </c>
      <c r="Y9" t="str">
        <f t="shared" si="0"/>
        <v>0xD9E641E8,</v>
      </c>
      <c r="Z9" s="32"/>
    </row>
    <row r="10" spans="1:26">
      <c r="A10" s="2" t="s">
        <v>156</v>
      </c>
      <c r="B10" s="3">
        <v>42</v>
      </c>
      <c r="C10" s="3">
        <v>37</v>
      </c>
      <c r="D10" s="3">
        <v>63</v>
      </c>
      <c r="E10" s="5">
        <v>52</v>
      </c>
      <c r="F10" s="6" t="s">
        <v>206</v>
      </c>
      <c r="G10" s="6" t="s">
        <v>112</v>
      </c>
      <c r="H10" s="6" t="s">
        <v>216</v>
      </c>
      <c r="I10" s="6" t="s">
        <v>199</v>
      </c>
      <c r="J10" s="5">
        <v>21</v>
      </c>
      <c r="K10" s="6" t="s">
        <v>76</v>
      </c>
      <c r="L10" s="5" t="s">
        <v>215</v>
      </c>
      <c r="M10" s="6" t="s">
        <v>76</v>
      </c>
      <c r="N10" s="5" t="s">
        <v>200</v>
      </c>
      <c r="O10" s="6" t="s">
        <v>215</v>
      </c>
      <c r="P10" s="5" t="s">
        <v>76</v>
      </c>
      <c r="Q10" s="5" t="s">
        <v>198</v>
      </c>
      <c r="R10" s="5" t="s">
        <v>217</v>
      </c>
      <c r="S10" s="5" t="s">
        <v>106</v>
      </c>
      <c r="V10" s="30">
        <v>4</v>
      </c>
      <c r="W10" s="22">
        <v>40348060</v>
      </c>
      <c r="X10" s="31" t="str">
        <f>O34</f>
        <v>13217A0C</v>
      </c>
      <c r="Y10" t="str">
        <f t="shared" si="0"/>
        <v>0x13217A0C,</v>
      </c>
      <c r="Z10" s="32" t="s">
        <v>155</v>
      </c>
    </row>
    <row r="11" spans="1:26">
      <c r="A11" s="2" t="s">
        <v>160</v>
      </c>
      <c r="B11" s="3">
        <v>36</v>
      </c>
      <c r="C11" s="3">
        <v>32</v>
      </c>
      <c r="D11" s="3">
        <v>31</v>
      </c>
      <c r="E11" s="5">
        <v>20</v>
      </c>
      <c r="F11" s="5" t="s">
        <v>158</v>
      </c>
      <c r="G11" s="5" t="s">
        <v>158</v>
      </c>
      <c r="H11" s="5" t="s">
        <v>205</v>
      </c>
      <c r="I11" s="5" t="s">
        <v>214</v>
      </c>
      <c r="J11" s="5">
        <v>28</v>
      </c>
      <c r="K11" s="5" t="s">
        <v>205</v>
      </c>
      <c r="L11" s="5" t="s">
        <v>207</v>
      </c>
      <c r="M11" s="5" t="s">
        <v>158</v>
      </c>
      <c r="N11" s="5" t="s">
        <v>158</v>
      </c>
      <c r="O11" s="5">
        <v>8</v>
      </c>
      <c r="P11" s="5" t="s">
        <v>217</v>
      </c>
      <c r="Q11" s="5" t="s">
        <v>215</v>
      </c>
      <c r="R11" s="5" t="s">
        <v>112</v>
      </c>
      <c r="S11" s="5" t="s">
        <v>158</v>
      </c>
      <c r="V11" s="30"/>
      <c r="W11" s="22">
        <v>40348064</v>
      </c>
      <c r="X11" s="31" t="str">
        <f>O33</f>
        <v>D9E64248</v>
      </c>
      <c r="Y11" t="str">
        <f t="shared" si="0"/>
        <v>0xD9E64248,</v>
      </c>
      <c r="Z11" s="32"/>
    </row>
    <row r="12" spans="1:26">
      <c r="A12" s="2" t="s">
        <v>164</v>
      </c>
      <c r="B12" s="3">
        <v>31</v>
      </c>
      <c r="C12" s="3">
        <v>29</v>
      </c>
      <c r="D12" s="3">
        <v>0</v>
      </c>
      <c r="E12" s="7">
        <v>0</v>
      </c>
      <c r="F12" s="7" t="s">
        <v>72</v>
      </c>
      <c r="G12" s="7" t="s">
        <v>72</v>
      </c>
      <c r="H12" s="7" t="s">
        <v>72</v>
      </c>
      <c r="I12" s="7" t="s">
        <v>72</v>
      </c>
      <c r="J12" s="7">
        <v>0</v>
      </c>
      <c r="K12" s="7" t="s">
        <v>72</v>
      </c>
      <c r="L12" s="7" t="s">
        <v>72</v>
      </c>
      <c r="M12" s="7" t="s">
        <v>72</v>
      </c>
      <c r="N12" s="7" t="s">
        <v>72</v>
      </c>
      <c r="O12" s="7">
        <v>0</v>
      </c>
      <c r="P12" s="7" t="s">
        <v>72</v>
      </c>
      <c r="Q12" s="7" t="s">
        <v>72</v>
      </c>
      <c r="R12" s="7" t="s">
        <v>72</v>
      </c>
      <c r="S12" s="7" t="s">
        <v>72</v>
      </c>
      <c r="V12" s="30">
        <v>5</v>
      </c>
      <c r="W12" s="22">
        <v>40348060</v>
      </c>
      <c r="X12" s="31" t="str">
        <f>N34</f>
        <v>13217A0C</v>
      </c>
      <c r="Y12" t="str">
        <f t="shared" si="0"/>
        <v>0x13217A0C,</v>
      </c>
      <c r="Z12" s="32" t="s">
        <v>163</v>
      </c>
    </row>
    <row r="13" spans="1:26">
      <c r="A13" s="2" t="s">
        <v>165</v>
      </c>
      <c r="B13" s="3">
        <v>28</v>
      </c>
      <c r="C13" s="3">
        <v>27</v>
      </c>
      <c r="D13" s="3">
        <v>3</v>
      </c>
      <c r="E13" s="7">
        <v>2</v>
      </c>
      <c r="F13" s="7" t="s">
        <v>118</v>
      </c>
      <c r="G13" s="7" t="s">
        <v>118</v>
      </c>
      <c r="H13" s="7" t="s">
        <v>118</v>
      </c>
      <c r="I13" s="7" t="s">
        <v>118</v>
      </c>
      <c r="J13" s="7">
        <v>2</v>
      </c>
      <c r="K13" s="7" t="s">
        <v>118</v>
      </c>
      <c r="L13" s="7" t="s">
        <v>118</v>
      </c>
      <c r="M13" s="7" t="s">
        <v>118</v>
      </c>
      <c r="N13" s="7" t="s">
        <v>118</v>
      </c>
      <c r="O13" s="7">
        <v>2</v>
      </c>
      <c r="P13" s="7" t="s">
        <v>118</v>
      </c>
      <c r="Q13" s="7" t="s">
        <v>118</v>
      </c>
      <c r="R13" s="7" t="s">
        <v>118</v>
      </c>
      <c r="S13" s="7" t="s">
        <v>118</v>
      </c>
      <c r="V13" s="30"/>
      <c r="W13" s="22">
        <v>40348064</v>
      </c>
      <c r="X13" s="31" t="str">
        <f>N33</f>
        <v>D9E64334</v>
      </c>
      <c r="Y13" t="str">
        <f t="shared" si="0"/>
        <v>0xD9E64334,</v>
      </c>
      <c r="Z13" s="32"/>
    </row>
    <row r="14" spans="1:26">
      <c r="A14" s="2" t="s">
        <v>167</v>
      </c>
      <c r="B14" s="3">
        <v>26</v>
      </c>
      <c r="C14" s="3">
        <v>24</v>
      </c>
      <c r="D14" s="3">
        <v>3</v>
      </c>
      <c r="E14" s="7" t="s">
        <v>80</v>
      </c>
      <c r="F14" s="7" t="s">
        <v>80</v>
      </c>
      <c r="G14" s="7" t="s">
        <v>80</v>
      </c>
      <c r="H14" s="7" t="s">
        <v>80</v>
      </c>
      <c r="I14" s="7" t="s">
        <v>80</v>
      </c>
      <c r="J14" s="7" t="s">
        <v>80</v>
      </c>
      <c r="K14" s="7" t="s">
        <v>80</v>
      </c>
      <c r="L14" s="7" t="s">
        <v>80</v>
      </c>
      <c r="M14" s="7" t="s">
        <v>80</v>
      </c>
      <c r="N14" s="7" t="s">
        <v>80</v>
      </c>
      <c r="O14" s="7" t="s">
        <v>80</v>
      </c>
      <c r="P14" s="7" t="s">
        <v>80</v>
      </c>
      <c r="Q14" s="7" t="s">
        <v>80</v>
      </c>
      <c r="R14" s="7" t="s">
        <v>80</v>
      </c>
      <c r="S14" s="7" t="s">
        <v>80</v>
      </c>
      <c r="V14" s="30">
        <v>6</v>
      </c>
      <c r="W14" s="22">
        <v>40348060</v>
      </c>
      <c r="X14" s="31" t="str">
        <f>M34</f>
        <v>13217A0C</v>
      </c>
      <c r="Y14" t="str">
        <f t="shared" si="0"/>
        <v>0x13217A0C,</v>
      </c>
      <c r="Z14" s="32" t="s">
        <v>166</v>
      </c>
    </row>
    <row r="15" spans="1:26">
      <c r="A15" s="2" t="s">
        <v>168</v>
      </c>
      <c r="B15" s="3">
        <v>23</v>
      </c>
      <c r="C15" s="3">
        <v>18</v>
      </c>
      <c r="D15" s="3">
        <v>47</v>
      </c>
      <c r="E15" s="4" t="s">
        <v>217</v>
      </c>
      <c r="F15" s="4" t="s">
        <v>217</v>
      </c>
      <c r="G15" s="4" t="s">
        <v>217</v>
      </c>
      <c r="H15" s="4" t="s">
        <v>217</v>
      </c>
      <c r="I15" s="4" t="s">
        <v>217</v>
      </c>
      <c r="J15" s="4" t="s">
        <v>217</v>
      </c>
      <c r="K15" s="4" t="s">
        <v>217</v>
      </c>
      <c r="L15" s="4" t="s">
        <v>217</v>
      </c>
      <c r="M15" s="4" t="s">
        <v>217</v>
      </c>
      <c r="N15" s="4" t="s">
        <v>217</v>
      </c>
      <c r="O15" s="4" t="s">
        <v>217</v>
      </c>
      <c r="P15" s="4" t="s">
        <v>217</v>
      </c>
      <c r="Q15" s="4" t="s">
        <v>217</v>
      </c>
      <c r="R15" s="4" t="s">
        <v>217</v>
      </c>
      <c r="S15" s="4" t="s">
        <v>217</v>
      </c>
      <c r="V15" s="30"/>
      <c r="W15" s="22">
        <v>40348064</v>
      </c>
      <c r="X15" s="31" t="str">
        <f>M33</f>
        <v>D9E681F4</v>
      </c>
      <c r="Y15" t="str">
        <f t="shared" si="0"/>
        <v>0xD9E681F4,</v>
      </c>
      <c r="Z15" s="32"/>
    </row>
    <row r="16" spans="1:26">
      <c r="A16" s="2" t="s">
        <v>170</v>
      </c>
      <c r="B16" s="3">
        <v>17</v>
      </c>
      <c r="C16" s="3">
        <v>12</v>
      </c>
      <c r="D16" s="3">
        <v>42</v>
      </c>
      <c r="E16" s="4" t="s">
        <v>161</v>
      </c>
      <c r="F16" s="4" t="s">
        <v>161</v>
      </c>
      <c r="G16" s="4" t="s">
        <v>161</v>
      </c>
      <c r="H16" s="4" t="s">
        <v>161</v>
      </c>
      <c r="I16" s="4" t="s">
        <v>161</v>
      </c>
      <c r="J16" s="4" t="s">
        <v>161</v>
      </c>
      <c r="K16" s="4" t="s">
        <v>161</v>
      </c>
      <c r="L16" s="4" t="s">
        <v>161</v>
      </c>
      <c r="M16" s="4" t="s">
        <v>161</v>
      </c>
      <c r="N16" s="4" t="s">
        <v>161</v>
      </c>
      <c r="O16" s="4" t="s">
        <v>161</v>
      </c>
      <c r="P16" s="4" t="s">
        <v>161</v>
      </c>
      <c r="Q16" s="4" t="s">
        <v>161</v>
      </c>
      <c r="R16" s="4" t="s">
        <v>161</v>
      </c>
      <c r="S16" s="4" t="s">
        <v>161</v>
      </c>
      <c r="V16" s="30">
        <v>7</v>
      </c>
      <c r="W16" s="22">
        <v>40348060</v>
      </c>
      <c r="X16" s="31" t="str">
        <f>L34</f>
        <v>13217A0C</v>
      </c>
      <c r="Y16" t="str">
        <f t="shared" si="0"/>
        <v>0x13217A0C,</v>
      </c>
      <c r="Z16" s="32" t="s">
        <v>169</v>
      </c>
    </row>
    <row r="17" spans="1:26">
      <c r="A17" s="2" t="s">
        <v>171</v>
      </c>
      <c r="B17" s="3">
        <v>11</v>
      </c>
      <c r="C17" s="3">
        <v>7</v>
      </c>
      <c r="D17" s="3">
        <v>20</v>
      </c>
      <c r="E17" s="4" t="s">
        <v>158</v>
      </c>
      <c r="F17" s="4">
        <v>20</v>
      </c>
      <c r="G17" s="4" t="s">
        <v>158</v>
      </c>
      <c r="H17" s="4">
        <v>20</v>
      </c>
      <c r="I17" s="4" t="s">
        <v>158</v>
      </c>
      <c r="J17" s="4">
        <v>20</v>
      </c>
      <c r="K17" s="4" t="s">
        <v>158</v>
      </c>
      <c r="L17" s="4">
        <v>20</v>
      </c>
      <c r="M17" s="4" t="s">
        <v>158</v>
      </c>
      <c r="N17" s="4">
        <v>20</v>
      </c>
      <c r="O17" s="4" t="s">
        <v>158</v>
      </c>
      <c r="P17" s="4">
        <v>20</v>
      </c>
      <c r="Q17" s="4" t="s">
        <v>158</v>
      </c>
      <c r="R17" s="4">
        <v>20</v>
      </c>
      <c r="S17" s="4" t="s">
        <v>158</v>
      </c>
      <c r="V17" s="30"/>
      <c r="W17" s="22">
        <v>40348064</v>
      </c>
      <c r="X17" s="31" t="str">
        <f>L33</f>
        <v>D9E6825A</v>
      </c>
      <c r="Y17" t="str">
        <f t="shared" si="0"/>
        <v>0xD9E6825A,</v>
      </c>
      <c r="Z17" s="32"/>
    </row>
    <row r="18" spans="1:26">
      <c r="A18" s="2" t="s">
        <v>173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13217A0C</v>
      </c>
      <c r="Y18" t="str">
        <f t="shared" si="0"/>
        <v>0x13217A0C,</v>
      </c>
      <c r="Z18" s="32" t="s">
        <v>172</v>
      </c>
    </row>
    <row r="19" spans="1:26">
      <c r="A19" s="2" t="s">
        <v>174</v>
      </c>
      <c r="B19" s="3">
        <v>2</v>
      </c>
      <c r="C19" s="3">
        <v>0</v>
      </c>
      <c r="D19" s="3">
        <v>4</v>
      </c>
      <c r="E19" s="4">
        <v>4</v>
      </c>
      <c r="F19" s="4" t="s">
        <v>94</v>
      </c>
      <c r="G19" s="4" t="s">
        <v>94</v>
      </c>
      <c r="H19" s="4" t="s">
        <v>94</v>
      </c>
      <c r="I19" s="4" t="s">
        <v>94</v>
      </c>
      <c r="J19" s="4">
        <v>4</v>
      </c>
      <c r="K19" s="4" t="s">
        <v>94</v>
      </c>
      <c r="L19" s="4" t="s">
        <v>94</v>
      </c>
      <c r="M19" s="4" t="s">
        <v>94</v>
      </c>
      <c r="N19" s="4" t="s">
        <v>94</v>
      </c>
      <c r="O19" s="4">
        <v>4</v>
      </c>
      <c r="P19" s="4" t="s">
        <v>94</v>
      </c>
      <c r="Q19" s="4" t="s">
        <v>94</v>
      </c>
      <c r="R19" s="4" t="s">
        <v>94</v>
      </c>
      <c r="S19" s="4" t="s">
        <v>94</v>
      </c>
      <c r="V19" s="30"/>
      <c r="W19" s="22">
        <v>40348064</v>
      </c>
      <c r="X19" s="31" t="str">
        <f>K33</f>
        <v>D9E701F6</v>
      </c>
      <c r="Y19" t="str">
        <f t="shared" si="0"/>
        <v>0xD9E701F6,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13217A0C</v>
      </c>
      <c r="Y20" t="str">
        <f t="shared" si="0"/>
        <v>0x13217A0C,</v>
      </c>
      <c r="Z20" s="32" t="s">
        <v>175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D9E702BC</v>
      </c>
      <c r="Y21" t="str">
        <f t="shared" si="0"/>
        <v>0xD9E702BC,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176</v>
      </c>
      <c r="W22" s="22">
        <v>40348060</v>
      </c>
      <c r="X22" s="31" t="str">
        <f>I34</f>
        <v>13217A0C</v>
      </c>
      <c r="Y22" t="str">
        <f t="shared" si="0"/>
        <v>0x13217A0C,</v>
      </c>
      <c r="Z22" s="32" t="s">
        <v>177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D9E7423C</v>
      </c>
      <c r="Y23" t="str">
        <f t="shared" si="0"/>
        <v>0xD9E7423C,</v>
      </c>
      <c r="Z23" s="32"/>
    </row>
    <row r="24" spans="1:26">
      <c r="A24" s="12" t="s">
        <v>178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179</v>
      </c>
      <c r="W24" s="22">
        <v>40348060</v>
      </c>
      <c r="X24" s="31" t="str">
        <f>H34</f>
        <v>13217A0C</v>
      </c>
      <c r="Y24" t="str">
        <f t="shared" si="0"/>
        <v>0x13217A0C,</v>
      </c>
      <c r="Z24" s="32" t="s">
        <v>180</v>
      </c>
    </row>
    <row r="25" spans="1:26">
      <c r="A25" s="12" t="s">
        <v>181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D9E78276</v>
      </c>
      <c r="Y25" t="str">
        <f t="shared" si="0"/>
        <v>0xD9E78276,</v>
      </c>
      <c r="Z25" s="32"/>
    </row>
    <row r="26" spans="1:26">
      <c r="A26" s="12" t="s">
        <v>182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183</v>
      </c>
      <c r="W26" s="22">
        <v>40348060</v>
      </c>
      <c r="X26" s="31" t="str">
        <f>G34</f>
        <v>13217A0C</v>
      </c>
      <c r="Y26" t="str">
        <f t="shared" si="0"/>
        <v>0x13217A0C,</v>
      </c>
      <c r="Z26" s="32" t="s">
        <v>184</v>
      </c>
    </row>
    <row r="27" spans="1:26">
      <c r="A27" s="15" t="s">
        <v>185</v>
      </c>
      <c r="V27" s="30"/>
      <c r="W27" s="22">
        <v>40348064</v>
      </c>
      <c r="X27" s="31" t="str">
        <f>G33</f>
        <v>D9E7C2B4</v>
      </c>
      <c r="Y27" t="str">
        <f t="shared" si="0"/>
        <v>0xD9E7C2B4,</v>
      </c>
      <c r="Z27" s="32"/>
    </row>
    <row r="28" spans="22:26">
      <c r="V28" s="30" t="s">
        <v>186</v>
      </c>
      <c r="W28" s="22">
        <v>40348060</v>
      </c>
      <c r="X28" s="31" t="str">
        <f>F34</f>
        <v>13217A0C</v>
      </c>
      <c r="Y28" t="str">
        <f t="shared" si="0"/>
        <v>0x13217A0C,</v>
      </c>
      <c r="Z28" s="32" t="s">
        <v>187</v>
      </c>
    </row>
    <row r="29" spans="22:26">
      <c r="V29" s="30"/>
      <c r="W29" s="22">
        <v>40348064</v>
      </c>
      <c r="X29" s="31" t="str">
        <f>F33</f>
        <v>D9E7C374</v>
      </c>
      <c r="Y29" t="str">
        <f t="shared" si="0"/>
        <v>0xD9E7C374,</v>
      </c>
      <c r="Z29" s="32"/>
    </row>
    <row r="30" spans="22:26">
      <c r="V30" s="30" t="s">
        <v>188</v>
      </c>
      <c r="W30" s="22">
        <v>40348060</v>
      </c>
      <c r="X30" s="31" t="str">
        <f>E34</f>
        <v>13217A0C</v>
      </c>
      <c r="Y30" t="str">
        <f t="shared" si="0"/>
        <v>0x13217A0C,</v>
      </c>
      <c r="Z30" s="32" t="s">
        <v>189</v>
      </c>
    </row>
    <row r="31" spans="1:26">
      <c r="A31" t="s">
        <v>190</v>
      </c>
      <c r="V31" s="30"/>
      <c r="W31" s="22">
        <v>40348064</v>
      </c>
      <c r="X31" s="31" t="str">
        <f>E33</f>
        <v>D9E7C694</v>
      </c>
      <c r="Y31" t="str">
        <f t="shared" si="0"/>
        <v>0xD9E7C694,</v>
      </c>
      <c r="Z31" s="32"/>
    </row>
    <row r="32" spans="1:26">
      <c r="A32" s="16" t="s">
        <v>191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192</v>
      </c>
      <c r="W32" s="22">
        <v>40348060</v>
      </c>
      <c r="X32" s="31" t="str">
        <f>D34</f>
        <v>1BBEAA0C</v>
      </c>
      <c r="Y32" t="str">
        <f t="shared" si="0"/>
        <v>0x1BBEAA0C,</v>
      </c>
      <c r="Z32" s="32" t="s">
        <v>193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D9EFC7FF</v>
      </c>
      <c r="E33" s="18" t="str">
        <f>DEC2HEX(POWER(2,$C12-32)*E12+POWER(2,$C11-32)*E11+POWER(2,$C10-32)*E10+POWER(2,$C9-32)*E9+POWER(2,$C8-32)*E8+POWER(2,$C7-32)*E7+POWER(2,$C6-32)*E6+POWER(2,$C5-32)*E5+POWER(2,$C4-32)*E4+POWER(2,$C3-32)*E3+POWER(2,$C2-32)*E2)</f>
        <v>D9E7C694</v>
      </c>
      <c r="F33" s="18" t="str">
        <f>DEC2HEX(POWER(2,$C12-32)*F12+POWER(2,$C11-32)*F11+POWER(2,$C10-32)*F10+POWER(2,$C9-32)*F9+POWER(2,$C8-32)*F8+POWER(2,$C7-32)*F7+POWER(2,$C6-32)*F6+POWER(2,$C5-32)*F5+POWER(2,$C4-32)*F4+POWER(2,$C3-32)*F3+POWER(2,$C2-32)*F2)</f>
        <v>D9E7C374</v>
      </c>
      <c r="G33" s="18" t="str">
        <f>DEC2HEX(POWER(2,$C12-32)*G12+POWER(2,$C11-32)*G11+POWER(2,$C10-32)*G10+POWER(2,$C9-32)*G9+POWER(2,$C8-32)*G8+POWER(2,$C7-32)*G7+POWER(2,$C6-32)*G6+POWER(2,$C5-32)*G5+POWER(2,$C4-32)*G4+POWER(2,$C3-32)*G3+POWER(2,$C2-32)*G2)</f>
        <v>D9E7C2B4</v>
      </c>
      <c r="H33" s="18" t="str">
        <f>DEC2HEX(POWER(2,$C12-32)*H12+POWER(2,$C11-32)*H11+POWER(2,$C10-32)*H10+POWER(2,$C9-32)*H9+POWER(2,$C8-32)*H8+POWER(2,$C7-32)*H7+POWER(2,$C6-32)*H6+POWER(2,$C5-32)*H5+POWER(2,$C4-32)*H4+POWER(2,$C3-32)*H3+POWER(2,$C2-32)*H2)</f>
        <v>D9E78276</v>
      </c>
      <c r="I33" s="18" t="str">
        <f>DEC2HEX(POWER(2,$C12-32)*I12+POWER(2,$C11-32)*I11+POWER(2,$C10-32)*I10+POWER(2,$C9-32)*I9+POWER(2,$C8-32)*I8+POWER(2,$C7-32)*I7+POWER(2,$C6-32)*I6+POWER(2,$C5-32)*I5+POWER(2,$C4-32)*I4+POWER(2,$C3-32)*I3+POWER(2,$C2-32)*I2)</f>
        <v>D9E7423C</v>
      </c>
      <c r="J33" s="18" t="str">
        <f>DEC2HEX(POWER(2,$C12-32)*J12+POWER(2,$C11-32)*J11+POWER(2,$C10-32)*J10+POWER(2,$C9-32)*J9+POWER(2,$C8-32)*J8+POWER(2,$C7-32)*J7+POWER(2,$C6-32)*J6+POWER(2,$C5-32)*J5+POWER(2,$C4-32)*J4+POWER(2,$C3-32)*J3+POWER(2,$C2-32)*J2)</f>
        <v>D9E702BC</v>
      </c>
      <c r="K33" s="18" t="str">
        <f>DEC2HEX(POWER(2,$C12-32)*K12+POWER(2,$C11-32)*K11+POWER(2,$C10-32)*K10+POWER(2,$C9-32)*K9+POWER(2,$C8-32)*K8+POWER(2,$C7-32)*K7+POWER(2,$C6-32)*K6+POWER(2,$C5-32)*K5+POWER(2,$C4-32)*K4+POWER(2,$C3-32)*K3+POWER(2,$C2-32)*K2)</f>
        <v>D9E701F6</v>
      </c>
      <c r="L33" s="18" t="str">
        <f>DEC2HEX(POWER(2,$C12-32)*L12+POWER(2,$C11-32)*L11+POWER(2,$C10-32)*L10+POWER(2,$C9-32)*L9+POWER(2,$C8-32)*L8+POWER(2,$C7-32)*L7+POWER(2,$C6-32)*L6+POWER(2,$C5-32)*L5+POWER(2,$C4-32)*L4+POWER(2,$C3-32)*L3+POWER(2,$C2-32)*L2)</f>
        <v>D9E6825A</v>
      </c>
      <c r="M33" s="18" t="str">
        <f>DEC2HEX(POWER(2,$C12-32)*M12+POWER(2,$C11-32)*M11+POWER(2,$C10-32)*M10+POWER(2,$C9-32)*M9+POWER(2,$C8-32)*M8+POWER(2,$C7-32)*M7+POWER(2,$C6-32)*M6+POWER(2,$C5-32)*M5+POWER(2,$C4-32)*M4+POWER(2,$C3-32)*M3+POWER(2,$C2-32)*M2)</f>
        <v>D9E681F4</v>
      </c>
      <c r="N33" s="18" t="str">
        <f>DEC2HEX(POWER(2,$C12-32)*N12+POWER(2,$C11-32)*N11+POWER(2,$C10-32)*N10+POWER(2,$C9-32)*N9+POWER(2,$C8-32)*N8+POWER(2,$C7-32)*N7+POWER(2,$C6-32)*N6+POWER(2,$C5-32)*N5+POWER(2,$C4-32)*N4+POWER(2,$C3-32)*N3+POWER(2,$C2-32)*N2)</f>
        <v>D9E64334</v>
      </c>
      <c r="O33" s="18" t="str">
        <f>DEC2HEX(POWER(2,$C12-32)*O12+POWER(2,$C11-32)*O11+POWER(2,$C10-32)*O10+POWER(2,$C9-32)*O9+POWER(2,$C8-32)*O8+POWER(2,$C7-32)*O7+POWER(2,$C6-32)*O6+POWER(2,$C5-32)*O5+POWER(2,$C4-32)*O4+POWER(2,$C3-32)*O3+POWER(2,$C2-32)*O2)</f>
        <v>D9E64248</v>
      </c>
      <c r="P33" s="18" t="str">
        <f>DEC2HEX(POWER(2,$C12-32)*P12+POWER(2,$C11-32)*P11+POWER(2,$C10-32)*P10+POWER(2,$C9-32)*P9+POWER(2,$C8-32)*P8+POWER(2,$C7-32)*P7+POWER(2,$C6-32)*P6+POWER(2,$C5-32)*P5+POWER(2,$C4-32)*P4+POWER(2,$C3-32)*P3+POWER(2,$C2-32)*P2)</f>
        <v>D9E641E8</v>
      </c>
      <c r="Q33" s="18" t="str">
        <f>DEC2HEX(POWER(2,$C12-32)*Q12+POWER(2,$C11-32)*Q11+POWER(2,$C10-32)*Q10+POWER(2,$C9-32)*Q9+POWER(2,$C8-32)*Q8+POWER(2,$C7-32)*Q7+POWER(2,$C6-32)*Q6+POWER(2,$C5-32)*Q5+POWER(2,$C4-32)*Q4+POWER(2,$C3-32)*Q3+POWER(2,$C2-32)*Q2)</f>
        <v>D9E64172</v>
      </c>
      <c r="R33" s="18" t="str">
        <f>DEC2HEX(POWER(2,$C12-32)*R12+POWER(2,$C11-32)*R11+POWER(2,$C10-32)*R10+POWER(2,$C9-32)*R9+POWER(2,$C8-32)*R8+POWER(2,$C7-32)*R7+POWER(2,$C6-32)*R6+POWER(2,$C5-32)*R5+POWER(2,$C4-32)*R4+POWER(2,$C3-32)*R3+POWER(2,$C2-32)*R2)</f>
        <v>D9E64115</v>
      </c>
      <c r="S33" s="18" t="str">
        <f>DEC2HEX(POWER(2,$C12-32)*S12+POWER(2,$C11-32)*S11+POWER(2,$C10-32)*S10+POWER(2,$C9-32)*S9+POWER(2,$C8-32)*S8+POWER(2,$C7-32)*S7+POWER(2,$C6-32)*S6+POWER(2,$C5-32)*S5+POWER(2,$C4-32)*S4+POWER(2,$C3-32)*S3+POWER(2,$C2-32)*S2)</f>
        <v>D9E640D4</v>
      </c>
      <c r="V33" s="29"/>
      <c r="W33" s="22">
        <v>40348064</v>
      </c>
      <c r="X33" s="31" t="str">
        <f>D33</f>
        <v>D9EFC7FF</v>
      </c>
      <c r="Y33" t="str">
        <f t="shared" si="0"/>
        <v>0xD9EFC7FF,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1BBEAA0C</v>
      </c>
      <c r="E34" s="18" t="str">
        <f>DEC2HEX(POWER(2,$C20)*E20+POWER(2,$C19)*E19+POWER(2,$C18)*E18+POWER(2,$C17)*E17+POWER(2,$C16)*E16+POWER(2,$C15)*E15+POWER(2,$C14)*E14+POWER(2,$C13)*E13)</f>
        <v>13217A0C</v>
      </c>
      <c r="F34" s="18" t="str">
        <f>DEC2HEX(POWER(2,$C20)*F20+POWER(2,$C19)*F19+POWER(2,$C18)*F18+POWER(2,$C17)*F17+POWER(2,$C16)*F16+POWER(2,$C15)*F15+POWER(2,$C14)*F14+POWER(2,$C13)*F13)</f>
        <v>13217A0C</v>
      </c>
      <c r="G34" s="18" t="str">
        <f>DEC2HEX(POWER(2,$C20)*G20+POWER(2,$C19)*G19+POWER(2,$C18)*G18+POWER(2,$C17)*G17+POWER(2,$C16)*G16+POWER(2,$C15)*G15+POWER(2,$C14)*G14+POWER(2,$C13)*G13)</f>
        <v>13217A0C</v>
      </c>
      <c r="H34" s="18" t="str">
        <f>DEC2HEX(POWER(2,$C20)*H20+POWER(2,$C19)*H19+POWER(2,$C18)*H18+POWER(2,$C17)*H17+POWER(2,$C16)*H16+POWER(2,$C15)*H15+POWER(2,$C14)*H14+POWER(2,$C13)*H13)</f>
        <v>13217A0C</v>
      </c>
      <c r="I34" s="18" t="str">
        <f>DEC2HEX(POWER(2,$C20)*I20+POWER(2,$C19)*I19+POWER(2,$C18)*I18+POWER(2,$C17)*I17+POWER(2,$C16)*I16+POWER(2,$C15)*I15+POWER(2,$C14)*I14+POWER(2,$C13)*I13)</f>
        <v>13217A0C</v>
      </c>
      <c r="J34" s="18" t="str">
        <f>DEC2HEX(POWER(2,$C20)*J20+POWER(2,$C19)*J19+POWER(2,$C18)*J18+POWER(2,$C17)*J17+POWER(2,$C16)*J16+POWER(2,$C15)*J15+POWER(2,$C14)*J14+POWER(2,$C13)*J13)</f>
        <v>13217A0C</v>
      </c>
      <c r="K34" s="18" t="str">
        <f>DEC2HEX(POWER(2,$C20)*K20+POWER(2,$C19)*K19+POWER(2,$C18)*K18+POWER(2,$C17)*K17+POWER(2,$C16)*K16+POWER(2,$C15)*K15+POWER(2,$C14)*K14+POWER(2,$C13)*K13)</f>
        <v>13217A0C</v>
      </c>
      <c r="L34" s="18" t="str">
        <f>DEC2HEX(POWER(2,$C20)*L20+POWER(2,$C19)*L19+POWER(2,$C18)*L18+POWER(2,$C17)*L17+POWER(2,$C16)*L16+POWER(2,$C15)*L15+POWER(2,$C14)*L14+POWER(2,$C13)*L13)</f>
        <v>13217A0C</v>
      </c>
      <c r="M34" s="18" t="str">
        <f>DEC2HEX(POWER(2,$C20)*M20+POWER(2,$C19)*M19+POWER(2,$C18)*M18+POWER(2,$C17)*M17+POWER(2,$C16)*M16+POWER(2,$C15)*M15+POWER(2,$C14)*M14+POWER(2,$C13)*M13)</f>
        <v>13217A0C</v>
      </c>
      <c r="N34" s="18" t="str">
        <f>DEC2HEX(POWER(2,$C20)*N20+POWER(2,$C19)*N19+POWER(2,$C18)*N18+POWER(2,$C17)*N17+POWER(2,$C16)*N16+POWER(2,$C15)*N15+POWER(2,$C14)*N14+POWER(2,$C13)*N13)</f>
        <v>13217A0C</v>
      </c>
      <c r="O34" s="18" t="str">
        <f>DEC2HEX(POWER(2,$C20)*O20+POWER(2,$C19)*O19+POWER(2,$C18)*O18+POWER(2,$C17)*O17+POWER(2,$C16)*O16+POWER(2,$C15)*O15+POWER(2,$C14)*O14+POWER(2,$C13)*O13)</f>
        <v>13217A0C</v>
      </c>
      <c r="P34" s="18" t="str">
        <f>DEC2HEX(POWER(2,$C20)*P20+POWER(2,$C19)*P19+POWER(2,$C18)*P18+POWER(2,$C17)*P17+POWER(2,$C16)*P16+POWER(2,$C15)*P15+POWER(2,$C14)*P14+POWER(2,$C13)*P13)</f>
        <v>13217A0C</v>
      </c>
      <c r="Q34" s="18" t="str">
        <f>DEC2HEX(POWER(2,$C20)*Q20+POWER(2,$C19)*Q19+POWER(2,$C18)*Q18+POWER(2,$C17)*Q17+POWER(2,$C16)*Q16+POWER(2,$C15)*Q15+POWER(2,$C14)*Q14+POWER(2,$C13)*Q13)</f>
        <v>13217A0C</v>
      </c>
      <c r="R34" s="18" t="str">
        <f>DEC2HEX(POWER(2,$C20)*R20+POWER(2,$C19)*R19+POWER(2,$C18)*R18+POWER(2,$C17)*R17+POWER(2,$C16)*R16+POWER(2,$C15)*R15+POWER(2,$C14)*R14+POWER(2,$C13)*R13)</f>
        <v>13217A0C</v>
      </c>
      <c r="S34" s="18" t="str">
        <f>DEC2HEX(POWER(2,$C20)*S20+POWER(2,$C19)*S19+POWER(2,$C18)*S18+POWER(2,$C17)*S17+POWER(2,$C16)*S16+POWER(2,$C15)*S15+POWER(2,$C14)*S14+POWER(2,$C13)*S13)</f>
        <v>13217A0C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F23" sqref="F23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208</v>
      </c>
      <c r="B2" s="3">
        <v>63</v>
      </c>
      <c r="C2" s="3">
        <v>62</v>
      </c>
      <c r="D2" s="3">
        <v>3</v>
      </c>
      <c r="E2" s="4" t="s">
        <v>80</v>
      </c>
      <c r="F2" s="4" t="s">
        <v>80</v>
      </c>
      <c r="G2" s="4" t="s">
        <v>80</v>
      </c>
      <c r="H2" s="4" t="s">
        <v>80</v>
      </c>
      <c r="I2" s="4" t="s">
        <v>80</v>
      </c>
      <c r="J2" s="4">
        <v>3</v>
      </c>
      <c r="K2" s="4" t="s">
        <v>80</v>
      </c>
      <c r="L2" s="4" t="s">
        <v>80</v>
      </c>
      <c r="M2" s="4" t="s">
        <v>80</v>
      </c>
      <c r="N2" s="4" t="s">
        <v>80</v>
      </c>
      <c r="O2" s="4">
        <v>3</v>
      </c>
      <c r="P2" s="4" t="s">
        <v>80</v>
      </c>
      <c r="Q2" s="4" t="s">
        <v>80</v>
      </c>
      <c r="R2" s="4" t="s">
        <v>80</v>
      </c>
      <c r="S2" s="4" t="s">
        <v>80</v>
      </c>
      <c r="V2" s="30">
        <v>0</v>
      </c>
      <c r="W2" s="22">
        <v>40348060</v>
      </c>
      <c r="X2" s="31" t="str">
        <f>S34</f>
        <v>12217A0C</v>
      </c>
      <c r="Y2" t="str">
        <f t="shared" ref="Y2:Y33" si="0">"0x"&amp;RIGHT("00000000"&amp;X2,8)&amp;","</f>
        <v>0x12217A0C,</v>
      </c>
      <c r="Z2" s="32" t="s">
        <v>142</v>
      </c>
    </row>
    <row r="3" spans="1:26">
      <c r="A3" s="2" t="s">
        <v>209</v>
      </c>
      <c r="B3" s="3">
        <v>61</v>
      </c>
      <c r="C3" s="3">
        <v>57</v>
      </c>
      <c r="D3" s="3">
        <v>4</v>
      </c>
      <c r="E3" s="4" t="s">
        <v>159</v>
      </c>
      <c r="F3" s="4" t="s">
        <v>159</v>
      </c>
      <c r="G3" s="4" t="s">
        <v>159</v>
      </c>
      <c r="H3" s="4" t="s">
        <v>159</v>
      </c>
      <c r="I3" s="4" t="s">
        <v>159</v>
      </c>
      <c r="J3" s="4">
        <v>12</v>
      </c>
      <c r="K3" s="4" t="s">
        <v>159</v>
      </c>
      <c r="L3" s="4" t="s">
        <v>159</v>
      </c>
      <c r="M3" s="4" t="s">
        <v>159</v>
      </c>
      <c r="N3" s="4" t="s">
        <v>159</v>
      </c>
      <c r="O3" s="4">
        <v>12</v>
      </c>
      <c r="P3" s="4" t="s">
        <v>159</v>
      </c>
      <c r="Q3" s="4" t="s">
        <v>159</v>
      </c>
      <c r="R3" s="4" t="s">
        <v>159</v>
      </c>
      <c r="S3" s="4" t="s">
        <v>159</v>
      </c>
      <c r="V3" s="30"/>
      <c r="W3" s="22">
        <v>40348064</v>
      </c>
      <c r="X3" s="31" t="str">
        <f>S33</f>
        <v>D9E040D4</v>
      </c>
      <c r="Y3" t="str">
        <f t="shared" si="0"/>
        <v>0xD9E040D4,</v>
      </c>
      <c r="Z3" s="32"/>
    </row>
    <row r="4" spans="1:26">
      <c r="A4" s="2" t="s">
        <v>210</v>
      </c>
      <c r="B4" s="3">
        <v>56</v>
      </c>
      <c r="C4" s="3">
        <v>56</v>
      </c>
      <c r="D4" s="3">
        <v>1</v>
      </c>
      <c r="E4" s="4" t="s">
        <v>86</v>
      </c>
      <c r="F4" s="4" t="s">
        <v>86</v>
      </c>
      <c r="G4" s="4" t="s">
        <v>86</v>
      </c>
      <c r="H4" s="4" t="s">
        <v>86</v>
      </c>
      <c r="I4" s="4" t="s">
        <v>86</v>
      </c>
      <c r="J4" s="4">
        <v>1</v>
      </c>
      <c r="K4" s="4" t="s">
        <v>86</v>
      </c>
      <c r="L4" s="4" t="s">
        <v>86</v>
      </c>
      <c r="M4" s="4" t="s">
        <v>86</v>
      </c>
      <c r="N4" s="4" t="s">
        <v>86</v>
      </c>
      <c r="O4" s="4">
        <v>1</v>
      </c>
      <c r="P4" s="4" t="s">
        <v>86</v>
      </c>
      <c r="Q4" s="4" t="s">
        <v>86</v>
      </c>
      <c r="R4" s="4" t="s">
        <v>86</v>
      </c>
      <c r="S4" s="4" t="s">
        <v>86</v>
      </c>
      <c r="V4" s="30">
        <v>1</v>
      </c>
      <c r="W4" s="22">
        <v>40348060</v>
      </c>
      <c r="X4" s="31" t="str">
        <f>R34</f>
        <v>12217A0C</v>
      </c>
      <c r="Y4" t="str">
        <f t="shared" si="0"/>
        <v>0x12217A0C,</v>
      </c>
      <c r="Z4" s="32" t="s">
        <v>146</v>
      </c>
    </row>
    <row r="5" spans="1:26">
      <c r="A5" s="2" t="s">
        <v>211</v>
      </c>
      <c r="B5" s="3">
        <v>55</v>
      </c>
      <c r="C5" s="3">
        <v>53</v>
      </c>
      <c r="D5" s="3">
        <v>7</v>
      </c>
      <c r="E5" s="4" t="s">
        <v>127</v>
      </c>
      <c r="F5" s="4" t="s">
        <v>127</v>
      </c>
      <c r="G5" s="4" t="s">
        <v>127</v>
      </c>
      <c r="H5" s="4" t="s">
        <v>127</v>
      </c>
      <c r="I5" s="4" t="s">
        <v>127</v>
      </c>
      <c r="J5" s="4">
        <v>7</v>
      </c>
      <c r="K5" s="4" t="s">
        <v>127</v>
      </c>
      <c r="L5" s="4" t="s">
        <v>127</v>
      </c>
      <c r="M5" s="4" t="s">
        <v>127</v>
      </c>
      <c r="N5" s="4" t="s">
        <v>127</v>
      </c>
      <c r="O5" s="4">
        <v>7</v>
      </c>
      <c r="P5" s="4" t="s">
        <v>127</v>
      </c>
      <c r="Q5" s="4" t="s">
        <v>127</v>
      </c>
      <c r="R5" s="4" t="s">
        <v>127</v>
      </c>
      <c r="S5" s="4" t="s">
        <v>127</v>
      </c>
      <c r="V5" s="30"/>
      <c r="W5" s="22">
        <v>40348064</v>
      </c>
      <c r="X5" s="31" t="str">
        <f>R33</f>
        <v>D9E04115</v>
      </c>
      <c r="Y5" t="str">
        <f t="shared" si="0"/>
        <v>0xD9E04115,</v>
      </c>
      <c r="Z5" s="32"/>
    </row>
    <row r="6" spans="1:26">
      <c r="A6" s="2" t="s">
        <v>212</v>
      </c>
      <c r="B6" s="3">
        <v>52</v>
      </c>
      <c r="C6" s="3">
        <v>49</v>
      </c>
      <c r="D6" s="3">
        <v>7</v>
      </c>
      <c r="E6" s="4" t="s">
        <v>72</v>
      </c>
      <c r="F6" s="4" t="s">
        <v>72</v>
      </c>
      <c r="G6" s="4" t="s">
        <v>72</v>
      </c>
      <c r="H6" s="4" t="s">
        <v>72</v>
      </c>
      <c r="I6" s="4" t="s">
        <v>72</v>
      </c>
      <c r="J6" s="4" t="s">
        <v>72</v>
      </c>
      <c r="K6" s="4" t="s">
        <v>72</v>
      </c>
      <c r="L6" s="4" t="s">
        <v>72</v>
      </c>
      <c r="M6" s="4" t="s">
        <v>72</v>
      </c>
      <c r="N6" s="4" t="s">
        <v>72</v>
      </c>
      <c r="O6" s="4" t="s">
        <v>72</v>
      </c>
      <c r="P6" s="4" t="s">
        <v>72</v>
      </c>
      <c r="Q6" s="4" t="s">
        <v>72</v>
      </c>
      <c r="R6" s="4" t="s">
        <v>72</v>
      </c>
      <c r="S6" s="4" t="s">
        <v>72</v>
      </c>
      <c r="V6" s="30">
        <v>2</v>
      </c>
      <c r="W6" s="22">
        <v>40348060</v>
      </c>
      <c r="X6" s="31" t="str">
        <f>Q34</f>
        <v>12217A0C</v>
      </c>
      <c r="Y6" t="str">
        <f t="shared" si="0"/>
        <v>0x12217A0C,</v>
      </c>
      <c r="Z6" s="32" t="s">
        <v>149</v>
      </c>
    </row>
    <row r="7" spans="1:26">
      <c r="A7" s="2" t="s">
        <v>213</v>
      </c>
      <c r="B7" s="3">
        <v>48</v>
      </c>
      <c r="C7" s="3">
        <v>46</v>
      </c>
      <c r="D7" s="3">
        <v>7</v>
      </c>
      <c r="E7" s="4" t="s">
        <v>127</v>
      </c>
      <c r="F7" s="4" t="s">
        <v>127</v>
      </c>
      <c r="G7" s="4" t="s">
        <v>127</v>
      </c>
      <c r="H7" s="4" t="s">
        <v>106</v>
      </c>
      <c r="I7" s="4" t="s">
        <v>197</v>
      </c>
      <c r="J7" s="4">
        <v>4</v>
      </c>
      <c r="K7" s="4" t="s">
        <v>94</v>
      </c>
      <c r="L7" s="4" t="s">
        <v>118</v>
      </c>
      <c r="M7" s="4" t="s">
        <v>118</v>
      </c>
      <c r="N7" s="4" t="s">
        <v>86</v>
      </c>
      <c r="O7" s="4">
        <v>1</v>
      </c>
      <c r="P7" s="4" t="s">
        <v>86</v>
      </c>
      <c r="Q7" s="4" t="s">
        <v>86</v>
      </c>
      <c r="R7" s="4" t="s">
        <v>86</v>
      </c>
      <c r="S7" s="4" t="s">
        <v>86</v>
      </c>
      <c r="V7" s="30"/>
      <c r="W7" s="22">
        <v>40348064</v>
      </c>
      <c r="X7" s="31" t="str">
        <f>Q33</f>
        <v>D9E04172</v>
      </c>
      <c r="Y7" t="str">
        <f t="shared" si="0"/>
        <v>0xD9E04172,</v>
      </c>
      <c r="Z7" s="3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 t="s">
        <v>72</v>
      </c>
      <c r="F8" s="4" t="s">
        <v>72</v>
      </c>
      <c r="G8" s="4" t="s">
        <v>72</v>
      </c>
      <c r="H8" s="4" t="s">
        <v>72</v>
      </c>
      <c r="I8" s="4" t="s">
        <v>72</v>
      </c>
      <c r="J8" s="4">
        <v>0</v>
      </c>
      <c r="K8" s="4" t="s">
        <v>72</v>
      </c>
      <c r="L8" s="4" t="s">
        <v>72</v>
      </c>
      <c r="M8" s="4" t="s">
        <v>72</v>
      </c>
      <c r="N8" s="4" t="s">
        <v>72</v>
      </c>
      <c r="O8" s="4">
        <v>0</v>
      </c>
      <c r="P8" s="4" t="s">
        <v>72</v>
      </c>
      <c r="Q8" s="4" t="s">
        <v>72</v>
      </c>
      <c r="R8" s="4" t="s">
        <v>72</v>
      </c>
      <c r="S8" s="4" t="s">
        <v>72</v>
      </c>
      <c r="V8" s="30">
        <v>3</v>
      </c>
      <c r="W8" s="22">
        <v>40348060</v>
      </c>
      <c r="X8" s="31" t="str">
        <f>P34</f>
        <v>12217A0C</v>
      </c>
      <c r="Y8" t="str">
        <f t="shared" si="0"/>
        <v>0x12217A0C,</v>
      </c>
      <c r="Z8" s="3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 t="s">
        <v>72</v>
      </c>
      <c r="F9" s="4" t="s">
        <v>72</v>
      </c>
      <c r="G9" s="4" t="s">
        <v>72</v>
      </c>
      <c r="H9" s="4" t="s">
        <v>72</v>
      </c>
      <c r="I9" s="4" t="s">
        <v>72</v>
      </c>
      <c r="J9" s="4">
        <v>0</v>
      </c>
      <c r="K9" s="4" t="s">
        <v>72</v>
      </c>
      <c r="L9" s="4" t="s">
        <v>72</v>
      </c>
      <c r="M9" s="4" t="s">
        <v>72</v>
      </c>
      <c r="N9" s="4" t="s">
        <v>72</v>
      </c>
      <c r="O9" s="4">
        <v>0</v>
      </c>
      <c r="P9" s="4" t="s">
        <v>72</v>
      </c>
      <c r="Q9" s="4" t="s">
        <v>72</v>
      </c>
      <c r="R9" s="4" t="s">
        <v>72</v>
      </c>
      <c r="S9" s="4" t="s">
        <v>72</v>
      </c>
      <c r="V9" s="30"/>
      <c r="W9" s="22">
        <v>40348064</v>
      </c>
      <c r="X9" s="31" t="str">
        <f>P33</f>
        <v>D9E041E8</v>
      </c>
      <c r="Y9" t="str">
        <f t="shared" si="0"/>
        <v>0xD9E041E8,</v>
      </c>
      <c r="Z9" s="32"/>
    </row>
    <row r="10" spans="1:26">
      <c r="A10" s="2" t="s">
        <v>156</v>
      </c>
      <c r="B10" s="3">
        <v>42</v>
      </c>
      <c r="C10" s="3">
        <v>37</v>
      </c>
      <c r="D10" s="3">
        <v>63</v>
      </c>
      <c r="E10" s="5" t="s">
        <v>221</v>
      </c>
      <c r="F10" s="6" t="s">
        <v>214</v>
      </c>
      <c r="G10" s="6" t="s">
        <v>205</v>
      </c>
      <c r="H10" s="5" t="s">
        <v>205</v>
      </c>
      <c r="I10" s="6" t="s">
        <v>215</v>
      </c>
      <c r="J10" s="5">
        <v>21</v>
      </c>
      <c r="K10" s="6" t="s">
        <v>76</v>
      </c>
      <c r="L10" s="5" t="s">
        <v>215</v>
      </c>
      <c r="M10" s="6" t="s">
        <v>76</v>
      </c>
      <c r="N10" s="5" t="s">
        <v>200</v>
      </c>
      <c r="O10" s="6" t="s">
        <v>215</v>
      </c>
      <c r="P10" s="5" t="s">
        <v>76</v>
      </c>
      <c r="Q10" s="5" t="s">
        <v>198</v>
      </c>
      <c r="R10" s="5" t="s">
        <v>217</v>
      </c>
      <c r="S10" s="5" t="s">
        <v>106</v>
      </c>
      <c r="V10" s="30">
        <v>4</v>
      </c>
      <c r="W10" s="22">
        <v>40348060</v>
      </c>
      <c r="X10" s="31" t="str">
        <f>O34</f>
        <v>12217A0C</v>
      </c>
      <c r="Y10" t="str">
        <f t="shared" si="0"/>
        <v>0x12217A0C,</v>
      </c>
      <c r="Z10" s="32" t="s">
        <v>155</v>
      </c>
    </row>
    <row r="11" spans="1:26">
      <c r="A11" s="2" t="s">
        <v>160</v>
      </c>
      <c r="B11" s="3">
        <v>36</v>
      </c>
      <c r="C11" s="3">
        <v>32</v>
      </c>
      <c r="D11" s="3">
        <v>31</v>
      </c>
      <c r="E11" s="5" t="s">
        <v>158</v>
      </c>
      <c r="F11" s="5" t="s">
        <v>158</v>
      </c>
      <c r="G11" s="5" t="s">
        <v>158</v>
      </c>
      <c r="H11" s="5" t="s">
        <v>205</v>
      </c>
      <c r="I11" s="5" t="s">
        <v>214</v>
      </c>
      <c r="J11" s="5">
        <v>28</v>
      </c>
      <c r="K11" s="5" t="s">
        <v>205</v>
      </c>
      <c r="L11" s="5" t="s">
        <v>207</v>
      </c>
      <c r="M11" s="5" t="s">
        <v>158</v>
      </c>
      <c r="N11" s="5" t="s">
        <v>158</v>
      </c>
      <c r="O11" s="5">
        <v>8</v>
      </c>
      <c r="P11" s="5" t="s">
        <v>217</v>
      </c>
      <c r="Q11" s="5" t="s">
        <v>215</v>
      </c>
      <c r="R11" s="5" t="s">
        <v>112</v>
      </c>
      <c r="S11" s="5" t="s">
        <v>158</v>
      </c>
      <c r="V11" s="30"/>
      <c r="W11" s="22">
        <v>40348064</v>
      </c>
      <c r="X11" s="31" t="str">
        <f>O33</f>
        <v>D9E04248</v>
      </c>
      <c r="Y11" t="str">
        <f t="shared" si="0"/>
        <v>0xD9E04248,</v>
      </c>
      <c r="Z11" s="32"/>
    </row>
    <row r="12" spans="1:26">
      <c r="A12" s="2" t="s">
        <v>164</v>
      </c>
      <c r="B12" s="3">
        <v>31</v>
      </c>
      <c r="C12" s="3">
        <v>29</v>
      </c>
      <c r="D12" s="3">
        <v>0</v>
      </c>
      <c r="E12" s="7" t="s">
        <v>72</v>
      </c>
      <c r="F12" s="7" t="s">
        <v>72</v>
      </c>
      <c r="G12" s="7" t="s">
        <v>72</v>
      </c>
      <c r="H12" s="7" t="s">
        <v>72</v>
      </c>
      <c r="I12" s="7" t="s">
        <v>72</v>
      </c>
      <c r="J12" s="7">
        <v>0</v>
      </c>
      <c r="K12" s="7" t="s">
        <v>72</v>
      </c>
      <c r="L12" s="7" t="s">
        <v>72</v>
      </c>
      <c r="M12" s="7" t="s">
        <v>72</v>
      </c>
      <c r="N12" s="7" t="s">
        <v>72</v>
      </c>
      <c r="O12" s="7">
        <v>0</v>
      </c>
      <c r="P12" s="7" t="s">
        <v>72</v>
      </c>
      <c r="Q12" s="7" t="s">
        <v>72</v>
      </c>
      <c r="R12" s="7" t="s">
        <v>72</v>
      </c>
      <c r="S12" s="7" t="s">
        <v>72</v>
      </c>
      <c r="V12" s="30">
        <v>5</v>
      </c>
      <c r="W12" s="22">
        <v>40348060</v>
      </c>
      <c r="X12" s="31" t="str">
        <f>N34</f>
        <v>12217A0C</v>
      </c>
      <c r="Y12" t="str">
        <f t="shared" si="0"/>
        <v>0x12217A0C,</v>
      </c>
      <c r="Z12" s="32" t="s">
        <v>163</v>
      </c>
    </row>
    <row r="13" spans="1:26">
      <c r="A13" s="2" t="s">
        <v>165</v>
      </c>
      <c r="B13" s="3">
        <v>28</v>
      </c>
      <c r="C13" s="3">
        <v>27</v>
      </c>
      <c r="D13" s="3">
        <v>3</v>
      </c>
      <c r="E13" s="7" t="s">
        <v>118</v>
      </c>
      <c r="F13" s="7" t="s">
        <v>118</v>
      </c>
      <c r="G13" s="7" t="s">
        <v>118</v>
      </c>
      <c r="H13" s="7" t="s">
        <v>118</v>
      </c>
      <c r="I13" s="7" t="s">
        <v>118</v>
      </c>
      <c r="J13" s="7">
        <v>2</v>
      </c>
      <c r="K13" s="7" t="s">
        <v>118</v>
      </c>
      <c r="L13" s="7" t="s">
        <v>118</v>
      </c>
      <c r="M13" s="7" t="s">
        <v>118</v>
      </c>
      <c r="N13" s="7" t="s">
        <v>118</v>
      </c>
      <c r="O13" s="7">
        <v>2</v>
      </c>
      <c r="P13" s="7" t="s">
        <v>118</v>
      </c>
      <c r="Q13" s="7" t="s">
        <v>118</v>
      </c>
      <c r="R13" s="7" t="s">
        <v>118</v>
      </c>
      <c r="S13" s="7" t="s">
        <v>118</v>
      </c>
      <c r="V13" s="30"/>
      <c r="W13" s="22">
        <v>40348064</v>
      </c>
      <c r="X13" s="31" t="str">
        <f>N33</f>
        <v>D9E04334</v>
      </c>
      <c r="Y13" t="str">
        <f t="shared" si="0"/>
        <v>0xD9E04334,</v>
      </c>
      <c r="Z13" s="32"/>
    </row>
    <row r="14" spans="1:26">
      <c r="A14" s="2" t="s">
        <v>167</v>
      </c>
      <c r="B14" s="3">
        <v>26</v>
      </c>
      <c r="C14" s="3">
        <v>24</v>
      </c>
      <c r="D14" s="3" t="s">
        <v>118</v>
      </c>
      <c r="E14" s="7" t="s">
        <v>118</v>
      </c>
      <c r="F14" s="7" t="s">
        <v>118</v>
      </c>
      <c r="G14" s="7">
        <v>2</v>
      </c>
      <c r="H14" s="7" t="s">
        <v>118</v>
      </c>
      <c r="I14" s="7" t="s">
        <v>118</v>
      </c>
      <c r="J14" s="3" t="s">
        <v>118</v>
      </c>
      <c r="K14" s="7">
        <v>2</v>
      </c>
      <c r="L14" s="7" t="s">
        <v>118</v>
      </c>
      <c r="M14" s="7" t="s">
        <v>118</v>
      </c>
      <c r="N14" s="7" t="s">
        <v>118</v>
      </c>
      <c r="O14" s="7">
        <v>2</v>
      </c>
      <c r="P14" s="3" t="s">
        <v>118</v>
      </c>
      <c r="Q14" s="7" t="s">
        <v>118</v>
      </c>
      <c r="R14" s="7" t="s">
        <v>118</v>
      </c>
      <c r="S14" s="7" t="s">
        <v>118</v>
      </c>
      <c r="V14" s="30">
        <v>6</v>
      </c>
      <c r="W14" s="22">
        <v>40348060</v>
      </c>
      <c r="X14" s="31" t="str">
        <f>M34</f>
        <v>12217A0C</v>
      </c>
      <c r="Y14" t="str">
        <f t="shared" si="0"/>
        <v>0x12217A0C,</v>
      </c>
      <c r="Z14" s="32" t="s">
        <v>166</v>
      </c>
    </row>
    <row r="15" spans="1:26">
      <c r="A15" s="2" t="s">
        <v>168</v>
      </c>
      <c r="B15" s="3">
        <v>23</v>
      </c>
      <c r="C15" s="3">
        <v>18</v>
      </c>
      <c r="D15" s="3">
        <v>47</v>
      </c>
      <c r="E15" s="4" t="s">
        <v>217</v>
      </c>
      <c r="F15" s="4" t="s">
        <v>217</v>
      </c>
      <c r="G15" s="4" t="s">
        <v>217</v>
      </c>
      <c r="H15" s="4" t="s">
        <v>217</v>
      </c>
      <c r="I15" s="4" t="s">
        <v>217</v>
      </c>
      <c r="J15" s="4" t="s">
        <v>217</v>
      </c>
      <c r="K15" s="4" t="s">
        <v>217</v>
      </c>
      <c r="L15" s="4" t="s">
        <v>217</v>
      </c>
      <c r="M15" s="4" t="s">
        <v>217</v>
      </c>
      <c r="N15" s="4" t="s">
        <v>217</v>
      </c>
      <c r="O15" s="4" t="s">
        <v>217</v>
      </c>
      <c r="P15" s="4" t="s">
        <v>217</v>
      </c>
      <c r="Q15" s="4" t="s">
        <v>217</v>
      </c>
      <c r="R15" s="4" t="s">
        <v>217</v>
      </c>
      <c r="S15" s="4" t="s">
        <v>217</v>
      </c>
      <c r="V15" s="30"/>
      <c r="W15" s="22">
        <v>40348064</v>
      </c>
      <c r="X15" s="31" t="str">
        <f>M33</f>
        <v>D9E081F4</v>
      </c>
      <c r="Y15" t="str">
        <f t="shared" si="0"/>
        <v>0xD9E081F4,</v>
      </c>
      <c r="Z15" s="32"/>
    </row>
    <row r="16" spans="1:26">
      <c r="A16" s="2" t="s">
        <v>170</v>
      </c>
      <c r="B16" s="3">
        <v>17</v>
      </c>
      <c r="C16" s="3">
        <v>12</v>
      </c>
      <c r="D16" s="3">
        <v>42</v>
      </c>
      <c r="E16" s="4" t="s">
        <v>161</v>
      </c>
      <c r="F16" s="4" t="s">
        <v>161</v>
      </c>
      <c r="G16" s="4" t="s">
        <v>161</v>
      </c>
      <c r="H16" s="4" t="s">
        <v>161</v>
      </c>
      <c r="I16" s="4" t="s">
        <v>161</v>
      </c>
      <c r="J16" s="4" t="s">
        <v>161</v>
      </c>
      <c r="K16" s="4" t="s">
        <v>161</v>
      </c>
      <c r="L16" s="4" t="s">
        <v>161</v>
      </c>
      <c r="M16" s="4" t="s">
        <v>161</v>
      </c>
      <c r="N16" s="4" t="s">
        <v>161</v>
      </c>
      <c r="O16" s="4" t="s">
        <v>161</v>
      </c>
      <c r="P16" s="4" t="s">
        <v>161</v>
      </c>
      <c r="Q16" s="4" t="s">
        <v>161</v>
      </c>
      <c r="R16" s="4" t="s">
        <v>161</v>
      </c>
      <c r="S16" s="4" t="s">
        <v>161</v>
      </c>
      <c r="V16" s="30">
        <v>7</v>
      </c>
      <c r="W16" s="22">
        <v>40348060</v>
      </c>
      <c r="X16" s="31" t="str">
        <f>L34</f>
        <v>12217A0C</v>
      </c>
      <c r="Y16" t="str">
        <f t="shared" si="0"/>
        <v>0x12217A0C,</v>
      </c>
      <c r="Z16" s="32" t="s">
        <v>169</v>
      </c>
    </row>
    <row r="17" spans="1:26">
      <c r="A17" s="2" t="s">
        <v>171</v>
      </c>
      <c r="B17" s="3">
        <v>11</v>
      </c>
      <c r="C17" s="3">
        <v>7</v>
      </c>
      <c r="D17" s="3">
        <v>20</v>
      </c>
      <c r="E17" s="4" t="s">
        <v>158</v>
      </c>
      <c r="F17" s="4">
        <v>20</v>
      </c>
      <c r="G17" s="4" t="s">
        <v>158</v>
      </c>
      <c r="H17" s="4">
        <v>20</v>
      </c>
      <c r="I17" s="4" t="s">
        <v>158</v>
      </c>
      <c r="J17" s="4">
        <v>20</v>
      </c>
      <c r="K17" s="4" t="s">
        <v>158</v>
      </c>
      <c r="L17" s="4">
        <v>20</v>
      </c>
      <c r="M17" s="4" t="s">
        <v>158</v>
      </c>
      <c r="N17" s="4">
        <v>20</v>
      </c>
      <c r="O17" s="4" t="s">
        <v>158</v>
      </c>
      <c r="P17" s="4">
        <v>20</v>
      </c>
      <c r="Q17" s="4" t="s">
        <v>158</v>
      </c>
      <c r="R17" s="4">
        <v>20</v>
      </c>
      <c r="S17" s="4" t="s">
        <v>158</v>
      </c>
      <c r="V17" s="30"/>
      <c r="W17" s="22">
        <v>40348064</v>
      </c>
      <c r="X17" s="31" t="str">
        <f>L33</f>
        <v>D9E0825A</v>
      </c>
      <c r="Y17" t="str">
        <f t="shared" si="0"/>
        <v>0xD9E0825A,</v>
      </c>
      <c r="Z17" s="32"/>
    </row>
    <row r="18" spans="1:26">
      <c r="A18" s="2" t="s">
        <v>173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12217A0C</v>
      </c>
      <c r="Y18" t="str">
        <f t="shared" si="0"/>
        <v>0x12217A0C,</v>
      </c>
      <c r="Z18" s="32" t="s">
        <v>172</v>
      </c>
    </row>
    <row r="19" spans="1:26">
      <c r="A19" s="2" t="s">
        <v>174</v>
      </c>
      <c r="B19" s="3">
        <v>2</v>
      </c>
      <c r="C19" s="3">
        <v>0</v>
      </c>
      <c r="D19" s="3">
        <v>4</v>
      </c>
      <c r="E19" s="4" t="s">
        <v>94</v>
      </c>
      <c r="F19" s="4" t="s">
        <v>94</v>
      </c>
      <c r="G19" s="4" t="s">
        <v>94</v>
      </c>
      <c r="H19" s="4" t="s">
        <v>94</v>
      </c>
      <c r="I19" s="4" t="s">
        <v>94</v>
      </c>
      <c r="J19" s="4">
        <v>4</v>
      </c>
      <c r="K19" s="4" t="s">
        <v>94</v>
      </c>
      <c r="L19" s="4" t="s">
        <v>94</v>
      </c>
      <c r="M19" s="4" t="s">
        <v>94</v>
      </c>
      <c r="N19" s="4" t="s">
        <v>94</v>
      </c>
      <c r="O19" s="4">
        <v>4</v>
      </c>
      <c r="P19" s="4" t="s">
        <v>94</v>
      </c>
      <c r="Q19" s="4" t="s">
        <v>94</v>
      </c>
      <c r="R19" s="4" t="s">
        <v>94</v>
      </c>
      <c r="S19" s="4" t="s">
        <v>94</v>
      </c>
      <c r="V19" s="30"/>
      <c r="W19" s="22">
        <v>40348064</v>
      </c>
      <c r="X19" s="31" t="str">
        <f>K33</f>
        <v>D9E101F6</v>
      </c>
      <c r="Y19" t="str">
        <f t="shared" si="0"/>
        <v>0xD9E101F6,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12217A0C</v>
      </c>
      <c r="Y20" t="str">
        <f t="shared" si="0"/>
        <v>0x12217A0C,</v>
      </c>
      <c r="Z20" s="32" t="s">
        <v>175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D9E102BC</v>
      </c>
      <c r="Y21" t="str">
        <f t="shared" si="0"/>
        <v>0xD9E102BC,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176</v>
      </c>
      <c r="W22" s="22">
        <v>40348060</v>
      </c>
      <c r="X22" s="31" t="str">
        <f>I34</f>
        <v>12217A0C</v>
      </c>
      <c r="Y22" t="str">
        <f t="shared" si="0"/>
        <v>0x12217A0C,</v>
      </c>
      <c r="Z22" s="32" t="s">
        <v>177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D9E1425C</v>
      </c>
      <c r="Y23" t="str">
        <f t="shared" si="0"/>
        <v>0xD9E1425C,</v>
      </c>
      <c r="Z23" s="32"/>
    </row>
    <row r="24" spans="1:26">
      <c r="A24" s="12" t="s">
        <v>178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179</v>
      </c>
      <c r="W24" s="22">
        <v>40348060</v>
      </c>
      <c r="X24" s="31" t="str">
        <f>H34</f>
        <v>12217A0C</v>
      </c>
      <c r="Y24" t="str">
        <f t="shared" si="0"/>
        <v>0x12217A0C,</v>
      </c>
      <c r="Z24" s="32" t="s">
        <v>180</v>
      </c>
    </row>
    <row r="25" spans="1:26">
      <c r="A25" s="12" t="s">
        <v>181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D9E182D6</v>
      </c>
      <c r="Y25" t="str">
        <f t="shared" si="0"/>
        <v>0xD9E182D6,</v>
      </c>
      <c r="Z25" s="32"/>
    </row>
    <row r="26" spans="1:26">
      <c r="A26" s="12" t="s">
        <v>182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183</v>
      </c>
      <c r="W26" s="22">
        <v>40348060</v>
      </c>
      <c r="X26" s="31" t="str">
        <f>G34</f>
        <v>12217A0C</v>
      </c>
      <c r="Y26" t="str">
        <f t="shared" si="0"/>
        <v>0x12217A0C,</v>
      </c>
      <c r="Z26" s="32" t="s">
        <v>184</v>
      </c>
    </row>
    <row r="27" spans="1:26">
      <c r="A27" s="15" t="s">
        <v>185</v>
      </c>
      <c r="V27" s="30"/>
      <c r="W27" s="22">
        <v>40348064</v>
      </c>
      <c r="X27" s="31" t="str">
        <f>G33</f>
        <v>D9E1C2D4</v>
      </c>
      <c r="Y27" t="str">
        <f t="shared" si="0"/>
        <v>0xD9E1C2D4,</v>
      </c>
      <c r="Z27" s="32"/>
    </row>
    <row r="28" spans="22:26">
      <c r="V28" s="30" t="s">
        <v>186</v>
      </c>
      <c r="W28" s="22">
        <v>40348060</v>
      </c>
      <c r="X28" s="31" t="str">
        <f>F34</f>
        <v>12217A0C</v>
      </c>
      <c r="Y28" t="str">
        <f t="shared" si="0"/>
        <v>0x12217A0C,</v>
      </c>
      <c r="Z28" s="32" t="s">
        <v>187</v>
      </c>
    </row>
    <row r="29" spans="22:26">
      <c r="V29" s="30"/>
      <c r="W29" s="22">
        <v>40348064</v>
      </c>
      <c r="X29" s="31" t="str">
        <f>F33</f>
        <v>D9E1C394</v>
      </c>
      <c r="Y29" t="str">
        <f t="shared" si="0"/>
        <v>0xD9E1C394,</v>
      </c>
      <c r="Z29" s="32"/>
    </row>
    <row r="30" spans="22:26">
      <c r="V30" s="30" t="s">
        <v>188</v>
      </c>
      <c r="W30" s="22">
        <v>40348060</v>
      </c>
      <c r="X30" s="31" t="str">
        <f>E34</f>
        <v>12217A0C</v>
      </c>
      <c r="Y30" t="str">
        <f t="shared" si="0"/>
        <v>0x12217A0C,</v>
      </c>
      <c r="Z30" s="32" t="s">
        <v>189</v>
      </c>
    </row>
    <row r="31" spans="1:26">
      <c r="A31" t="s">
        <v>190</v>
      </c>
      <c r="V31" s="30"/>
      <c r="W31" s="22">
        <v>40348064</v>
      </c>
      <c r="X31" s="31" t="str">
        <f>E33</f>
        <v>D9E1C694</v>
      </c>
      <c r="Y31" t="str">
        <f t="shared" si="0"/>
        <v>0xD9E1C694,</v>
      </c>
      <c r="Z31" s="32"/>
    </row>
    <row r="32" spans="1:26">
      <c r="A32" s="16" t="s">
        <v>191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192</v>
      </c>
      <c r="W32" s="22">
        <v>40348060</v>
      </c>
      <c r="X32" s="31" t="str">
        <f>D34</f>
        <v>1ABEAA0C</v>
      </c>
      <c r="Y32" t="str">
        <f t="shared" si="0"/>
        <v>0x1ABEAA0C,</v>
      </c>
      <c r="Z32" s="32" t="s">
        <v>193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C9EFC7FF</v>
      </c>
      <c r="E33" s="18" t="str">
        <f>DEC2HEX(POWER(2,$C12-32)*E12+POWER(2,$C11-32)*E11+POWER(2,$C10-32)*E10+POWER(2,$C9-32)*E9+POWER(2,$C8-32)*E8+POWER(2,$C7-32)*E7+POWER(2,$C6-32)*E6+POWER(2,$C5-32)*E5+POWER(2,$C4-32)*E4+POWER(2,$C3-32)*E3+POWER(2,$C2-32)*E2)</f>
        <v>D9E1C694</v>
      </c>
      <c r="F33" s="18" t="str">
        <f>DEC2HEX(POWER(2,$C12-32)*F12+POWER(2,$C11-32)*F11+POWER(2,$C10-32)*F10+POWER(2,$C9-32)*F9+POWER(2,$C8-32)*F8+POWER(2,$C7-32)*F7+POWER(2,$C6-32)*F6+POWER(2,$C5-32)*F5+POWER(2,$C4-32)*F4+POWER(2,$C3-32)*F3+POWER(2,$C2-32)*F2)</f>
        <v>D9E1C394</v>
      </c>
      <c r="G33" s="18" t="str">
        <f>DEC2HEX(POWER(2,$C12-32)*G12+POWER(2,$C11-32)*G11+POWER(2,$C10-32)*G10+POWER(2,$C9-32)*G9+POWER(2,$C8-32)*G8+POWER(2,$C7-32)*G7+POWER(2,$C6-32)*G6+POWER(2,$C5-32)*G5+POWER(2,$C4-32)*G4+POWER(2,$C3-32)*G3+POWER(2,$C2-32)*G2)</f>
        <v>D9E1C2D4</v>
      </c>
      <c r="H33" s="18" t="str">
        <f>DEC2HEX(POWER(2,$C12-32)*H12+POWER(2,$C11-32)*H11+POWER(2,$C10-32)*H10+POWER(2,$C9-32)*H9+POWER(2,$C8-32)*H8+POWER(2,$C7-32)*H7+POWER(2,$C6-32)*H6+POWER(2,$C5-32)*H5+POWER(2,$C4-32)*H4+POWER(2,$C3-32)*H3+POWER(2,$C2-32)*H2)</f>
        <v>D9E182D6</v>
      </c>
      <c r="I33" s="18" t="str">
        <f>DEC2HEX(POWER(2,$C12-32)*I12+POWER(2,$C11-32)*I11+POWER(2,$C10-32)*I10+POWER(2,$C9-32)*I9+POWER(2,$C8-32)*I8+POWER(2,$C7-32)*I7+POWER(2,$C6-32)*I6+POWER(2,$C5-32)*I5+POWER(2,$C4-32)*I4+POWER(2,$C3-32)*I3+POWER(2,$C2-32)*I2)</f>
        <v>D9E1425C</v>
      </c>
      <c r="J33" s="18" t="str">
        <f>DEC2HEX(POWER(2,$C12-32)*J12+POWER(2,$C11-32)*J11+POWER(2,$C10-32)*J10+POWER(2,$C9-32)*J9+POWER(2,$C8-32)*J8+POWER(2,$C7-32)*J7+POWER(2,$C6-32)*J6+POWER(2,$C5-32)*J5+POWER(2,$C4-32)*J4+POWER(2,$C3-32)*J3+POWER(2,$C2-32)*J2)</f>
        <v>D9E102BC</v>
      </c>
      <c r="K33" s="18" t="str">
        <f>DEC2HEX(POWER(2,$C12-32)*K12+POWER(2,$C11-32)*K11+POWER(2,$C10-32)*K10+POWER(2,$C9-32)*K9+POWER(2,$C8-32)*K8+POWER(2,$C7-32)*K7+POWER(2,$C6-32)*K6+POWER(2,$C5-32)*K5+POWER(2,$C4-32)*K4+POWER(2,$C3-32)*K3+POWER(2,$C2-32)*K2)</f>
        <v>D9E101F6</v>
      </c>
      <c r="L33" s="18" t="str">
        <f>DEC2HEX(POWER(2,$C12-32)*L12+POWER(2,$C11-32)*L11+POWER(2,$C10-32)*L10+POWER(2,$C9-32)*L9+POWER(2,$C8-32)*L8+POWER(2,$C7-32)*L7+POWER(2,$C6-32)*L6+POWER(2,$C5-32)*L5+POWER(2,$C4-32)*L4+POWER(2,$C3-32)*L3+POWER(2,$C2-32)*L2)</f>
        <v>D9E0825A</v>
      </c>
      <c r="M33" s="18" t="str">
        <f>DEC2HEX(POWER(2,$C12-32)*M12+POWER(2,$C11-32)*M11+POWER(2,$C10-32)*M10+POWER(2,$C9-32)*M9+POWER(2,$C8-32)*M8+POWER(2,$C7-32)*M7+POWER(2,$C6-32)*M6+POWER(2,$C5-32)*M5+POWER(2,$C4-32)*M4+POWER(2,$C3-32)*M3+POWER(2,$C2-32)*M2)</f>
        <v>D9E081F4</v>
      </c>
      <c r="N33" s="18" t="str">
        <f>DEC2HEX(POWER(2,$C12-32)*N12+POWER(2,$C11-32)*N11+POWER(2,$C10-32)*N10+POWER(2,$C9-32)*N9+POWER(2,$C8-32)*N8+POWER(2,$C7-32)*N7+POWER(2,$C6-32)*N6+POWER(2,$C5-32)*N5+POWER(2,$C4-32)*N4+POWER(2,$C3-32)*N3+POWER(2,$C2-32)*N2)</f>
        <v>D9E04334</v>
      </c>
      <c r="O33" s="18" t="str">
        <f>DEC2HEX(POWER(2,$C12-32)*O12+POWER(2,$C11-32)*O11+POWER(2,$C10-32)*O10+POWER(2,$C9-32)*O9+POWER(2,$C8-32)*O8+POWER(2,$C7-32)*O7+POWER(2,$C6-32)*O6+POWER(2,$C5-32)*O5+POWER(2,$C4-32)*O4+POWER(2,$C3-32)*O3+POWER(2,$C2-32)*O2)</f>
        <v>D9E04248</v>
      </c>
      <c r="P33" s="18" t="str">
        <f>DEC2HEX(POWER(2,$C12-32)*P12+POWER(2,$C11-32)*P11+POWER(2,$C10-32)*P10+POWER(2,$C9-32)*P9+POWER(2,$C8-32)*P8+POWER(2,$C7-32)*P7+POWER(2,$C6-32)*P6+POWER(2,$C5-32)*P5+POWER(2,$C4-32)*P4+POWER(2,$C3-32)*P3+POWER(2,$C2-32)*P2)</f>
        <v>D9E041E8</v>
      </c>
      <c r="Q33" s="18" t="str">
        <f>DEC2HEX(POWER(2,$C12-32)*Q12+POWER(2,$C11-32)*Q11+POWER(2,$C10-32)*Q10+POWER(2,$C9-32)*Q9+POWER(2,$C8-32)*Q8+POWER(2,$C7-32)*Q7+POWER(2,$C6-32)*Q6+POWER(2,$C5-32)*Q5+POWER(2,$C4-32)*Q4+POWER(2,$C3-32)*Q3+POWER(2,$C2-32)*Q2)</f>
        <v>D9E04172</v>
      </c>
      <c r="R33" s="18" t="str">
        <f>DEC2HEX(POWER(2,$C12-32)*R12+POWER(2,$C11-32)*R11+POWER(2,$C10-32)*R10+POWER(2,$C9-32)*R9+POWER(2,$C8-32)*R8+POWER(2,$C7-32)*R7+POWER(2,$C6-32)*R6+POWER(2,$C5-32)*R5+POWER(2,$C4-32)*R4+POWER(2,$C3-32)*R3+POWER(2,$C2-32)*R2)</f>
        <v>D9E04115</v>
      </c>
      <c r="S33" s="18" t="str">
        <f>DEC2HEX(POWER(2,$C12-32)*S12+POWER(2,$C11-32)*S11+POWER(2,$C10-32)*S10+POWER(2,$C9-32)*S9+POWER(2,$C8-32)*S8+POWER(2,$C7-32)*S7+POWER(2,$C6-32)*S6+POWER(2,$C5-32)*S5+POWER(2,$C4-32)*S4+POWER(2,$C3-32)*S3+POWER(2,$C2-32)*S2)</f>
        <v>D9E040D4</v>
      </c>
      <c r="V33" s="29"/>
      <c r="W33" s="22">
        <v>40348064</v>
      </c>
      <c r="X33" s="31" t="str">
        <f>D33</f>
        <v>C9EFC7FF</v>
      </c>
      <c r="Y33" t="str">
        <f t="shared" si="0"/>
        <v>0xC9EFC7FF,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1ABEAA0C</v>
      </c>
      <c r="E34" s="18" t="str">
        <f>DEC2HEX(POWER(2,$C20)*E20+POWER(2,$C19)*E19+POWER(2,$C18)*E18+POWER(2,$C17)*E17+POWER(2,$C16)*E16+POWER(2,$C15)*E15+POWER(2,$C14)*E14+POWER(2,$C13)*E13)</f>
        <v>12217A0C</v>
      </c>
      <c r="F34" s="18" t="str">
        <f>DEC2HEX(POWER(2,$C20)*F20+POWER(2,$C19)*F19+POWER(2,$C18)*F18+POWER(2,$C17)*F17+POWER(2,$C16)*F16+POWER(2,$C15)*F15+POWER(2,$C14)*F14+POWER(2,$C13)*F13)</f>
        <v>12217A0C</v>
      </c>
      <c r="G34" s="18" t="str">
        <f>DEC2HEX(POWER(2,$C20)*G20+POWER(2,$C19)*G19+POWER(2,$C18)*G18+POWER(2,$C17)*G17+POWER(2,$C16)*G16+POWER(2,$C15)*G15+POWER(2,$C14)*G14+POWER(2,$C13)*G13)</f>
        <v>12217A0C</v>
      </c>
      <c r="H34" s="18" t="str">
        <f>DEC2HEX(POWER(2,$C20)*H20+POWER(2,$C19)*H19+POWER(2,$C18)*H18+POWER(2,$C17)*H17+POWER(2,$C16)*H16+POWER(2,$C15)*H15+POWER(2,$C14)*H14+POWER(2,$C13)*H13)</f>
        <v>12217A0C</v>
      </c>
      <c r="I34" s="18" t="str">
        <f>DEC2HEX(POWER(2,$C20)*I20+POWER(2,$C19)*I19+POWER(2,$C18)*I18+POWER(2,$C17)*I17+POWER(2,$C16)*I16+POWER(2,$C15)*I15+POWER(2,$C14)*I14+POWER(2,$C13)*I13)</f>
        <v>12217A0C</v>
      </c>
      <c r="J34" s="18" t="str">
        <f>DEC2HEX(POWER(2,$C20)*J20+POWER(2,$C19)*J19+POWER(2,$C18)*J18+POWER(2,$C17)*J17+POWER(2,$C16)*J16+POWER(2,$C15)*J15+POWER(2,$C14)*J14+POWER(2,$C13)*J13)</f>
        <v>12217A0C</v>
      </c>
      <c r="K34" s="18" t="str">
        <f>DEC2HEX(POWER(2,$C20)*K20+POWER(2,$C19)*K19+POWER(2,$C18)*K18+POWER(2,$C17)*K17+POWER(2,$C16)*K16+POWER(2,$C15)*K15+POWER(2,$C14)*K14+POWER(2,$C13)*K13)</f>
        <v>12217A0C</v>
      </c>
      <c r="L34" s="18" t="str">
        <f>DEC2HEX(POWER(2,$C20)*L20+POWER(2,$C19)*L19+POWER(2,$C18)*L18+POWER(2,$C17)*L17+POWER(2,$C16)*L16+POWER(2,$C15)*L15+POWER(2,$C14)*L14+POWER(2,$C13)*L13)</f>
        <v>12217A0C</v>
      </c>
      <c r="M34" s="18" t="str">
        <f>DEC2HEX(POWER(2,$C20)*M20+POWER(2,$C19)*M19+POWER(2,$C18)*M18+POWER(2,$C17)*M17+POWER(2,$C16)*M16+POWER(2,$C15)*M15+POWER(2,$C14)*M14+POWER(2,$C13)*M13)</f>
        <v>12217A0C</v>
      </c>
      <c r="N34" s="18" t="str">
        <f>DEC2HEX(POWER(2,$C20)*N20+POWER(2,$C19)*N19+POWER(2,$C18)*N18+POWER(2,$C17)*N17+POWER(2,$C16)*N16+POWER(2,$C15)*N15+POWER(2,$C14)*N14+POWER(2,$C13)*N13)</f>
        <v>12217A0C</v>
      </c>
      <c r="O34" s="18" t="str">
        <f>DEC2HEX(POWER(2,$C20)*O20+POWER(2,$C19)*O19+POWER(2,$C18)*O18+POWER(2,$C17)*O17+POWER(2,$C16)*O16+POWER(2,$C15)*O15+POWER(2,$C14)*O14+POWER(2,$C13)*O13)</f>
        <v>12217A0C</v>
      </c>
      <c r="P34" s="18" t="str">
        <f>DEC2HEX(POWER(2,$C20)*P20+POWER(2,$C19)*P19+POWER(2,$C18)*P18+POWER(2,$C17)*P17+POWER(2,$C16)*P16+POWER(2,$C15)*P15+POWER(2,$C14)*P14+POWER(2,$C13)*P13)</f>
        <v>12217A0C</v>
      </c>
      <c r="Q34" s="18" t="str">
        <f>DEC2HEX(POWER(2,$C20)*Q20+POWER(2,$C19)*Q19+POWER(2,$C18)*Q18+POWER(2,$C17)*Q17+POWER(2,$C16)*Q16+POWER(2,$C15)*Q15+POWER(2,$C14)*Q14+POWER(2,$C13)*Q13)</f>
        <v>12217A0C</v>
      </c>
      <c r="R34" s="18" t="str">
        <f>DEC2HEX(POWER(2,$C20)*R20+POWER(2,$C19)*R19+POWER(2,$C18)*R18+POWER(2,$C17)*R17+POWER(2,$C16)*R16+POWER(2,$C15)*R15+POWER(2,$C14)*R14+POWER(2,$C13)*R13)</f>
        <v>12217A0C</v>
      </c>
      <c r="S34" s="18" t="str">
        <f>DEC2HEX(POWER(2,$C20)*S20+POWER(2,$C19)*S19+POWER(2,$C18)*S18+POWER(2,$C17)*S17+POWER(2,$C16)*S16+POWER(2,$C15)*S15+POWER(2,$C14)*S14+POWER(2,$C13)*S13)</f>
        <v>12217A0C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E10" sqref="E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208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11217A0C</v>
      </c>
      <c r="Y2" t="str">
        <f t="shared" ref="Y2:Y33" si="0">"0x"&amp;RIGHT("00000000"&amp;X2,8)&amp;","</f>
        <v>0x11217A0C,</v>
      </c>
      <c r="Z2" s="32" t="s">
        <v>142</v>
      </c>
    </row>
    <row r="3" spans="1:26">
      <c r="A3" s="2" t="s">
        <v>209</v>
      </c>
      <c r="B3" s="3">
        <v>61</v>
      </c>
      <c r="C3" s="3">
        <v>57</v>
      </c>
      <c r="D3" s="3">
        <v>4</v>
      </c>
      <c r="E3" s="4">
        <v>13</v>
      </c>
      <c r="F3" s="4">
        <v>26</v>
      </c>
      <c r="G3" s="4">
        <v>26</v>
      </c>
      <c r="H3" s="4">
        <v>26</v>
      </c>
      <c r="I3" s="4" t="s">
        <v>207</v>
      </c>
      <c r="J3" s="4" t="s">
        <v>207</v>
      </c>
      <c r="K3" s="4" t="s">
        <v>207</v>
      </c>
      <c r="L3" s="4" t="s">
        <v>207</v>
      </c>
      <c r="M3" s="4" t="s">
        <v>207</v>
      </c>
      <c r="N3" s="4" t="s">
        <v>207</v>
      </c>
      <c r="O3" s="4" t="s">
        <v>207</v>
      </c>
      <c r="P3" s="4" t="s">
        <v>207</v>
      </c>
      <c r="Q3" s="4" t="s">
        <v>207</v>
      </c>
      <c r="R3" s="4" t="s">
        <v>207</v>
      </c>
      <c r="S3" s="4" t="s">
        <v>207</v>
      </c>
      <c r="V3" s="30"/>
      <c r="W3" s="22">
        <v>40348064</v>
      </c>
      <c r="X3" s="31" t="str">
        <f>S33</f>
        <v>F5EE4136</v>
      </c>
      <c r="Y3" t="str">
        <f t="shared" si="0"/>
        <v>0xF5EE4136,</v>
      </c>
      <c r="Z3" s="32"/>
    </row>
    <row r="4" spans="1:26">
      <c r="A4" s="2" t="s">
        <v>210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11217A0C</v>
      </c>
      <c r="Y4" t="str">
        <f t="shared" si="0"/>
        <v>0x11217A0C,</v>
      </c>
      <c r="Z4" s="32" t="s">
        <v>146</v>
      </c>
    </row>
    <row r="5" spans="1:26">
      <c r="A5" s="2" t="s">
        <v>211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F5EE4196</v>
      </c>
      <c r="Y5" t="str">
        <f t="shared" si="0"/>
        <v>0xF5EE4196,</v>
      </c>
      <c r="Z5" s="32"/>
    </row>
    <row r="6" spans="1:26">
      <c r="A6" s="2" t="s">
        <v>212</v>
      </c>
      <c r="B6" s="3">
        <v>52</v>
      </c>
      <c r="C6" s="3">
        <v>49</v>
      </c>
      <c r="D6" s="3">
        <v>7</v>
      </c>
      <c r="E6" s="4">
        <v>7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11217A0C</v>
      </c>
      <c r="Y6" t="str">
        <f t="shared" si="0"/>
        <v>0x11217A0C,</v>
      </c>
      <c r="Z6" s="32" t="s">
        <v>149</v>
      </c>
    </row>
    <row r="7" spans="1:26">
      <c r="A7" s="2" t="s">
        <v>213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F5EE4216</v>
      </c>
      <c r="Y7" t="str">
        <f t="shared" si="0"/>
        <v>0xF5EE4216,</v>
      </c>
      <c r="Z7" s="3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11217A0C</v>
      </c>
      <c r="Y8" t="str">
        <f t="shared" si="0"/>
        <v>0x11217A0C,</v>
      </c>
      <c r="Z8" s="3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F5EE812F</v>
      </c>
      <c r="Y9" t="str">
        <f t="shared" si="0"/>
        <v>0xF5EE812F,</v>
      </c>
      <c r="Z9" s="32"/>
    </row>
    <row r="10" spans="1:26">
      <c r="A10" s="2" t="s">
        <v>156</v>
      </c>
      <c r="B10" s="3">
        <v>42</v>
      </c>
      <c r="C10" s="3">
        <v>37</v>
      </c>
      <c r="D10" s="3">
        <v>63</v>
      </c>
      <c r="E10" s="6" t="s">
        <v>218</v>
      </c>
      <c r="F10" s="5">
        <v>59</v>
      </c>
      <c r="G10" s="6" t="s">
        <v>222</v>
      </c>
      <c r="H10" s="5">
        <v>35</v>
      </c>
      <c r="I10" s="6" t="s">
        <v>161</v>
      </c>
      <c r="J10" s="5">
        <v>19</v>
      </c>
      <c r="K10" s="6" t="s">
        <v>215</v>
      </c>
      <c r="L10" s="5">
        <v>18</v>
      </c>
      <c r="M10" s="6" t="s">
        <v>195</v>
      </c>
      <c r="N10" s="5">
        <v>10</v>
      </c>
      <c r="O10" s="6" t="s">
        <v>195</v>
      </c>
      <c r="P10" s="5">
        <v>9</v>
      </c>
      <c r="Q10" s="5">
        <v>16</v>
      </c>
      <c r="R10" s="5">
        <v>12</v>
      </c>
      <c r="S10" s="5">
        <v>9</v>
      </c>
      <c r="V10" s="30">
        <v>4</v>
      </c>
      <c r="W10" s="22">
        <v>40348060</v>
      </c>
      <c r="X10" s="31" t="str">
        <f>O34</f>
        <v>11217A0C</v>
      </c>
      <c r="Y10" t="str">
        <f t="shared" si="0"/>
        <v>0x11217A0C,</v>
      </c>
      <c r="Z10" s="32" t="s">
        <v>155</v>
      </c>
    </row>
    <row r="11" spans="1:26">
      <c r="A11" s="2" t="s">
        <v>160</v>
      </c>
      <c r="B11" s="3">
        <v>36</v>
      </c>
      <c r="C11" s="3">
        <v>32</v>
      </c>
      <c r="D11" s="3">
        <v>31</v>
      </c>
      <c r="E11" s="5">
        <v>31</v>
      </c>
      <c r="F11" s="5">
        <v>22</v>
      </c>
      <c r="G11" s="5">
        <v>22</v>
      </c>
      <c r="H11" s="5">
        <v>16</v>
      </c>
      <c r="I11" s="5">
        <v>16</v>
      </c>
      <c r="J11" s="5">
        <v>16</v>
      </c>
      <c r="K11" s="5">
        <v>16</v>
      </c>
      <c r="L11" s="5">
        <v>24</v>
      </c>
      <c r="M11" s="5">
        <v>26</v>
      </c>
      <c r="N11" s="5">
        <v>18</v>
      </c>
      <c r="O11" s="5">
        <v>16</v>
      </c>
      <c r="P11" s="5">
        <v>15</v>
      </c>
      <c r="Q11" s="5">
        <v>22</v>
      </c>
      <c r="R11" s="5">
        <v>22</v>
      </c>
      <c r="S11" s="5">
        <v>22</v>
      </c>
      <c r="V11" s="30"/>
      <c r="W11" s="22">
        <v>40348064</v>
      </c>
      <c r="X11" s="31" t="str">
        <f>O33</f>
        <v>F5EE81D0</v>
      </c>
      <c r="Y11" t="str">
        <f t="shared" si="0"/>
        <v>0xF5EE81D0,</v>
      </c>
      <c r="Z11" s="32"/>
    </row>
    <row r="12" spans="1:26">
      <c r="A12" s="2" t="s">
        <v>164</v>
      </c>
      <c r="B12" s="3">
        <v>31</v>
      </c>
      <c r="C12" s="3">
        <v>29</v>
      </c>
      <c r="D12" s="3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11217A0C</v>
      </c>
      <c r="Y12" t="str">
        <f t="shared" si="0"/>
        <v>0x11217A0C,</v>
      </c>
      <c r="Z12" s="32" t="s">
        <v>163</v>
      </c>
    </row>
    <row r="13" spans="1:26">
      <c r="A13" s="2" t="s">
        <v>165</v>
      </c>
      <c r="B13" s="3">
        <v>28</v>
      </c>
      <c r="C13" s="3">
        <v>27</v>
      </c>
      <c r="D13" s="3">
        <v>3</v>
      </c>
      <c r="E13" s="7">
        <v>2</v>
      </c>
      <c r="F13" s="7">
        <v>2</v>
      </c>
      <c r="G13" s="7">
        <v>2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F5EEC152</v>
      </c>
      <c r="Y13" t="str">
        <f t="shared" si="0"/>
        <v>0xF5EEC152,</v>
      </c>
      <c r="Z13" s="32"/>
    </row>
    <row r="14" spans="1:26">
      <c r="A14" s="2" t="s">
        <v>167</v>
      </c>
      <c r="B14" s="3">
        <v>26</v>
      </c>
      <c r="C14" s="3">
        <v>24</v>
      </c>
      <c r="D14" s="3">
        <v>1</v>
      </c>
      <c r="E14" s="7" t="s">
        <v>86</v>
      </c>
      <c r="F14" s="7" t="s">
        <v>86</v>
      </c>
      <c r="G14" s="7" t="s">
        <v>86</v>
      </c>
      <c r="H14" s="7" t="s">
        <v>86</v>
      </c>
      <c r="I14" s="7" t="s">
        <v>86</v>
      </c>
      <c r="J14" s="7" t="s">
        <v>86</v>
      </c>
      <c r="K14" s="7" t="s">
        <v>86</v>
      </c>
      <c r="L14" s="7" t="s">
        <v>86</v>
      </c>
      <c r="M14" s="7" t="s">
        <v>86</v>
      </c>
      <c r="N14" s="7" t="s">
        <v>86</v>
      </c>
      <c r="O14" s="7" t="s">
        <v>86</v>
      </c>
      <c r="P14" s="7" t="s">
        <v>86</v>
      </c>
      <c r="Q14" s="7" t="s">
        <v>86</v>
      </c>
      <c r="R14" s="7" t="s">
        <v>86</v>
      </c>
      <c r="S14" s="7" t="s">
        <v>86</v>
      </c>
      <c r="V14" s="30">
        <v>6</v>
      </c>
      <c r="W14" s="22">
        <v>40348060</v>
      </c>
      <c r="X14" s="31" t="str">
        <f>M34</f>
        <v>11217A0C</v>
      </c>
      <c r="Y14" t="str">
        <f t="shared" si="0"/>
        <v>0x11217A0C,</v>
      </c>
      <c r="Z14" s="32" t="s">
        <v>166</v>
      </c>
    </row>
    <row r="15" spans="1:26">
      <c r="A15" s="2" t="s">
        <v>168</v>
      </c>
      <c r="B15" s="3">
        <v>23</v>
      </c>
      <c r="C15" s="3">
        <v>18</v>
      </c>
      <c r="D15" s="3">
        <v>47</v>
      </c>
      <c r="E15" s="4" t="s">
        <v>217</v>
      </c>
      <c r="F15" s="4" t="s">
        <v>217</v>
      </c>
      <c r="G15" s="4" t="s">
        <v>217</v>
      </c>
      <c r="H15" s="4" t="s">
        <v>217</v>
      </c>
      <c r="I15" s="4" t="s">
        <v>217</v>
      </c>
      <c r="J15" s="4" t="s">
        <v>217</v>
      </c>
      <c r="K15" s="4" t="s">
        <v>217</v>
      </c>
      <c r="L15" s="4" t="s">
        <v>217</v>
      </c>
      <c r="M15" s="4" t="s">
        <v>217</v>
      </c>
      <c r="N15" s="4" t="s">
        <v>217</v>
      </c>
      <c r="O15" s="4" t="s">
        <v>217</v>
      </c>
      <c r="P15" s="4" t="s">
        <v>217</v>
      </c>
      <c r="Q15" s="4" t="s">
        <v>217</v>
      </c>
      <c r="R15" s="4" t="s">
        <v>217</v>
      </c>
      <c r="S15" s="4" t="s">
        <v>217</v>
      </c>
      <c r="V15" s="30"/>
      <c r="W15" s="22">
        <v>40348064</v>
      </c>
      <c r="X15" s="31" t="str">
        <f>M33</f>
        <v>F5EF01DA</v>
      </c>
      <c r="Y15" t="str">
        <f t="shared" si="0"/>
        <v>0xF5EF01DA,</v>
      </c>
      <c r="Z15" s="32"/>
    </row>
    <row r="16" spans="1:26">
      <c r="A16" s="2" t="s">
        <v>170</v>
      </c>
      <c r="B16" s="3">
        <v>17</v>
      </c>
      <c r="C16" s="3">
        <v>12</v>
      </c>
      <c r="D16" s="3">
        <v>42</v>
      </c>
      <c r="E16" s="4" t="s">
        <v>161</v>
      </c>
      <c r="F16" s="4" t="s">
        <v>161</v>
      </c>
      <c r="G16" s="4" t="s">
        <v>161</v>
      </c>
      <c r="H16" s="4" t="s">
        <v>161</v>
      </c>
      <c r="I16" s="4" t="s">
        <v>161</v>
      </c>
      <c r="J16" s="4" t="s">
        <v>161</v>
      </c>
      <c r="K16" s="4" t="s">
        <v>161</v>
      </c>
      <c r="L16" s="4" t="s">
        <v>161</v>
      </c>
      <c r="M16" s="4" t="s">
        <v>161</v>
      </c>
      <c r="N16" s="4" t="s">
        <v>161</v>
      </c>
      <c r="O16" s="4" t="s">
        <v>161</v>
      </c>
      <c r="P16" s="4" t="s">
        <v>161</v>
      </c>
      <c r="Q16" s="4" t="s">
        <v>161</v>
      </c>
      <c r="R16" s="4" t="s">
        <v>161</v>
      </c>
      <c r="S16" s="4" t="s">
        <v>161</v>
      </c>
      <c r="V16" s="30">
        <v>7</v>
      </c>
      <c r="W16" s="22">
        <v>40348060</v>
      </c>
      <c r="X16" s="31" t="str">
        <f>L34</f>
        <v>11217A0C</v>
      </c>
      <c r="Y16" t="str">
        <f t="shared" si="0"/>
        <v>0x11217A0C,</v>
      </c>
      <c r="Z16" s="32" t="s">
        <v>169</v>
      </c>
    </row>
    <row r="17" spans="1:26">
      <c r="A17" s="2" t="s">
        <v>171</v>
      </c>
      <c r="B17" s="3">
        <v>11</v>
      </c>
      <c r="C17" s="3">
        <v>7</v>
      </c>
      <c r="D17" s="3">
        <v>20</v>
      </c>
      <c r="E17" s="4" t="s">
        <v>158</v>
      </c>
      <c r="F17" s="4">
        <v>20</v>
      </c>
      <c r="G17" s="4" t="s">
        <v>158</v>
      </c>
      <c r="H17" s="4">
        <v>20</v>
      </c>
      <c r="I17" s="4" t="s">
        <v>158</v>
      </c>
      <c r="J17" s="4">
        <v>20</v>
      </c>
      <c r="K17" s="4" t="s">
        <v>158</v>
      </c>
      <c r="L17" s="4">
        <v>20</v>
      </c>
      <c r="M17" s="4" t="s">
        <v>158</v>
      </c>
      <c r="N17" s="4">
        <v>20</v>
      </c>
      <c r="O17" s="4" t="s">
        <v>158</v>
      </c>
      <c r="P17" s="4">
        <v>20</v>
      </c>
      <c r="Q17" s="4" t="s">
        <v>158</v>
      </c>
      <c r="R17" s="4">
        <v>20</v>
      </c>
      <c r="S17" s="4" t="s">
        <v>158</v>
      </c>
      <c r="V17" s="30"/>
      <c r="W17" s="22">
        <v>40348064</v>
      </c>
      <c r="X17" s="31" t="str">
        <f>L33</f>
        <v>F5EF0258</v>
      </c>
      <c r="Y17" t="str">
        <f t="shared" si="0"/>
        <v>0xF5EF0258,</v>
      </c>
      <c r="Z17" s="32"/>
    </row>
    <row r="18" spans="1:26">
      <c r="A18" s="2" t="s">
        <v>173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3">
        <v>1</v>
      </c>
      <c r="I18" s="9" t="s">
        <v>86</v>
      </c>
      <c r="J18" s="9" t="s">
        <v>86</v>
      </c>
      <c r="K18" s="9" t="s">
        <v>86</v>
      </c>
      <c r="L18" s="3">
        <v>1</v>
      </c>
      <c r="M18" s="9" t="s">
        <v>86</v>
      </c>
      <c r="N18" s="9" t="s">
        <v>86</v>
      </c>
      <c r="O18" s="9" t="s">
        <v>86</v>
      </c>
      <c r="P18" s="3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11217A0C</v>
      </c>
      <c r="Y18" t="str">
        <f t="shared" si="0"/>
        <v>0x11217A0C,</v>
      </c>
      <c r="Z18" s="32" t="s">
        <v>172</v>
      </c>
    </row>
    <row r="19" spans="1:26">
      <c r="A19" s="2" t="s">
        <v>174</v>
      </c>
      <c r="B19" s="3">
        <v>2</v>
      </c>
      <c r="C19" s="3">
        <v>0</v>
      </c>
      <c r="D19" s="3">
        <v>4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F5EF4250</v>
      </c>
      <c r="Y19" t="str">
        <f t="shared" si="0"/>
        <v>0xF5EF4250,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11217A0C</v>
      </c>
      <c r="Y20" t="str">
        <f t="shared" si="0"/>
        <v>0x11217A0C,</v>
      </c>
      <c r="Z20" s="32" t="s">
        <v>175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F5EF8270</v>
      </c>
      <c r="Y21" t="str">
        <f t="shared" si="0"/>
        <v>0xF5EF8270,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176</v>
      </c>
      <c r="W22" s="22">
        <v>40348060</v>
      </c>
      <c r="X22" s="31" t="str">
        <f>I34</f>
        <v>11217A0C</v>
      </c>
      <c r="Y22" t="str">
        <f t="shared" si="0"/>
        <v>0x11217A0C,</v>
      </c>
      <c r="Z22" s="32" t="s">
        <v>177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F5EF82F0</v>
      </c>
      <c r="Y23" t="str">
        <f t="shared" si="0"/>
        <v>0xF5EF82F0,</v>
      </c>
      <c r="Z23" s="32"/>
    </row>
    <row r="24" spans="1:26">
      <c r="A24" s="12" t="s">
        <v>178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179</v>
      </c>
      <c r="W24" s="22">
        <v>40348060</v>
      </c>
      <c r="X24" s="31" t="str">
        <f>H34</f>
        <v>11217A0C</v>
      </c>
      <c r="Y24" t="str">
        <f t="shared" si="0"/>
        <v>0x11217A0C,</v>
      </c>
      <c r="Z24" s="32" t="s">
        <v>180</v>
      </c>
    </row>
    <row r="25" spans="1:26">
      <c r="A25" s="12" t="s">
        <v>181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F5EF8470</v>
      </c>
      <c r="Y25" t="str">
        <f t="shared" si="0"/>
        <v>0xF5EF8470,</v>
      </c>
      <c r="Z25" s="32"/>
    </row>
    <row r="26" spans="1:26">
      <c r="A26" s="12" t="s">
        <v>182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183</v>
      </c>
      <c r="W26" s="22">
        <v>40348060</v>
      </c>
      <c r="X26" s="31" t="str">
        <f>G34</f>
        <v>11217A0C</v>
      </c>
      <c r="Y26" t="str">
        <f t="shared" si="0"/>
        <v>0x11217A0C,</v>
      </c>
      <c r="Z26" s="32" t="s">
        <v>184</v>
      </c>
    </row>
    <row r="27" spans="1:26">
      <c r="A27" s="15" t="s">
        <v>185</v>
      </c>
      <c r="V27" s="30"/>
      <c r="W27" s="22">
        <v>40348064</v>
      </c>
      <c r="X27" s="31" t="str">
        <f>G33</f>
        <v>F5EFC416</v>
      </c>
      <c r="Y27" t="str">
        <f t="shared" si="0"/>
        <v>0xF5EFC416,</v>
      </c>
      <c r="Z27" s="32"/>
    </row>
    <row r="28" spans="22:26">
      <c r="V28" s="30" t="s">
        <v>186</v>
      </c>
      <c r="W28" s="22">
        <v>40348060</v>
      </c>
      <c r="X28" s="31" t="str">
        <f>F34</f>
        <v>11217A0C</v>
      </c>
      <c r="Y28" t="str">
        <f t="shared" si="0"/>
        <v>0x11217A0C,</v>
      </c>
      <c r="Z28" s="32" t="s">
        <v>187</v>
      </c>
    </row>
    <row r="29" spans="22:26">
      <c r="V29" s="30"/>
      <c r="W29" s="22">
        <v>40348064</v>
      </c>
      <c r="X29" s="31" t="str">
        <f>F33</f>
        <v>F5EFC776</v>
      </c>
      <c r="Y29" t="str">
        <f t="shared" si="0"/>
        <v>0xF5EFC776,</v>
      </c>
      <c r="Z29" s="32"/>
    </row>
    <row r="30" spans="22:26">
      <c r="V30" s="30" t="s">
        <v>188</v>
      </c>
      <c r="W30" s="22">
        <v>40348060</v>
      </c>
      <c r="X30" s="31" t="str">
        <f>E34</f>
        <v>11217A0C</v>
      </c>
      <c r="Y30" t="str">
        <f t="shared" si="0"/>
        <v>0x11217A0C,</v>
      </c>
      <c r="Z30" s="32" t="s">
        <v>189</v>
      </c>
    </row>
    <row r="31" spans="1:26">
      <c r="A31" t="s">
        <v>190</v>
      </c>
      <c r="V31" s="30"/>
      <c r="W31" s="22">
        <v>40348064</v>
      </c>
      <c r="X31" s="31" t="str">
        <f>E33</f>
        <v>DBEFC61F</v>
      </c>
      <c r="Y31" t="str">
        <f t="shared" si="0"/>
        <v>0xDBEFC61F,</v>
      </c>
      <c r="Z31" s="32"/>
    </row>
    <row r="32" spans="1:26">
      <c r="A32" s="16" t="s">
        <v>191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192</v>
      </c>
      <c r="W32" s="22">
        <v>40348060</v>
      </c>
      <c r="X32" s="31" t="str">
        <f>D34</f>
        <v>19BEAA0C</v>
      </c>
      <c r="Y32" t="str">
        <f t="shared" si="0"/>
        <v>0x19BEAA0C,</v>
      </c>
      <c r="Z32" s="32" t="s">
        <v>193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C9EFC7FF</v>
      </c>
      <c r="E33" s="18" t="str">
        <f>DEC2HEX(POWER(2,$C12-32)*E12+POWER(2,$C11-32)*E11+POWER(2,$C10-32)*E10+POWER(2,$C9-32)*E9+POWER(2,$C8-32)*E8+POWER(2,$C7-32)*E7+POWER(2,$C6-32)*E6+POWER(2,$C5-32)*E5+POWER(2,$C4-32)*E4+POWER(2,$C3-32)*E3+POWER(2,$C2-32)*E2)</f>
        <v>DBEFC61F</v>
      </c>
      <c r="F33" s="18" t="str">
        <f>DEC2HEX(POWER(2,$C12-32)*F12+POWER(2,$C11-32)*F11+POWER(2,$C10-32)*F10+POWER(2,$C9-32)*F9+POWER(2,$C8-32)*F8+POWER(2,$C7-32)*F7+POWER(2,$C6-32)*F6+POWER(2,$C5-32)*F5+POWER(2,$C4-32)*F4+POWER(2,$C3-32)*F3+POWER(2,$C2-32)*F2)</f>
        <v>F5EFC776</v>
      </c>
      <c r="G33" s="18" t="str">
        <f>DEC2HEX(POWER(2,$C12-32)*G12+POWER(2,$C11-32)*G11+POWER(2,$C10-32)*G10+POWER(2,$C9-32)*G9+POWER(2,$C8-32)*G8+POWER(2,$C7-32)*G7+POWER(2,$C6-32)*G6+POWER(2,$C5-32)*G5+POWER(2,$C4-32)*G4+POWER(2,$C3-32)*G3+POWER(2,$C2-32)*G2)</f>
        <v>F5EFC416</v>
      </c>
      <c r="H33" s="18" t="str">
        <f>DEC2HEX(POWER(2,$C12-32)*H12+POWER(2,$C11-32)*H11+POWER(2,$C10-32)*H10+POWER(2,$C9-32)*H9+POWER(2,$C8-32)*H8+POWER(2,$C7-32)*H7+POWER(2,$C6-32)*H6+POWER(2,$C5-32)*H5+POWER(2,$C4-32)*H4+POWER(2,$C3-32)*H3+POWER(2,$C2-32)*H2)</f>
        <v>F5EF8470</v>
      </c>
      <c r="I33" s="18" t="str">
        <f>DEC2HEX(POWER(2,$C12-32)*I12+POWER(2,$C11-32)*I11+POWER(2,$C10-32)*I10+POWER(2,$C9-32)*I9+POWER(2,$C8-32)*I8+POWER(2,$C7-32)*I7+POWER(2,$C6-32)*I6+POWER(2,$C5-32)*I5+POWER(2,$C4-32)*I4+POWER(2,$C3-32)*I3+POWER(2,$C2-32)*I2)</f>
        <v>F5EF82F0</v>
      </c>
      <c r="J33" s="18" t="str">
        <f>DEC2HEX(POWER(2,$C12-32)*J12+POWER(2,$C11-32)*J11+POWER(2,$C10-32)*J10+POWER(2,$C9-32)*J9+POWER(2,$C8-32)*J8+POWER(2,$C7-32)*J7+POWER(2,$C6-32)*J6+POWER(2,$C5-32)*J5+POWER(2,$C4-32)*J4+POWER(2,$C3-32)*J3+POWER(2,$C2-32)*J2)</f>
        <v>F5EF8270</v>
      </c>
      <c r="K33" s="18" t="str">
        <f>DEC2HEX(POWER(2,$C12-32)*K12+POWER(2,$C11-32)*K11+POWER(2,$C10-32)*K10+POWER(2,$C9-32)*K9+POWER(2,$C8-32)*K8+POWER(2,$C7-32)*K7+POWER(2,$C6-32)*K6+POWER(2,$C5-32)*K5+POWER(2,$C4-32)*K4+POWER(2,$C3-32)*K3+POWER(2,$C2-32)*K2)</f>
        <v>F5EF4250</v>
      </c>
      <c r="L33" s="18" t="str">
        <f>DEC2HEX(POWER(2,$C12-32)*L12+POWER(2,$C11-32)*L11+POWER(2,$C10-32)*L10+POWER(2,$C9-32)*L9+POWER(2,$C8-32)*L8+POWER(2,$C7-32)*L7+POWER(2,$C6-32)*L6+POWER(2,$C5-32)*L5+POWER(2,$C4-32)*L4+POWER(2,$C3-32)*L3+POWER(2,$C2-32)*L2)</f>
        <v>F5EF0258</v>
      </c>
      <c r="M33" s="18" t="str">
        <f>DEC2HEX(POWER(2,$C12-32)*M12+POWER(2,$C11-32)*M11+POWER(2,$C10-32)*M10+POWER(2,$C9-32)*M9+POWER(2,$C8-32)*M8+POWER(2,$C7-32)*M7+POWER(2,$C6-32)*M6+POWER(2,$C5-32)*M5+POWER(2,$C4-32)*M4+POWER(2,$C3-32)*M3+POWER(2,$C2-32)*M2)</f>
        <v>F5EF01DA</v>
      </c>
      <c r="N33" s="18" t="str">
        <f>DEC2HEX(POWER(2,$C12-32)*N12+POWER(2,$C11-32)*N11+POWER(2,$C10-32)*N10+POWER(2,$C9-32)*N9+POWER(2,$C8-32)*N8+POWER(2,$C7-32)*N7+POWER(2,$C6-32)*N6+POWER(2,$C5-32)*N5+POWER(2,$C4-32)*N4+POWER(2,$C3-32)*N3+POWER(2,$C2-32)*N2)</f>
        <v>F5EEC152</v>
      </c>
      <c r="O33" s="18" t="str">
        <f>DEC2HEX(POWER(2,$C12-32)*O12+POWER(2,$C11-32)*O11+POWER(2,$C10-32)*O10+POWER(2,$C9-32)*O9+POWER(2,$C8-32)*O8+POWER(2,$C7-32)*O7+POWER(2,$C6-32)*O6+POWER(2,$C5-32)*O5+POWER(2,$C4-32)*O4+POWER(2,$C3-32)*O3+POWER(2,$C2-32)*O2)</f>
        <v>F5EE81D0</v>
      </c>
      <c r="P33" s="18" t="str">
        <f>DEC2HEX(POWER(2,$C12-32)*P12+POWER(2,$C11-32)*P11+POWER(2,$C10-32)*P10+POWER(2,$C9-32)*P9+POWER(2,$C8-32)*P8+POWER(2,$C7-32)*P7+POWER(2,$C6-32)*P6+POWER(2,$C5-32)*P5+POWER(2,$C4-32)*P4+POWER(2,$C3-32)*P3+POWER(2,$C2-32)*P2)</f>
        <v>F5EE812F</v>
      </c>
      <c r="Q33" s="18" t="str">
        <f>DEC2HEX(POWER(2,$C12-32)*Q12+POWER(2,$C11-32)*Q11+POWER(2,$C10-32)*Q10+POWER(2,$C9-32)*Q9+POWER(2,$C8-32)*Q8+POWER(2,$C7-32)*Q7+POWER(2,$C6-32)*Q6+POWER(2,$C5-32)*Q5+POWER(2,$C4-32)*Q4+POWER(2,$C3-32)*Q3+POWER(2,$C2-32)*Q2)</f>
        <v>F5EE4216</v>
      </c>
      <c r="R33" s="18" t="str">
        <f>DEC2HEX(POWER(2,$C12-32)*R12+POWER(2,$C11-32)*R11+POWER(2,$C10-32)*R10+POWER(2,$C9-32)*R9+POWER(2,$C8-32)*R8+POWER(2,$C7-32)*R7+POWER(2,$C6-32)*R6+POWER(2,$C5-32)*R5+POWER(2,$C4-32)*R4+POWER(2,$C3-32)*R3+POWER(2,$C2-32)*R2)</f>
        <v>F5EE4196</v>
      </c>
      <c r="S33" s="18" t="str">
        <f>DEC2HEX(POWER(2,$C12-32)*S12+POWER(2,$C11-32)*S11+POWER(2,$C10-32)*S10+POWER(2,$C9-32)*S9+POWER(2,$C8-32)*S8+POWER(2,$C7-32)*S7+POWER(2,$C6-32)*S6+POWER(2,$C5-32)*S5+POWER(2,$C4-32)*S4+POWER(2,$C3-32)*S3+POWER(2,$C2-32)*S2)</f>
        <v>F5EE4136</v>
      </c>
      <c r="V33" s="29"/>
      <c r="W33" s="22">
        <v>40348064</v>
      </c>
      <c r="X33" s="31" t="str">
        <f>D33</f>
        <v>C9EFC7FF</v>
      </c>
      <c r="Y33" t="str">
        <f t="shared" si="0"/>
        <v>0xC9EFC7FF,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19BEAA0C</v>
      </c>
      <c r="E34" s="18" t="str">
        <f>DEC2HEX(POWER(2,$C20)*E20+POWER(2,$C19)*E19+POWER(2,$C18)*E18+POWER(2,$C17)*E17+POWER(2,$C16)*E16+POWER(2,$C15)*E15+POWER(2,$C14)*E14+POWER(2,$C13)*E13)</f>
        <v>11217A0C</v>
      </c>
      <c r="F34" s="18" t="str">
        <f>DEC2HEX(POWER(2,$C20)*F20+POWER(2,$C19)*F19+POWER(2,$C18)*F18+POWER(2,$C17)*F17+POWER(2,$C16)*F16+POWER(2,$C15)*F15+POWER(2,$C14)*F14+POWER(2,$C13)*F13)</f>
        <v>11217A0C</v>
      </c>
      <c r="G34" s="18" t="str">
        <f>DEC2HEX(POWER(2,$C20)*G20+POWER(2,$C19)*G19+POWER(2,$C18)*G18+POWER(2,$C17)*G17+POWER(2,$C16)*G16+POWER(2,$C15)*G15+POWER(2,$C14)*G14+POWER(2,$C13)*G13)</f>
        <v>11217A0C</v>
      </c>
      <c r="H34" s="18" t="str">
        <f>DEC2HEX(POWER(2,$C20)*H20+POWER(2,$C19)*H19+POWER(2,$C18)*H18+POWER(2,$C17)*H17+POWER(2,$C16)*H16+POWER(2,$C15)*H15+POWER(2,$C14)*H14+POWER(2,$C13)*H13)</f>
        <v>11217A0C</v>
      </c>
      <c r="I34" s="18" t="str">
        <f>DEC2HEX(POWER(2,$C20)*I20+POWER(2,$C19)*I19+POWER(2,$C18)*I18+POWER(2,$C17)*I17+POWER(2,$C16)*I16+POWER(2,$C15)*I15+POWER(2,$C14)*I14+POWER(2,$C13)*I13)</f>
        <v>11217A0C</v>
      </c>
      <c r="J34" s="18" t="str">
        <f>DEC2HEX(POWER(2,$C20)*J20+POWER(2,$C19)*J19+POWER(2,$C18)*J18+POWER(2,$C17)*J17+POWER(2,$C16)*J16+POWER(2,$C15)*J15+POWER(2,$C14)*J14+POWER(2,$C13)*J13)</f>
        <v>11217A0C</v>
      </c>
      <c r="K34" s="18" t="str">
        <f>DEC2HEX(POWER(2,$C20)*K20+POWER(2,$C19)*K19+POWER(2,$C18)*K18+POWER(2,$C17)*K17+POWER(2,$C16)*K16+POWER(2,$C15)*K15+POWER(2,$C14)*K14+POWER(2,$C13)*K13)</f>
        <v>11217A0C</v>
      </c>
      <c r="L34" s="18" t="str">
        <f>DEC2HEX(POWER(2,$C20)*L20+POWER(2,$C19)*L19+POWER(2,$C18)*L18+POWER(2,$C17)*L17+POWER(2,$C16)*L16+POWER(2,$C15)*L15+POWER(2,$C14)*L14+POWER(2,$C13)*L13)</f>
        <v>11217A0C</v>
      </c>
      <c r="M34" s="18" t="str">
        <f>DEC2HEX(POWER(2,$C20)*M20+POWER(2,$C19)*M19+POWER(2,$C18)*M18+POWER(2,$C17)*M17+POWER(2,$C16)*M16+POWER(2,$C15)*M15+POWER(2,$C14)*M14+POWER(2,$C13)*M13)</f>
        <v>11217A0C</v>
      </c>
      <c r="N34" s="18" t="str">
        <f>DEC2HEX(POWER(2,$C20)*N20+POWER(2,$C19)*N19+POWER(2,$C18)*N18+POWER(2,$C17)*N17+POWER(2,$C16)*N16+POWER(2,$C15)*N15+POWER(2,$C14)*N14+POWER(2,$C13)*N13)</f>
        <v>11217A0C</v>
      </c>
      <c r="O34" s="18" t="str">
        <f>DEC2HEX(POWER(2,$C20)*O20+POWER(2,$C19)*O19+POWER(2,$C18)*O18+POWER(2,$C17)*O17+POWER(2,$C16)*O16+POWER(2,$C15)*O15+POWER(2,$C14)*O14+POWER(2,$C13)*O13)</f>
        <v>11217A0C</v>
      </c>
      <c r="P34" s="18" t="str">
        <f>DEC2HEX(POWER(2,$C20)*P20+POWER(2,$C19)*P19+POWER(2,$C18)*P18+POWER(2,$C17)*P17+POWER(2,$C16)*P16+POWER(2,$C15)*P15+POWER(2,$C14)*P14+POWER(2,$C13)*P13)</f>
        <v>11217A0C</v>
      </c>
      <c r="Q34" s="18" t="str">
        <f>DEC2HEX(POWER(2,$C20)*Q20+POWER(2,$C19)*Q19+POWER(2,$C18)*Q18+POWER(2,$C17)*Q17+POWER(2,$C16)*Q16+POWER(2,$C15)*Q15+POWER(2,$C14)*Q14+POWER(2,$C13)*Q13)</f>
        <v>11217A0C</v>
      </c>
      <c r="R34" s="18" t="str">
        <f>DEC2HEX(POWER(2,$C20)*R20+POWER(2,$C19)*R19+POWER(2,$C18)*R18+POWER(2,$C17)*R17+POWER(2,$C16)*R16+POWER(2,$C15)*R15+POWER(2,$C14)*R14+POWER(2,$C13)*R13)</f>
        <v>11217A0C</v>
      </c>
      <c r="S34" s="18" t="str">
        <f>DEC2HEX(POWER(2,$C20)*S20+POWER(2,$C19)*S19+POWER(2,$C18)*S18+POWER(2,$C17)*S17+POWER(2,$C16)*S16+POWER(2,$C15)*S15+POWER(2,$C14)*S14+POWER(2,$C13)*S13)</f>
        <v>11217A0C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E10" sqref="E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208</v>
      </c>
      <c r="B2" s="3">
        <v>63</v>
      </c>
      <c r="C2" s="3">
        <v>62</v>
      </c>
      <c r="D2" s="3">
        <v>3</v>
      </c>
      <c r="E2" s="4" t="s">
        <v>80</v>
      </c>
      <c r="F2" s="4" t="s">
        <v>80</v>
      </c>
      <c r="G2" s="4" t="s">
        <v>80</v>
      </c>
      <c r="H2" s="4" t="s">
        <v>80</v>
      </c>
      <c r="I2" s="4" t="s">
        <v>80</v>
      </c>
      <c r="J2" s="4">
        <v>3</v>
      </c>
      <c r="K2" s="4" t="s">
        <v>80</v>
      </c>
      <c r="L2" s="4" t="s">
        <v>80</v>
      </c>
      <c r="M2" s="4" t="s">
        <v>80</v>
      </c>
      <c r="N2" s="4" t="s">
        <v>80</v>
      </c>
      <c r="O2" s="4">
        <v>3</v>
      </c>
      <c r="P2" s="4" t="s">
        <v>80</v>
      </c>
      <c r="Q2" s="4" t="s">
        <v>80</v>
      </c>
      <c r="R2" s="4" t="s">
        <v>80</v>
      </c>
      <c r="S2" s="4" t="s">
        <v>80</v>
      </c>
      <c r="V2" s="30">
        <v>0</v>
      </c>
      <c r="W2" s="22">
        <v>40348060</v>
      </c>
      <c r="X2" s="31" t="str">
        <f>S34</f>
        <v>13217A0C</v>
      </c>
      <c r="Y2" t="str">
        <f t="shared" ref="Y2:Y33" si="0">"0x"&amp;RIGHT("00000000"&amp;X2,8)&amp;","</f>
        <v>0x13217A0C,</v>
      </c>
      <c r="Z2" s="32" t="s">
        <v>142</v>
      </c>
    </row>
    <row r="3" spans="1:26">
      <c r="A3" s="2" t="s">
        <v>209</v>
      </c>
      <c r="B3" s="3">
        <v>61</v>
      </c>
      <c r="C3" s="3">
        <v>57</v>
      </c>
      <c r="D3" s="3">
        <v>4</v>
      </c>
      <c r="E3" s="4" t="s">
        <v>159</v>
      </c>
      <c r="F3" s="4" t="s">
        <v>159</v>
      </c>
      <c r="G3" s="4" t="s">
        <v>159</v>
      </c>
      <c r="H3" s="4" t="s">
        <v>159</v>
      </c>
      <c r="I3" s="4" t="s">
        <v>159</v>
      </c>
      <c r="J3" s="4">
        <v>12</v>
      </c>
      <c r="K3" s="4" t="s">
        <v>159</v>
      </c>
      <c r="L3" s="4" t="s">
        <v>159</v>
      </c>
      <c r="M3" s="4" t="s">
        <v>159</v>
      </c>
      <c r="N3" s="4" t="s">
        <v>159</v>
      </c>
      <c r="O3" s="4">
        <v>12</v>
      </c>
      <c r="P3" s="4" t="s">
        <v>159</v>
      </c>
      <c r="Q3" s="4" t="s">
        <v>159</v>
      </c>
      <c r="R3" s="4" t="s">
        <v>159</v>
      </c>
      <c r="S3" s="4" t="s">
        <v>159</v>
      </c>
      <c r="V3" s="30"/>
      <c r="W3" s="22">
        <v>40348064</v>
      </c>
      <c r="X3" s="31" t="str">
        <f>S33</f>
        <v>D9E040D4</v>
      </c>
      <c r="Y3" t="str">
        <f t="shared" si="0"/>
        <v>0xD9E040D4,</v>
      </c>
      <c r="Z3" s="32"/>
    </row>
    <row r="4" spans="1:26">
      <c r="A4" s="2" t="s">
        <v>210</v>
      </c>
      <c r="B4" s="3">
        <v>56</v>
      </c>
      <c r="C4" s="3">
        <v>56</v>
      </c>
      <c r="D4" s="3">
        <v>1</v>
      </c>
      <c r="E4" s="4" t="s">
        <v>86</v>
      </c>
      <c r="F4" s="4" t="s">
        <v>86</v>
      </c>
      <c r="G4" s="4" t="s">
        <v>86</v>
      </c>
      <c r="H4" s="4" t="s">
        <v>86</v>
      </c>
      <c r="I4" s="4" t="s">
        <v>86</v>
      </c>
      <c r="J4" s="4">
        <v>1</v>
      </c>
      <c r="K4" s="4" t="s">
        <v>86</v>
      </c>
      <c r="L4" s="4" t="s">
        <v>86</v>
      </c>
      <c r="M4" s="4" t="s">
        <v>86</v>
      </c>
      <c r="N4" s="4" t="s">
        <v>86</v>
      </c>
      <c r="O4" s="4">
        <v>1</v>
      </c>
      <c r="P4" s="4" t="s">
        <v>86</v>
      </c>
      <c r="Q4" s="4" t="s">
        <v>86</v>
      </c>
      <c r="R4" s="4" t="s">
        <v>86</v>
      </c>
      <c r="S4" s="4" t="s">
        <v>86</v>
      </c>
      <c r="V4" s="30">
        <v>1</v>
      </c>
      <c r="W4" s="22">
        <v>40348060</v>
      </c>
      <c r="X4" s="31" t="str">
        <f>R34</f>
        <v>13217A0C</v>
      </c>
      <c r="Y4" t="str">
        <f t="shared" si="0"/>
        <v>0x13217A0C,</v>
      </c>
      <c r="Z4" s="32" t="s">
        <v>146</v>
      </c>
    </row>
    <row r="5" spans="1:26">
      <c r="A5" s="2" t="s">
        <v>211</v>
      </c>
      <c r="B5" s="3">
        <v>55</v>
      </c>
      <c r="C5" s="3">
        <v>53</v>
      </c>
      <c r="D5" s="3">
        <v>7</v>
      </c>
      <c r="E5" s="4" t="s">
        <v>127</v>
      </c>
      <c r="F5" s="4" t="s">
        <v>127</v>
      </c>
      <c r="G5" s="4" t="s">
        <v>127</v>
      </c>
      <c r="H5" s="4" t="s">
        <v>127</v>
      </c>
      <c r="I5" s="4" t="s">
        <v>127</v>
      </c>
      <c r="J5" s="4">
        <v>7</v>
      </c>
      <c r="K5" s="4" t="s">
        <v>127</v>
      </c>
      <c r="L5" s="4" t="s">
        <v>127</v>
      </c>
      <c r="M5" s="4" t="s">
        <v>127</v>
      </c>
      <c r="N5" s="4" t="s">
        <v>127</v>
      </c>
      <c r="O5" s="4">
        <v>7</v>
      </c>
      <c r="P5" s="4" t="s">
        <v>127</v>
      </c>
      <c r="Q5" s="4" t="s">
        <v>127</v>
      </c>
      <c r="R5" s="4" t="s">
        <v>127</v>
      </c>
      <c r="S5" s="4" t="s">
        <v>127</v>
      </c>
      <c r="V5" s="30"/>
      <c r="W5" s="22">
        <v>40348064</v>
      </c>
      <c r="X5" s="31" t="str">
        <f>R33</f>
        <v>D9E04115</v>
      </c>
      <c r="Y5" t="str">
        <f t="shared" si="0"/>
        <v>0xD9E04115,</v>
      </c>
      <c r="Z5" s="32"/>
    </row>
    <row r="6" spans="1:26">
      <c r="A6" s="2" t="s">
        <v>212</v>
      </c>
      <c r="B6" s="3">
        <v>52</v>
      </c>
      <c r="C6" s="3">
        <v>49</v>
      </c>
      <c r="D6" s="3">
        <v>7</v>
      </c>
      <c r="E6" s="4" t="s">
        <v>72</v>
      </c>
      <c r="F6" s="4" t="s">
        <v>72</v>
      </c>
      <c r="G6" s="4" t="s">
        <v>72</v>
      </c>
      <c r="H6" s="4" t="s">
        <v>72</v>
      </c>
      <c r="I6" s="4" t="s">
        <v>72</v>
      </c>
      <c r="J6" s="4" t="s">
        <v>72</v>
      </c>
      <c r="K6" s="4" t="s">
        <v>72</v>
      </c>
      <c r="L6" s="4" t="s">
        <v>72</v>
      </c>
      <c r="M6" s="4" t="s">
        <v>72</v>
      </c>
      <c r="N6" s="4" t="s">
        <v>72</v>
      </c>
      <c r="O6" s="4" t="s">
        <v>72</v>
      </c>
      <c r="P6" s="4" t="s">
        <v>72</v>
      </c>
      <c r="Q6" s="4" t="s">
        <v>72</v>
      </c>
      <c r="R6" s="4" t="s">
        <v>72</v>
      </c>
      <c r="S6" s="4" t="s">
        <v>72</v>
      </c>
      <c r="V6" s="30">
        <v>2</v>
      </c>
      <c r="W6" s="22">
        <v>40348060</v>
      </c>
      <c r="X6" s="31" t="str">
        <f>Q34</f>
        <v>13217A0C</v>
      </c>
      <c r="Y6" t="str">
        <f t="shared" si="0"/>
        <v>0x13217A0C,</v>
      </c>
      <c r="Z6" s="32" t="s">
        <v>149</v>
      </c>
    </row>
    <row r="7" spans="1:26">
      <c r="A7" s="2" t="s">
        <v>213</v>
      </c>
      <c r="B7" s="3">
        <v>48</v>
      </c>
      <c r="C7" s="3">
        <v>46</v>
      </c>
      <c r="D7" s="3">
        <v>7</v>
      </c>
      <c r="E7" s="4" t="s">
        <v>127</v>
      </c>
      <c r="F7" s="4" t="s">
        <v>127</v>
      </c>
      <c r="G7" s="4" t="s">
        <v>127</v>
      </c>
      <c r="H7" s="4" t="s">
        <v>106</v>
      </c>
      <c r="I7" s="4" t="s">
        <v>197</v>
      </c>
      <c r="J7" s="4">
        <v>4</v>
      </c>
      <c r="K7" s="4" t="s">
        <v>94</v>
      </c>
      <c r="L7" s="4" t="s">
        <v>118</v>
      </c>
      <c r="M7" s="4" t="s">
        <v>118</v>
      </c>
      <c r="N7" s="4" t="s">
        <v>86</v>
      </c>
      <c r="O7" s="4">
        <v>1</v>
      </c>
      <c r="P7" s="4" t="s">
        <v>86</v>
      </c>
      <c r="Q7" s="4" t="s">
        <v>86</v>
      </c>
      <c r="R7" s="4" t="s">
        <v>86</v>
      </c>
      <c r="S7" s="4" t="s">
        <v>86</v>
      </c>
      <c r="V7" s="30"/>
      <c r="W7" s="22">
        <v>40348064</v>
      </c>
      <c r="X7" s="31" t="str">
        <f>Q33</f>
        <v>D9E04172</v>
      </c>
      <c r="Y7" t="str">
        <f t="shared" si="0"/>
        <v>0xD9E04172,</v>
      </c>
      <c r="Z7" s="3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 t="s">
        <v>72</v>
      </c>
      <c r="F8" s="4" t="s">
        <v>72</v>
      </c>
      <c r="G8" s="4" t="s">
        <v>72</v>
      </c>
      <c r="H8" s="4" t="s">
        <v>72</v>
      </c>
      <c r="I8" s="4" t="s">
        <v>72</v>
      </c>
      <c r="J8" s="4">
        <v>0</v>
      </c>
      <c r="K8" s="4" t="s">
        <v>72</v>
      </c>
      <c r="L8" s="4" t="s">
        <v>72</v>
      </c>
      <c r="M8" s="4" t="s">
        <v>72</v>
      </c>
      <c r="N8" s="4" t="s">
        <v>72</v>
      </c>
      <c r="O8" s="4">
        <v>0</v>
      </c>
      <c r="P8" s="4" t="s">
        <v>72</v>
      </c>
      <c r="Q8" s="4" t="s">
        <v>72</v>
      </c>
      <c r="R8" s="4" t="s">
        <v>72</v>
      </c>
      <c r="S8" s="4" t="s">
        <v>72</v>
      </c>
      <c r="V8" s="30">
        <v>3</v>
      </c>
      <c r="W8" s="22">
        <v>40348060</v>
      </c>
      <c r="X8" s="31" t="str">
        <f>P34</f>
        <v>13217A0C</v>
      </c>
      <c r="Y8" t="str">
        <f t="shared" si="0"/>
        <v>0x13217A0C,</v>
      </c>
      <c r="Z8" s="3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 t="s">
        <v>72</v>
      </c>
      <c r="F9" s="4" t="s">
        <v>72</v>
      </c>
      <c r="G9" s="4" t="s">
        <v>72</v>
      </c>
      <c r="H9" s="4" t="s">
        <v>72</v>
      </c>
      <c r="I9" s="4" t="s">
        <v>72</v>
      </c>
      <c r="J9" s="4">
        <v>0</v>
      </c>
      <c r="K9" s="4" t="s">
        <v>72</v>
      </c>
      <c r="L9" s="4" t="s">
        <v>72</v>
      </c>
      <c r="M9" s="4" t="s">
        <v>72</v>
      </c>
      <c r="N9" s="4" t="s">
        <v>72</v>
      </c>
      <c r="O9" s="4">
        <v>0</v>
      </c>
      <c r="P9" s="4" t="s">
        <v>72</v>
      </c>
      <c r="Q9" s="4" t="s">
        <v>72</v>
      </c>
      <c r="R9" s="4" t="s">
        <v>72</v>
      </c>
      <c r="S9" s="4" t="s">
        <v>72</v>
      </c>
      <c r="V9" s="30"/>
      <c r="W9" s="22">
        <v>40348064</v>
      </c>
      <c r="X9" s="31" t="str">
        <f>P33</f>
        <v>D9E041E8</v>
      </c>
      <c r="Y9" t="str">
        <f t="shared" si="0"/>
        <v>0xD9E041E8,</v>
      </c>
      <c r="Z9" s="32"/>
    </row>
    <row r="10" spans="1:26">
      <c r="A10" s="2" t="s">
        <v>156</v>
      </c>
      <c r="B10" s="3">
        <v>42</v>
      </c>
      <c r="C10" s="3">
        <v>37</v>
      </c>
      <c r="D10" s="3">
        <v>63</v>
      </c>
      <c r="E10" s="5" t="s">
        <v>221</v>
      </c>
      <c r="F10" s="6" t="s">
        <v>206</v>
      </c>
      <c r="G10" s="6" t="s">
        <v>112</v>
      </c>
      <c r="H10" s="5" t="s">
        <v>205</v>
      </c>
      <c r="I10" s="6" t="s">
        <v>215</v>
      </c>
      <c r="J10" s="5">
        <v>21</v>
      </c>
      <c r="K10" s="6" t="s">
        <v>76</v>
      </c>
      <c r="L10" s="5" t="s">
        <v>215</v>
      </c>
      <c r="M10" s="6" t="s">
        <v>76</v>
      </c>
      <c r="N10" s="5" t="s">
        <v>200</v>
      </c>
      <c r="O10" s="6" t="s">
        <v>215</v>
      </c>
      <c r="P10" s="5" t="s">
        <v>76</v>
      </c>
      <c r="Q10" s="5" t="s">
        <v>198</v>
      </c>
      <c r="R10" s="5" t="s">
        <v>217</v>
      </c>
      <c r="S10" s="5" t="s">
        <v>106</v>
      </c>
      <c r="V10" s="30">
        <v>4</v>
      </c>
      <c r="W10" s="22">
        <v>40348060</v>
      </c>
      <c r="X10" s="31" t="str">
        <f>O34</f>
        <v>13217A0C</v>
      </c>
      <c r="Y10" t="str">
        <f t="shared" si="0"/>
        <v>0x13217A0C,</v>
      </c>
      <c r="Z10" s="32" t="s">
        <v>155</v>
      </c>
    </row>
    <row r="11" spans="1:26">
      <c r="A11" s="2" t="s">
        <v>160</v>
      </c>
      <c r="B11" s="3">
        <v>36</v>
      </c>
      <c r="C11" s="3">
        <v>32</v>
      </c>
      <c r="D11" s="3">
        <v>31</v>
      </c>
      <c r="E11" s="5" t="s">
        <v>158</v>
      </c>
      <c r="F11" s="5" t="s">
        <v>158</v>
      </c>
      <c r="G11" s="5" t="s">
        <v>158</v>
      </c>
      <c r="H11" s="5" t="s">
        <v>205</v>
      </c>
      <c r="I11" s="5" t="s">
        <v>214</v>
      </c>
      <c r="J11" s="5">
        <v>28</v>
      </c>
      <c r="K11" s="5" t="s">
        <v>205</v>
      </c>
      <c r="L11" s="5" t="s">
        <v>207</v>
      </c>
      <c r="M11" s="5" t="s">
        <v>158</v>
      </c>
      <c r="N11" s="5" t="s">
        <v>158</v>
      </c>
      <c r="O11" s="5">
        <v>8</v>
      </c>
      <c r="P11" s="5" t="s">
        <v>217</v>
      </c>
      <c r="Q11" s="5" t="s">
        <v>215</v>
      </c>
      <c r="R11" s="5" t="s">
        <v>112</v>
      </c>
      <c r="S11" s="5" t="s">
        <v>158</v>
      </c>
      <c r="V11" s="30"/>
      <c r="W11" s="22">
        <v>40348064</v>
      </c>
      <c r="X11" s="31" t="str">
        <f>O33</f>
        <v>D9E04248</v>
      </c>
      <c r="Y11" t="str">
        <f t="shared" si="0"/>
        <v>0xD9E04248,</v>
      </c>
      <c r="Z11" s="32"/>
    </row>
    <row r="12" spans="1:26">
      <c r="A12" s="2" t="s">
        <v>164</v>
      </c>
      <c r="B12" s="3">
        <v>31</v>
      </c>
      <c r="C12" s="3">
        <v>29</v>
      </c>
      <c r="D12" s="3">
        <v>0</v>
      </c>
      <c r="E12" s="7" t="s">
        <v>72</v>
      </c>
      <c r="F12" s="7" t="s">
        <v>72</v>
      </c>
      <c r="G12" s="7" t="s">
        <v>72</v>
      </c>
      <c r="H12" s="7" t="s">
        <v>72</v>
      </c>
      <c r="I12" s="7" t="s">
        <v>72</v>
      </c>
      <c r="J12" s="7">
        <v>0</v>
      </c>
      <c r="K12" s="7" t="s">
        <v>72</v>
      </c>
      <c r="L12" s="7" t="s">
        <v>72</v>
      </c>
      <c r="M12" s="7" t="s">
        <v>72</v>
      </c>
      <c r="N12" s="7" t="s">
        <v>72</v>
      </c>
      <c r="O12" s="7">
        <v>0</v>
      </c>
      <c r="P12" s="7" t="s">
        <v>72</v>
      </c>
      <c r="Q12" s="7" t="s">
        <v>72</v>
      </c>
      <c r="R12" s="7" t="s">
        <v>72</v>
      </c>
      <c r="S12" s="7" t="s">
        <v>72</v>
      </c>
      <c r="V12" s="30">
        <v>5</v>
      </c>
      <c r="W12" s="22">
        <v>40348060</v>
      </c>
      <c r="X12" s="31" t="str">
        <f>N34</f>
        <v>13217A0C</v>
      </c>
      <c r="Y12" t="str">
        <f t="shared" si="0"/>
        <v>0x13217A0C,</v>
      </c>
      <c r="Z12" s="32" t="s">
        <v>163</v>
      </c>
    </row>
    <row r="13" spans="1:26">
      <c r="A13" s="2" t="s">
        <v>165</v>
      </c>
      <c r="B13" s="3">
        <v>28</v>
      </c>
      <c r="C13" s="3">
        <v>27</v>
      </c>
      <c r="D13" s="3">
        <v>3</v>
      </c>
      <c r="E13" s="7" t="s">
        <v>118</v>
      </c>
      <c r="F13" s="7" t="s">
        <v>118</v>
      </c>
      <c r="G13" s="7" t="s">
        <v>118</v>
      </c>
      <c r="H13" s="7" t="s">
        <v>118</v>
      </c>
      <c r="I13" s="7" t="s">
        <v>118</v>
      </c>
      <c r="J13" s="7">
        <v>2</v>
      </c>
      <c r="K13" s="7" t="s">
        <v>118</v>
      </c>
      <c r="L13" s="7" t="s">
        <v>118</v>
      </c>
      <c r="M13" s="7" t="s">
        <v>118</v>
      </c>
      <c r="N13" s="7" t="s">
        <v>118</v>
      </c>
      <c r="O13" s="7">
        <v>2</v>
      </c>
      <c r="P13" s="7" t="s">
        <v>118</v>
      </c>
      <c r="Q13" s="7" t="s">
        <v>118</v>
      </c>
      <c r="R13" s="7" t="s">
        <v>118</v>
      </c>
      <c r="S13" s="7" t="s">
        <v>118</v>
      </c>
      <c r="V13" s="30"/>
      <c r="W13" s="22">
        <v>40348064</v>
      </c>
      <c r="X13" s="31" t="str">
        <f>N33</f>
        <v>D9E04334</v>
      </c>
      <c r="Y13" t="str">
        <f t="shared" si="0"/>
        <v>0xD9E04334,</v>
      </c>
      <c r="Z13" s="32"/>
    </row>
    <row r="14" spans="1:26">
      <c r="A14" s="2" t="s">
        <v>167</v>
      </c>
      <c r="B14" s="3">
        <v>26</v>
      </c>
      <c r="C14" s="3">
        <v>24</v>
      </c>
      <c r="D14" s="3">
        <v>3</v>
      </c>
      <c r="E14" s="7" t="s">
        <v>80</v>
      </c>
      <c r="F14" s="7" t="s">
        <v>80</v>
      </c>
      <c r="G14" s="7" t="s">
        <v>80</v>
      </c>
      <c r="H14" s="7" t="s">
        <v>80</v>
      </c>
      <c r="I14" s="7" t="s">
        <v>80</v>
      </c>
      <c r="J14" s="7" t="s">
        <v>80</v>
      </c>
      <c r="K14" s="7" t="s">
        <v>80</v>
      </c>
      <c r="L14" s="7" t="s">
        <v>80</v>
      </c>
      <c r="M14" s="7" t="s">
        <v>80</v>
      </c>
      <c r="N14" s="7" t="s">
        <v>80</v>
      </c>
      <c r="O14" s="7" t="s">
        <v>80</v>
      </c>
      <c r="P14" s="7" t="s">
        <v>80</v>
      </c>
      <c r="Q14" s="7" t="s">
        <v>80</v>
      </c>
      <c r="R14" s="7" t="s">
        <v>80</v>
      </c>
      <c r="S14" s="7" t="s">
        <v>80</v>
      </c>
      <c r="V14" s="30">
        <v>6</v>
      </c>
      <c r="W14" s="22">
        <v>40348060</v>
      </c>
      <c r="X14" s="31" t="str">
        <f>M34</f>
        <v>13217A0C</v>
      </c>
      <c r="Y14" t="str">
        <f t="shared" si="0"/>
        <v>0x13217A0C,</v>
      </c>
      <c r="Z14" s="32" t="s">
        <v>166</v>
      </c>
    </row>
    <row r="15" spans="1:26">
      <c r="A15" s="2" t="s">
        <v>168</v>
      </c>
      <c r="B15" s="3">
        <v>23</v>
      </c>
      <c r="C15" s="3">
        <v>18</v>
      </c>
      <c r="D15" s="3">
        <v>47</v>
      </c>
      <c r="E15" s="4" t="s">
        <v>217</v>
      </c>
      <c r="F15" s="4" t="s">
        <v>217</v>
      </c>
      <c r="G15" s="4" t="s">
        <v>217</v>
      </c>
      <c r="H15" s="4" t="s">
        <v>217</v>
      </c>
      <c r="I15" s="4" t="s">
        <v>217</v>
      </c>
      <c r="J15" s="4" t="s">
        <v>217</v>
      </c>
      <c r="K15" s="4" t="s">
        <v>217</v>
      </c>
      <c r="L15" s="4" t="s">
        <v>217</v>
      </c>
      <c r="M15" s="4" t="s">
        <v>217</v>
      </c>
      <c r="N15" s="4" t="s">
        <v>217</v>
      </c>
      <c r="O15" s="4" t="s">
        <v>217</v>
      </c>
      <c r="P15" s="4" t="s">
        <v>217</v>
      </c>
      <c r="Q15" s="4" t="s">
        <v>217</v>
      </c>
      <c r="R15" s="4" t="s">
        <v>217</v>
      </c>
      <c r="S15" s="4" t="s">
        <v>217</v>
      </c>
      <c r="V15" s="30"/>
      <c r="W15" s="22">
        <v>40348064</v>
      </c>
      <c r="X15" s="31" t="str">
        <f>M33</f>
        <v>D9E081F4</v>
      </c>
      <c r="Y15" t="str">
        <f t="shared" si="0"/>
        <v>0xD9E081F4,</v>
      </c>
      <c r="Z15" s="32"/>
    </row>
    <row r="16" spans="1:26">
      <c r="A16" s="2" t="s">
        <v>170</v>
      </c>
      <c r="B16" s="3">
        <v>17</v>
      </c>
      <c r="C16" s="3">
        <v>12</v>
      </c>
      <c r="D16" s="3">
        <v>42</v>
      </c>
      <c r="E16" s="4" t="s">
        <v>161</v>
      </c>
      <c r="F16" s="4" t="s">
        <v>161</v>
      </c>
      <c r="G16" s="4" t="s">
        <v>161</v>
      </c>
      <c r="H16" s="4" t="s">
        <v>161</v>
      </c>
      <c r="I16" s="4" t="s">
        <v>161</v>
      </c>
      <c r="J16" s="4" t="s">
        <v>161</v>
      </c>
      <c r="K16" s="4" t="s">
        <v>161</v>
      </c>
      <c r="L16" s="4" t="s">
        <v>161</v>
      </c>
      <c r="M16" s="4" t="s">
        <v>161</v>
      </c>
      <c r="N16" s="4" t="s">
        <v>161</v>
      </c>
      <c r="O16" s="4" t="s">
        <v>161</v>
      </c>
      <c r="P16" s="4" t="s">
        <v>161</v>
      </c>
      <c r="Q16" s="4" t="s">
        <v>161</v>
      </c>
      <c r="R16" s="4" t="s">
        <v>161</v>
      </c>
      <c r="S16" s="4" t="s">
        <v>161</v>
      </c>
      <c r="V16" s="30">
        <v>7</v>
      </c>
      <c r="W16" s="22">
        <v>40348060</v>
      </c>
      <c r="X16" s="31" t="str">
        <f>L34</f>
        <v>13217A0C</v>
      </c>
      <c r="Y16" t="str">
        <f t="shared" si="0"/>
        <v>0x13217A0C,</v>
      </c>
      <c r="Z16" s="32" t="s">
        <v>169</v>
      </c>
    </row>
    <row r="17" spans="1:26">
      <c r="A17" s="2" t="s">
        <v>171</v>
      </c>
      <c r="B17" s="3">
        <v>11</v>
      </c>
      <c r="C17" s="3">
        <v>7</v>
      </c>
      <c r="D17" s="3">
        <v>20</v>
      </c>
      <c r="E17" s="4" t="s">
        <v>158</v>
      </c>
      <c r="F17" s="4">
        <v>20</v>
      </c>
      <c r="G17" s="4" t="s">
        <v>158</v>
      </c>
      <c r="H17" s="4">
        <v>20</v>
      </c>
      <c r="I17" s="4" t="s">
        <v>158</v>
      </c>
      <c r="J17" s="4">
        <v>20</v>
      </c>
      <c r="K17" s="4" t="s">
        <v>158</v>
      </c>
      <c r="L17" s="4">
        <v>20</v>
      </c>
      <c r="M17" s="4" t="s">
        <v>158</v>
      </c>
      <c r="N17" s="4">
        <v>20</v>
      </c>
      <c r="O17" s="4" t="s">
        <v>158</v>
      </c>
      <c r="P17" s="4">
        <v>20</v>
      </c>
      <c r="Q17" s="4" t="s">
        <v>158</v>
      </c>
      <c r="R17" s="4">
        <v>20</v>
      </c>
      <c r="S17" s="4" t="s">
        <v>158</v>
      </c>
      <c r="V17" s="30"/>
      <c r="W17" s="22">
        <v>40348064</v>
      </c>
      <c r="X17" s="31" t="str">
        <f>L33</f>
        <v>D9E0825A</v>
      </c>
      <c r="Y17" t="str">
        <f t="shared" si="0"/>
        <v>0xD9E0825A,</v>
      </c>
      <c r="Z17" s="32"/>
    </row>
    <row r="18" spans="1:26">
      <c r="A18" s="2" t="s">
        <v>173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13217A0C</v>
      </c>
      <c r="Y18" t="str">
        <f t="shared" si="0"/>
        <v>0x13217A0C,</v>
      </c>
      <c r="Z18" s="32" t="s">
        <v>172</v>
      </c>
    </row>
    <row r="19" spans="1:26">
      <c r="A19" s="2" t="s">
        <v>174</v>
      </c>
      <c r="B19" s="3">
        <v>2</v>
      </c>
      <c r="C19" s="3">
        <v>0</v>
      </c>
      <c r="D19" s="3">
        <v>4</v>
      </c>
      <c r="E19" s="4" t="s">
        <v>94</v>
      </c>
      <c r="F19" s="4" t="s">
        <v>94</v>
      </c>
      <c r="G19" s="4" t="s">
        <v>94</v>
      </c>
      <c r="H19" s="4" t="s">
        <v>94</v>
      </c>
      <c r="I19" s="4" t="s">
        <v>94</v>
      </c>
      <c r="J19" s="4">
        <v>4</v>
      </c>
      <c r="K19" s="4" t="s">
        <v>94</v>
      </c>
      <c r="L19" s="4" t="s">
        <v>94</v>
      </c>
      <c r="M19" s="4" t="s">
        <v>94</v>
      </c>
      <c r="N19" s="4" t="s">
        <v>94</v>
      </c>
      <c r="O19" s="4">
        <v>4</v>
      </c>
      <c r="P19" s="4" t="s">
        <v>94</v>
      </c>
      <c r="Q19" s="4" t="s">
        <v>94</v>
      </c>
      <c r="R19" s="4" t="s">
        <v>94</v>
      </c>
      <c r="S19" s="4" t="s">
        <v>94</v>
      </c>
      <c r="V19" s="30"/>
      <c r="W19" s="22">
        <v>40348064</v>
      </c>
      <c r="X19" s="31" t="str">
        <f>K33</f>
        <v>D9E101F6</v>
      </c>
      <c r="Y19" t="str">
        <f t="shared" si="0"/>
        <v>0xD9E101F6,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13217A0C</v>
      </c>
      <c r="Y20" t="str">
        <f t="shared" si="0"/>
        <v>0x13217A0C,</v>
      </c>
      <c r="Z20" s="32" t="s">
        <v>175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D9E102BC</v>
      </c>
      <c r="Y21" t="str">
        <f t="shared" si="0"/>
        <v>0xD9E102BC,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176</v>
      </c>
      <c r="W22" s="22">
        <v>40348060</v>
      </c>
      <c r="X22" s="31" t="str">
        <f>I34</f>
        <v>13217A0C</v>
      </c>
      <c r="Y22" t="str">
        <f t="shared" si="0"/>
        <v>0x13217A0C,</v>
      </c>
      <c r="Z22" s="32" t="s">
        <v>177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D9E1425C</v>
      </c>
      <c r="Y23" t="str">
        <f t="shared" si="0"/>
        <v>0xD9E1425C,</v>
      </c>
      <c r="Z23" s="32"/>
    </row>
    <row r="24" spans="1:26">
      <c r="A24" s="12" t="s">
        <v>178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179</v>
      </c>
      <c r="W24" s="22">
        <v>40348060</v>
      </c>
      <c r="X24" s="31" t="str">
        <f>H34</f>
        <v>13217A0C</v>
      </c>
      <c r="Y24" t="str">
        <f t="shared" si="0"/>
        <v>0x13217A0C,</v>
      </c>
      <c r="Z24" s="32" t="s">
        <v>180</v>
      </c>
    </row>
    <row r="25" spans="1:26">
      <c r="A25" s="12" t="s">
        <v>181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D9E182D6</v>
      </c>
      <c r="Y25" t="str">
        <f t="shared" si="0"/>
        <v>0xD9E182D6,</v>
      </c>
      <c r="Z25" s="32"/>
    </row>
    <row r="26" spans="1:26">
      <c r="A26" s="12" t="s">
        <v>182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183</v>
      </c>
      <c r="W26" s="22">
        <v>40348060</v>
      </c>
      <c r="X26" s="31" t="str">
        <f>G34</f>
        <v>13217A0C</v>
      </c>
      <c r="Y26" t="str">
        <f t="shared" si="0"/>
        <v>0x13217A0C,</v>
      </c>
      <c r="Z26" s="32" t="s">
        <v>184</v>
      </c>
    </row>
    <row r="27" spans="1:26">
      <c r="A27" s="15" t="s">
        <v>185</v>
      </c>
      <c r="V27" s="30"/>
      <c r="W27" s="22">
        <v>40348064</v>
      </c>
      <c r="X27" s="31" t="str">
        <f>G33</f>
        <v>D9E1C2B4</v>
      </c>
      <c r="Y27" t="str">
        <f t="shared" si="0"/>
        <v>0xD9E1C2B4,</v>
      </c>
      <c r="Z27" s="32"/>
    </row>
    <row r="28" spans="22:26">
      <c r="V28" s="30" t="s">
        <v>186</v>
      </c>
      <c r="W28" s="22">
        <v>40348060</v>
      </c>
      <c r="X28" s="31" t="str">
        <f>F34</f>
        <v>13217A0C</v>
      </c>
      <c r="Y28" t="str">
        <f t="shared" si="0"/>
        <v>0x13217A0C,</v>
      </c>
      <c r="Z28" s="32" t="s">
        <v>187</v>
      </c>
    </row>
    <row r="29" spans="22:26">
      <c r="V29" s="30"/>
      <c r="W29" s="22">
        <v>40348064</v>
      </c>
      <c r="X29" s="31" t="str">
        <f>F33</f>
        <v>D9E1C374</v>
      </c>
      <c r="Y29" t="str">
        <f t="shared" si="0"/>
        <v>0xD9E1C374,</v>
      </c>
      <c r="Z29" s="32"/>
    </row>
    <row r="30" spans="22:26">
      <c r="V30" s="30" t="s">
        <v>188</v>
      </c>
      <c r="W30" s="22">
        <v>40348060</v>
      </c>
      <c r="X30" s="31" t="str">
        <f>E34</f>
        <v>13217A0C</v>
      </c>
      <c r="Y30" t="str">
        <f t="shared" si="0"/>
        <v>0x13217A0C,</v>
      </c>
      <c r="Z30" s="32" t="s">
        <v>189</v>
      </c>
    </row>
    <row r="31" spans="1:26">
      <c r="A31" t="s">
        <v>190</v>
      </c>
      <c r="V31" s="30"/>
      <c r="W31" s="22">
        <v>40348064</v>
      </c>
      <c r="X31" s="31" t="str">
        <f>E33</f>
        <v>D9E1C694</v>
      </c>
      <c r="Y31" t="str">
        <f t="shared" si="0"/>
        <v>0xD9E1C694,</v>
      </c>
      <c r="Z31" s="32"/>
    </row>
    <row r="32" spans="1:26">
      <c r="A32" s="16" t="s">
        <v>191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192</v>
      </c>
      <c r="W32" s="22">
        <v>40348060</v>
      </c>
      <c r="X32" s="31" t="str">
        <f>D34</f>
        <v>1BBEAA0C</v>
      </c>
      <c r="Y32" t="str">
        <f t="shared" si="0"/>
        <v>0x1BBEAA0C,</v>
      </c>
      <c r="Z32" s="32" t="s">
        <v>193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C9EFC7FF</v>
      </c>
      <c r="E33" s="18" t="str">
        <f>DEC2HEX(POWER(2,$C12-32)*E12+POWER(2,$C11-32)*E11+POWER(2,$C10-32)*E10+POWER(2,$C9-32)*E9+POWER(2,$C8-32)*E8+POWER(2,$C7-32)*E7+POWER(2,$C6-32)*E6+POWER(2,$C5-32)*E5+POWER(2,$C4-32)*E4+POWER(2,$C3-32)*E3+POWER(2,$C2-32)*E2)</f>
        <v>D9E1C694</v>
      </c>
      <c r="F33" s="18" t="str">
        <f>DEC2HEX(POWER(2,$C12-32)*F12+POWER(2,$C11-32)*F11+POWER(2,$C10-32)*F10+POWER(2,$C9-32)*F9+POWER(2,$C8-32)*F8+POWER(2,$C7-32)*F7+POWER(2,$C6-32)*F6+POWER(2,$C5-32)*F5+POWER(2,$C4-32)*F4+POWER(2,$C3-32)*F3+POWER(2,$C2-32)*F2)</f>
        <v>D9E1C374</v>
      </c>
      <c r="G33" s="18" t="str">
        <f>DEC2HEX(POWER(2,$C12-32)*G12+POWER(2,$C11-32)*G11+POWER(2,$C10-32)*G10+POWER(2,$C9-32)*G9+POWER(2,$C8-32)*G8+POWER(2,$C7-32)*G7+POWER(2,$C6-32)*G6+POWER(2,$C5-32)*G5+POWER(2,$C4-32)*G4+POWER(2,$C3-32)*G3+POWER(2,$C2-32)*G2)</f>
        <v>D9E1C2B4</v>
      </c>
      <c r="H33" s="18" t="str">
        <f>DEC2HEX(POWER(2,$C12-32)*H12+POWER(2,$C11-32)*H11+POWER(2,$C10-32)*H10+POWER(2,$C9-32)*H9+POWER(2,$C8-32)*H8+POWER(2,$C7-32)*H7+POWER(2,$C6-32)*H6+POWER(2,$C5-32)*H5+POWER(2,$C4-32)*H4+POWER(2,$C3-32)*H3+POWER(2,$C2-32)*H2)</f>
        <v>D9E182D6</v>
      </c>
      <c r="I33" s="18" t="str">
        <f>DEC2HEX(POWER(2,$C12-32)*I12+POWER(2,$C11-32)*I11+POWER(2,$C10-32)*I10+POWER(2,$C9-32)*I9+POWER(2,$C8-32)*I8+POWER(2,$C7-32)*I7+POWER(2,$C6-32)*I6+POWER(2,$C5-32)*I5+POWER(2,$C4-32)*I4+POWER(2,$C3-32)*I3+POWER(2,$C2-32)*I2)</f>
        <v>D9E1425C</v>
      </c>
      <c r="J33" s="18" t="str">
        <f>DEC2HEX(POWER(2,$C12-32)*J12+POWER(2,$C11-32)*J11+POWER(2,$C10-32)*J10+POWER(2,$C9-32)*J9+POWER(2,$C8-32)*J8+POWER(2,$C7-32)*J7+POWER(2,$C6-32)*J6+POWER(2,$C5-32)*J5+POWER(2,$C4-32)*J4+POWER(2,$C3-32)*J3+POWER(2,$C2-32)*J2)</f>
        <v>D9E102BC</v>
      </c>
      <c r="K33" s="18" t="str">
        <f>DEC2HEX(POWER(2,$C12-32)*K12+POWER(2,$C11-32)*K11+POWER(2,$C10-32)*K10+POWER(2,$C9-32)*K9+POWER(2,$C8-32)*K8+POWER(2,$C7-32)*K7+POWER(2,$C6-32)*K6+POWER(2,$C5-32)*K5+POWER(2,$C4-32)*K4+POWER(2,$C3-32)*K3+POWER(2,$C2-32)*K2)</f>
        <v>D9E101F6</v>
      </c>
      <c r="L33" s="18" t="str">
        <f>DEC2HEX(POWER(2,$C12-32)*L12+POWER(2,$C11-32)*L11+POWER(2,$C10-32)*L10+POWER(2,$C9-32)*L9+POWER(2,$C8-32)*L8+POWER(2,$C7-32)*L7+POWER(2,$C6-32)*L6+POWER(2,$C5-32)*L5+POWER(2,$C4-32)*L4+POWER(2,$C3-32)*L3+POWER(2,$C2-32)*L2)</f>
        <v>D9E0825A</v>
      </c>
      <c r="M33" s="18" t="str">
        <f>DEC2HEX(POWER(2,$C12-32)*M12+POWER(2,$C11-32)*M11+POWER(2,$C10-32)*M10+POWER(2,$C9-32)*M9+POWER(2,$C8-32)*M8+POWER(2,$C7-32)*M7+POWER(2,$C6-32)*M6+POWER(2,$C5-32)*M5+POWER(2,$C4-32)*M4+POWER(2,$C3-32)*M3+POWER(2,$C2-32)*M2)</f>
        <v>D9E081F4</v>
      </c>
      <c r="N33" s="18" t="str">
        <f>DEC2HEX(POWER(2,$C12-32)*N12+POWER(2,$C11-32)*N11+POWER(2,$C10-32)*N10+POWER(2,$C9-32)*N9+POWER(2,$C8-32)*N8+POWER(2,$C7-32)*N7+POWER(2,$C6-32)*N6+POWER(2,$C5-32)*N5+POWER(2,$C4-32)*N4+POWER(2,$C3-32)*N3+POWER(2,$C2-32)*N2)</f>
        <v>D9E04334</v>
      </c>
      <c r="O33" s="18" t="str">
        <f>DEC2HEX(POWER(2,$C12-32)*O12+POWER(2,$C11-32)*O11+POWER(2,$C10-32)*O10+POWER(2,$C9-32)*O9+POWER(2,$C8-32)*O8+POWER(2,$C7-32)*O7+POWER(2,$C6-32)*O6+POWER(2,$C5-32)*O5+POWER(2,$C4-32)*O4+POWER(2,$C3-32)*O3+POWER(2,$C2-32)*O2)</f>
        <v>D9E04248</v>
      </c>
      <c r="P33" s="18" t="str">
        <f>DEC2HEX(POWER(2,$C12-32)*P12+POWER(2,$C11-32)*P11+POWER(2,$C10-32)*P10+POWER(2,$C9-32)*P9+POWER(2,$C8-32)*P8+POWER(2,$C7-32)*P7+POWER(2,$C6-32)*P6+POWER(2,$C5-32)*P5+POWER(2,$C4-32)*P4+POWER(2,$C3-32)*P3+POWER(2,$C2-32)*P2)</f>
        <v>D9E041E8</v>
      </c>
      <c r="Q33" s="18" t="str">
        <f>DEC2HEX(POWER(2,$C12-32)*Q12+POWER(2,$C11-32)*Q11+POWER(2,$C10-32)*Q10+POWER(2,$C9-32)*Q9+POWER(2,$C8-32)*Q8+POWER(2,$C7-32)*Q7+POWER(2,$C6-32)*Q6+POWER(2,$C5-32)*Q5+POWER(2,$C4-32)*Q4+POWER(2,$C3-32)*Q3+POWER(2,$C2-32)*Q2)</f>
        <v>D9E04172</v>
      </c>
      <c r="R33" s="18" t="str">
        <f>DEC2HEX(POWER(2,$C12-32)*R12+POWER(2,$C11-32)*R11+POWER(2,$C10-32)*R10+POWER(2,$C9-32)*R9+POWER(2,$C8-32)*R8+POWER(2,$C7-32)*R7+POWER(2,$C6-32)*R6+POWER(2,$C5-32)*R5+POWER(2,$C4-32)*R4+POWER(2,$C3-32)*R3+POWER(2,$C2-32)*R2)</f>
        <v>D9E04115</v>
      </c>
      <c r="S33" s="18" t="str">
        <f>DEC2HEX(POWER(2,$C12-32)*S12+POWER(2,$C11-32)*S11+POWER(2,$C10-32)*S10+POWER(2,$C9-32)*S9+POWER(2,$C8-32)*S8+POWER(2,$C7-32)*S7+POWER(2,$C6-32)*S6+POWER(2,$C5-32)*S5+POWER(2,$C4-32)*S4+POWER(2,$C3-32)*S3+POWER(2,$C2-32)*S2)</f>
        <v>D9E040D4</v>
      </c>
      <c r="V33" s="29"/>
      <c r="W33" s="22">
        <v>40348064</v>
      </c>
      <c r="X33" s="31" t="str">
        <f>D33</f>
        <v>C9EFC7FF</v>
      </c>
      <c r="Y33" t="str">
        <f t="shared" si="0"/>
        <v>0xC9EFC7FF,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1BBEAA0C</v>
      </c>
      <c r="E34" s="18" t="str">
        <f>DEC2HEX(POWER(2,$C20)*E20+POWER(2,$C19)*E19+POWER(2,$C18)*E18+POWER(2,$C17)*E17+POWER(2,$C16)*E16+POWER(2,$C15)*E15+POWER(2,$C14)*E14+POWER(2,$C13)*E13)</f>
        <v>13217A0C</v>
      </c>
      <c r="F34" s="18" t="str">
        <f>DEC2HEX(POWER(2,$C20)*F20+POWER(2,$C19)*F19+POWER(2,$C18)*F18+POWER(2,$C17)*F17+POWER(2,$C16)*F16+POWER(2,$C15)*F15+POWER(2,$C14)*F14+POWER(2,$C13)*F13)</f>
        <v>13217A0C</v>
      </c>
      <c r="G34" s="18" t="str">
        <f>DEC2HEX(POWER(2,$C20)*G20+POWER(2,$C19)*G19+POWER(2,$C18)*G18+POWER(2,$C17)*G17+POWER(2,$C16)*G16+POWER(2,$C15)*G15+POWER(2,$C14)*G14+POWER(2,$C13)*G13)</f>
        <v>13217A0C</v>
      </c>
      <c r="H34" s="18" t="str">
        <f>DEC2HEX(POWER(2,$C20)*H20+POWER(2,$C19)*H19+POWER(2,$C18)*H18+POWER(2,$C17)*H17+POWER(2,$C16)*H16+POWER(2,$C15)*H15+POWER(2,$C14)*H14+POWER(2,$C13)*H13)</f>
        <v>13217A0C</v>
      </c>
      <c r="I34" s="18" t="str">
        <f>DEC2HEX(POWER(2,$C20)*I20+POWER(2,$C19)*I19+POWER(2,$C18)*I18+POWER(2,$C17)*I17+POWER(2,$C16)*I16+POWER(2,$C15)*I15+POWER(2,$C14)*I14+POWER(2,$C13)*I13)</f>
        <v>13217A0C</v>
      </c>
      <c r="J34" s="18" t="str">
        <f>DEC2HEX(POWER(2,$C20)*J20+POWER(2,$C19)*J19+POWER(2,$C18)*J18+POWER(2,$C17)*J17+POWER(2,$C16)*J16+POWER(2,$C15)*J15+POWER(2,$C14)*J14+POWER(2,$C13)*J13)</f>
        <v>13217A0C</v>
      </c>
      <c r="K34" s="18" t="str">
        <f>DEC2HEX(POWER(2,$C20)*K20+POWER(2,$C19)*K19+POWER(2,$C18)*K18+POWER(2,$C17)*K17+POWER(2,$C16)*K16+POWER(2,$C15)*K15+POWER(2,$C14)*K14+POWER(2,$C13)*K13)</f>
        <v>13217A0C</v>
      </c>
      <c r="L34" s="18" t="str">
        <f>DEC2HEX(POWER(2,$C20)*L20+POWER(2,$C19)*L19+POWER(2,$C18)*L18+POWER(2,$C17)*L17+POWER(2,$C16)*L16+POWER(2,$C15)*L15+POWER(2,$C14)*L14+POWER(2,$C13)*L13)</f>
        <v>13217A0C</v>
      </c>
      <c r="M34" s="18" t="str">
        <f>DEC2HEX(POWER(2,$C20)*M20+POWER(2,$C19)*M19+POWER(2,$C18)*M18+POWER(2,$C17)*M17+POWER(2,$C16)*M16+POWER(2,$C15)*M15+POWER(2,$C14)*M14+POWER(2,$C13)*M13)</f>
        <v>13217A0C</v>
      </c>
      <c r="N34" s="18" t="str">
        <f>DEC2HEX(POWER(2,$C20)*N20+POWER(2,$C19)*N19+POWER(2,$C18)*N18+POWER(2,$C17)*N17+POWER(2,$C16)*N16+POWER(2,$C15)*N15+POWER(2,$C14)*N14+POWER(2,$C13)*N13)</f>
        <v>13217A0C</v>
      </c>
      <c r="O34" s="18" t="str">
        <f>DEC2HEX(POWER(2,$C20)*O20+POWER(2,$C19)*O19+POWER(2,$C18)*O18+POWER(2,$C17)*O17+POWER(2,$C16)*O16+POWER(2,$C15)*O15+POWER(2,$C14)*O14+POWER(2,$C13)*O13)</f>
        <v>13217A0C</v>
      </c>
      <c r="P34" s="18" t="str">
        <f>DEC2HEX(POWER(2,$C20)*P20+POWER(2,$C19)*P19+POWER(2,$C18)*P18+POWER(2,$C17)*P17+POWER(2,$C16)*P16+POWER(2,$C15)*P15+POWER(2,$C14)*P14+POWER(2,$C13)*P13)</f>
        <v>13217A0C</v>
      </c>
      <c r="Q34" s="18" t="str">
        <f>DEC2HEX(POWER(2,$C20)*Q20+POWER(2,$C19)*Q19+POWER(2,$C18)*Q18+POWER(2,$C17)*Q17+POWER(2,$C16)*Q16+POWER(2,$C15)*Q15+POWER(2,$C14)*Q14+POWER(2,$C13)*Q13)</f>
        <v>13217A0C</v>
      </c>
      <c r="R34" s="18" t="str">
        <f>DEC2HEX(POWER(2,$C20)*R20+POWER(2,$C19)*R19+POWER(2,$C18)*R18+POWER(2,$C17)*R17+POWER(2,$C16)*R16+POWER(2,$C15)*R15+POWER(2,$C14)*R14+POWER(2,$C13)*R13)</f>
        <v>13217A0C</v>
      </c>
      <c r="S34" s="18" t="str">
        <f>DEC2HEX(POWER(2,$C20)*S20+POWER(2,$C19)*S19+POWER(2,$C18)*S18+POWER(2,$C17)*S17+POWER(2,$C16)*S16+POWER(2,$C15)*S15+POWER(2,$C14)*S14+POWER(2,$C13)*S13)</f>
        <v>13217A0C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F10" sqref="F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208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12217A0C</v>
      </c>
      <c r="Y2" t="str">
        <f t="shared" ref="Y2:Y33" si="0">"0x"&amp;RIGHT("00000000"&amp;X2,8)&amp;","</f>
        <v>0x12217A0C,</v>
      </c>
      <c r="Z2" s="32" t="s">
        <v>142</v>
      </c>
    </row>
    <row r="3" spans="1:26">
      <c r="A3" s="2" t="s">
        <v>209</v>
      </c>
      <c r="B3" s="3">
        <v>61</v>
      </c>
      <c r="C3" s="3">
        <v>57</v>
      </c>
      <c r="D3" s="3">
        <v>0</v>
      </c>
      <c r="E3" s="4">
        <v>0</v>
      </c>
      <c r="F3" s="4">
        <v>16</v>
      </c>
      <c r="G3" s="4">
        <v>16</v>
      </c>
      <c r="H3" s="4">
        <v>16</v>
      </c>
      <c r="I3" s="4" t="s">
        <v>194</v>
      </c>
      <c r="J3" s="4" t="s">
        <v>194</v>
      </c>
      <c r="K3" s="4" t="s">
        <v>194</v>
      </c>
      <c r="L3" s="4" t="s">
        <v>194</v>
      </c>
      <c r="M3" s="4" t="s">
        <v>194</v>
      </c>
      <c r="N3" s="4" t="s">
        <v>194</v>
      </c>
      <c r="O3" s="4" t="s">
        <v>194</v>
      </c>
      <c r="P3" s="4" t="s">
        <v>194</v>
      </c>
      <c r="Q3" s="4" t="s">
        <v>194</v>
      </c>
      <c r="R3" s="4" t="s">
        <v>194</v>
      </c>
      <c r="S3" s="4" t="s">
        <v>194</v>
      </c>
      <c r="V3" s="30"/>
      <c r="W3" s="22">
        <v>40348064</v>
      </c>
      <c r="X3" s="31" t="str">
        <f>S33</f>
        <v>E1EE4136</v>
      </c>
      <c r="Y3" t="str">
        <f t="shared" si="0"/>
        <v>0xE1EE4136,</v>
      </c>
      <c r="Z3" s="32"/>
    </row>
    <row r="4" spans="1:26">
      <c r="A4" s="2" t="s">
        <v>210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12217A0C</v>
      </c>
      <c r="Y4" t="str">
        <f t="shared" si="0"/>
        <v>0x12217A0C,</v>
      </c>
      <c r="Z4" s="32" t="s">
        <v>146</v>
      </c>
    </row>
    <row r="5" spans="1:26">
      <c r="A5" s="2" t="s">
        <v>211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E1EE4196</v>
      </c>
      <c r="Y5" t="str">
        <f t="shared" si="0"/>
        <v>0xE1EE4196,</v>
      </c>
      <c r="Z5" s="32"/>
    </row>
    <row r="6" spans="1:26">
      <c r="A6" s="2" t="s">
        <v>212</v>
      </c>
      <c r="B6" s="3">
        <v>52</v>
      </c>
      <c r="C6" s="3">
        <v>49</v>
      </c>
      <c r="D6" s="3">
        <v>0</v>
      </c>
      <c r="E6" s="4">
        <v>5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12217A0C</v>
      </c>
      <c r="Y6" t="str">
        <f t="shared" si="0"/>
        <v>0x12217A0C,</v>
      </c>
      <c r="Z6" s="32" t="s">
        <v>149</v>
      </c>
    </row>
    <row r="7" spans="1:26">
      <c r="A7" s="2" t="s">
        <v>213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E1EE4216</v>
      </c>
      <c r="Y7" t="str">
        <f t="shared" si="0"/>
        <v>0xE1EE4216,</v>
      </c>
      <c r="Z7" s="3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12217A0C</v>
      </c>
      <c r="Y8" t="str">
        <f t="shared" si="0"/>
        <v>0x12217A0C,</v>
      </c>
      <c r="Z8" s="3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E1EE812F</v>
      </c>
      <c r="Y9" t="str">
        <f t="shared" si="0"/>
        <v>0xE1EE812F,</v>
      </c>
      <c r="Z9" s="32"/>
    </row>
    <row r="10" spans="1:26">
      <c r="A10" s="2" t="s">
        <v>156</v>
      </c>
      <c r="B10" s="3">
        <v>42</v>
      </c>
      <c r="C10" s="3">
        <v>37</v>
      </c>
      <c r="D10" s="3">
        <v>63</v>
      </c>
      <c r="E10" s="5">
        <v>63</v>
      </c>
      <c r="F10" s="6" t="s">
        <v>223</v>
      </c>
      <c r="G10" s="6" t="s">
        <v>206</v>
      </c>
      <c r="H10" s="5">
        <v>35</v>
      </c>
      <c r="I10" s="6" t="s">
        <v>158</v>
      </c>
      <c r="J10" s="5">
        <v>19</v>
      </c>
      <c r="K10" s="6" t="s">
        <v>194</v>
      </c>
      <c r="L10" s="5">
        <v>18</v>
      </c>
      <c r="M10" s="6" t="s">
        <v>159</v>
      </c>
      <c r="N10" s="5">
        <v>10</v>
      </c>
      <c r="O10" s="35" t="s">
        <v>159</v>
      </c>
      <c r="P10" s="5">
        <v>9</v>
      </c>
      <c r="Q10" s="5">
        <v>16</v>
      </c>
      <c r="R10" s="5">
        <v>12</v>
      </c>
      <c r="S10" s="5">
        <v>9</v>
      </c>
      <c r="V10" s="30">
        <v>4</v>
      </c>
      <c r="W10" s="22">
        <v>40348060</v>
      </c>
      <c r="X10" s="31" t="str">
        <f>O34</f>
        <v>12217A0C</v>
      </c>
      <c r="Y10" t="str">
        <f t="shared" si="0"/>
        <v>0x12217A0C,</v>
      </c>
      <c r="Z10" s="32" t="s">
        <v>155</v>
      </c>
    </row>
    <row r="11" spans="1:26">
      <c r="A11" s="2" t="s">
        <v>160</v>
      </c>
      <c r="B11" s="3">
        <v>36</v>
      </c>
      <c r="C11" s="3">
        <v>32</v>
      </c>
      <c r="D11" s="3">
        <v>31</v>
      </c>
      <c r="E11" s="5">
        <v>31</v>
      </c>
      <c r="F11" s="5">
        <v>22</v>
      </c>
      <c r="G11" s="5">
        <v>22</v>
      </c>
      <c r="H11" s="5">
        <v>16</v>
      </c>
      <c r="I11" s="5">
        <v>16</v>
      </c>
      <c r="J11" s="5">
        <v>16</v>
      </c>
      <c r="K11" s="5">
        <v>16</v>
      </c>
      <c r="L11" s="5">
        <v>24</v>
      </c>
      <c r="M11" s="5">
        <v>26</v>
      </c>
      <c r="N11" s="5">
        <v>18</v>
      </c>
      <c r="O11" s="5" t="s">
        <v>112</v>
      </c>
      <c r="P11" s="5">
        <v>15</v>
      </c>
      <c r="Q11" s="5">
        <v>22</v>
      </c>
      <c r="R11" s="5">
        <v>22</v>
      </c>
      <c r="S11" s="5">
        <v>22</v>
      </c>
      <c r="V11" s="30"/>
      <c r="W11" s="22">
        <v>40348064</v>
      </c>
      <c r="X11" s="31" t="str">
        <f>O33</f>
        <v>E1EE8195</v>
      </c>
      <c r="Y11" t="str">
        <f t="shared" si="0"/>
        <v>0xE1EE8195,</v>
      </c>
      <c r="Z11" s="32"/>
    </row>
    <row r="12" spans="1:26">
      <c r="A12" s="2" t="s">
        <v>164</v>
      </c>
      <c r="B12" s="3">
        <v>31</v>
      </c>
      <c r="C12" s="3">
        <v>29</v>
      </c>
      <c r="D12" s="3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12217A0C</v>
      </c>
      <c r="Y12" t="str">
        <f t="shared" si="0"/>
        <v>0x12217A0C,</v>
      </c>
      <c r="Z12" s="32" t="s">
        <v>163</v>
      </c>
    </row>
    <row r="13" spans="1:26">
      <c r="A13" s="2" t="s">
        <v>165</v>
      </c>
      <c r="B13" s="3">
        <v>28</v>
      </c>
      <c r="C13" s="3">
        <v>27</v>
      </c>
      <c r="D13" s="3">
        <v>3</v>
      </c>
      <c r="E13" s="7">
        <v>2</v>
      </c>
      <c r="F13" s="7">
        <v>2</v>
      </c>
      <c r="G13" s="7">
        <v>2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E1EEC152</v>
      </c>
      <c r="Y13" t="str">
        <f t="shared" si="0"/>
        <v>0xE1EEC152,</v>
      </c>
      <c r="Z13" s="32"/>
    </row>
    <row r="14" spans="1:26">
      <c r="A14" s="2" t="s">
        <v>167</v>
      </c>
      <c r="B14" s="3">
        <v>26</v>
      </c>
      <c r="C14" s="3">
        <v>24</v>
      </c>
      <c r="D14" s="3" t="s">
        <v>118</v>
      </c>
      <c r="E14" s="7" t="s">
        <v>118</v>
      </c>
      <c r="F14" s="7" t="s">
        <v>118</v>
      </c>
      <c r="G14" s="7">
        <v>2</v>
      </c>
      <c r="H14" s="7" t="s">
        <v>118</v>
      </c>
      <c r="I14" s="7" t="s">
        <v>118</v>
      </c>
      <c r="J14" s="7" t="s">
        <v>118</v>
      </c>
      <c r="K14" s="7">
        <v>2</v>
      </c>
      <c r="L14" s="7" t="s">
        <v>118</v>
      </c>
      <c r="M14" s="7" t="s">
        <v>118</v>
      </c>
      <c r="N14" s="7" t="s">
        <v>118</v>
      </c>
      <c r="O14" s="7">
        <v>2</v>
      </c>
      <c r="P14" s="7" t="s">
        <v>118</v>
      </c>
      <c r="Q14" s="7" t="s">
        <v>118</v>
      </c>
      <c r="R14" s="7" t="s">
        <v>118</v>
      </c>
      <c r="S14" s="7" t="s">
        <v>118</v>
      </c>
      <c r="V14" s="30">
        <v>6</v>
      </c>
      <c r="W14" s="22">
        <v>40348060</v>
      </c>
      <c r="X14" s="31" t="str">
        <f>M34</f>
        <v>12217A0C</v>
      </c>
      <c r="Y14" t="str">
        <f t="shared" si="0"/>
        <v>0x12217A0C,</v>
      </c>
      <c r="Z14" s="32" t="s">
        <v>166</v>
      </c>
    </row>
    <row r="15" spans="1:26">
      <c r="A15" s="2" t="s">
        <v>168</v>
      </c>
      <c r="B15" s="3">
        <v>23</v>
      </c>
      <c r="C15" s="3">
        <v>18</v>
      </c>
      <c r="D15" s="3">
        <v>47</v>
      </c>
      <c r="E15" s="4" t="s">
        <v>217</v>
      </c>
      <c r="F15" s="4" t="s">
        <v>217</v>
      </c>
      <c r="G15" s="4" t="s">
        <v>217</v>
      </c>
      <c r="H15" s="4" t="s">
        <v>217</v>
      </c>
      <c r="I15" s="4" t="s">
        <v>217</v>
      </c>
      <c r="J15" s="4" t="s">
        <v>217</v>
      </c>
      <c r="K15" s="4" t="s">
        <v>217</v>
      </c>
      <c r="L15" s="4" t="s">
        <v>217</v>
      </c>
      <c r="M15" s="4" t="s">
        <v>217</v>
      </c>
      <c r="N15" s="4" t="s">
        <v>217</v>
      </c>
      <c r="O15" s="4" t="s">
        <v>217</v>
      </c>
      <c r="P15" s="4" t="s">
        <v>217</v>
      </c>
      <c r="Q15" s="4" t="s">
        <v>217</v>
      </c>
      <c r="R15" s="4" t="s">
        <v>217</v>
      </c>
      <c r="S15" s="4" t="s">
        <v>217</v>
      </c>
      <c r="V15" s="30"/>
      <c r="W15" s="22">
        <v>40348064</v>
      </c>
      <c r="X15" s="31" t="str">
        <f>M33</f>
        <v>E1EF019A</v>
      </c>
      <c r="Y15" t="str">
        <f t="shared" si="0"/>
        <v>0xE1EF019A,</v>
      </c>
      <c r="Z15" s="32"/>
    </row>
    <row r="16" spans="1:26">
      <c r="A16" s="2" t="s">
        <v>170</v>
      </c>
      <c r="B16" s="3">
        <v>17</v>
      </c>
      <c r="C16" s="3">
        <v>12</v>
      </c>
      <c r="D16" s="3">
        <v>42</v>
      </c>
      <c r="E16" s="4" t="s">
        <v>161</v>
      </c>
      <c r="F16" s="4" t="s">
        <v>161</v>
      </c>
      <c r="G16" s="4" t="s">
        <v>161</v>
      </c>
      <c r="H16" s="4" t="s">
        <v>161</v>
      </c>
      <c r="I16" s="4" t="s">
        <v>161</v>
      </c>
      <c r="J16" s="4" t="s">
        <v>161</v>
      </c>
      <c r="K16" s="4" t="s">
        <v>161</v>
      </c>
      <c r="L16" s="4" t="s">
        <v>161</v>
      </c>
      <c r="M16" s="4" t="s">
        <v>161</v>
      </c>
      <c r="N16" s="4" t="s">
        <v>161</v>
      </c>
      <c r="O16" s="4" t="s">
        <v>161</v>
      </c>
      <c r="P16" s="4" t="s">
        <v>161</v>
      </c>
      <c r="Q16" s="4" t="s">
        <v>161</v>
      </c>
      <c r="R16" s="4" t="s">
        <v>161</v>
      </c>
      <c r="S16" s="4" t="s">
        <v>161</v>
      </c>
      <c r="V16" s="30">
        <v>7</v>
      </c>
      <c r="W16" s="22">
        <v>40348060</v>
      </c>
      <c r="X16" s="31" t="str">
        <f>L34</f>
        <v>12217A0C</v>
      </c>
      <c r="Y16" t="str">
        <f t="shared" si="0"/>
        <v>0x12217A0C,</v>
      </c>
      <c r="Z16" s="32" t="s">
        <v>169</v>
      </c>
    </row>
    <row r="17" spans="1:26">
      <c r="A17" s="2" t="s">
        <v>171</v>
      </c>
      <c r="B17" s="3">
        <v>11</v>
      </c>
      <c r="C17" s="3">
        <v>7</v>
      </c>
      <c r="D17" s="3">
        <v>20</v>
      </c>
      <c r="E17" s="4" t="s">
        <v>158</v>
      </c>
      <c r="F17" s="4">
        <v>20</v>
      </c>
      <c r="G17" s="4" t="s">
        <v>158</v>
      </c>
      <c r="H17" s="4">
        <v>20</v>
      </c>
      <c r="I17" s="4" t="s">
        <v>158</v>
      </c>
      <c r="J17" s="4">
        <v>20</v>
      </c>
      <c r="K17" s="4" t="s">
        <v>158</v>
      </c>
      <c r="L17" s="4">
        <v>20</v>
      </c>
      <c r="M17" s="4" t="s">
        <v>158</v>
      </c>
      <c r="N17" s="4">
        <v>20</v>
      </c>
      <c r="O17" s="4" t="s">
        <v>158</v>
      </c>
      <c r="P17" s="4">
        <v>20</v>
      </c>
      <c r="Q17" s="4" t="s">
        <v>158</v>
      </c>
      <c r="R17" s="4">
        <v>20</v>
      </c>
      <c r="S17" s="4" t="s">
        <v>158</v>
      </c>
      <c r="V17" s="30"/>
      <c r="W17" s="22">
        <v>40348064</v>
      </c>
      <c r="X17" s="31" t="str">
        <f>L33</f>
        <v>E1EF0258</v>
      </c>
      <c r="Y17" t="str">
        <f t="shared" si="0"/>
        <v>0xE1EF0258,</v>
      </c>
      <c r="Z17" s="32"/>
    </row>
    <row r="18" spans="1:26">
      <c r="A18" s="2" t="s">
        <v>173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12217A0C</v>
      </c>
      <c r="Y18" t="str">
        <f t="shared" si="0"/>
        <v>0x12217A0C,</v>
      </c>
      <c r="Z18" s="32" t="s">
        <v>172</v>
      </c>
    </row>
    <row r="19" spans="1:26">
      <c r="A19" s="2" t="s">
        <v>174</v>
      </c>
      <c r="B19" s="3">
        <v>2</v>
      </c>
      <c r="C19" s="3">
        <v>0</v>
      </c>
      <c r="D19" s="3">
        <v>4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E1EF4210</v>
      </c>
      <c r="Y19" t="str">
        <f t="shared" si="0"/>
        <v>0xE1EF4210,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12217A0C</v>
      </c>
      <c r="Y20" t="str">
        <f t="shared" si="0"/>
        <v>0x12217A0C,</v>
      </c>
      <c r="Z20" s="32" t="s">
        <v>175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E1EF8270</v>
      </c>
      <c r="Y21" t="str">
        <f t="shared" si="0"/>
        <v>0xE1EF8270,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176</v>
      </c>
      <c r="W22" s="22">
        <v>40348060</v>
      </c>
      <c r="X22" s="31" t="str">
        <f>I34</f>
        <v>12217A0C</v>
      </c>
      <c r="Y22" t="str">
        <f t="shared" si="0"/>
        <v>0x12217A0C,</v>
      </c>
      <c r="Z22" s="32" t="s">
        <v>177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E1EF8290</v>
      </c>
      <c r="Y23" t="str">
        <f t="shared" si="0"/>
        <v>0xE1EF8290,</v>
      </c>
      <c r="Z23" s="32"/>
    </row>
    <row r="24" spans="1:26">
      <c r="A24" s="12" t="s">
        <v>178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179</v>
      </c>
      <c r="W24" s="22">
        <v>40348060</v>
      </c>
      <c r="X24" s="31" t="str">
        <f>H34</f>
        <v>12217A0C</v>
      </c>
      <c r="Y24" t="str">
        <f t="shared" si="0"/>
        <v>0x12217A0C,</v>
      </c>
      <c r="Z24" s="32" t="s">
        <v>180</v>
      </c>
    </row>
    <row r="25" spans="1:26">
      <c r="A25" s="12" t="s">
        <v>181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E1EF8470</v>
      </c>
      <c r="Y25" t="str">
        <f t="shared" si="0"/>
        <v>0xE1EF8470,</v>
      </c>
      <c r="Z25" s="32"/>
    </row>
    <row r="26" spans="1:26">
      <c r="A26" s="12" t="s">
        <v>182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183</v>
      </c>
      <c r="W26" s="22">
        <v>40348060</v>
      </c>
      <c r="X26" s="31" t="str">
        <f>G34</f>
        <v>12217A0C</v>
      </c>
      <c r="Y26" t="str">
        <f t="shared" si="0"/>
        <v>0x12217A0C,</v>
      </c>
      <c r="Z26" s="32" t="s">
        <v>184</v>
      </c>
    </row>
    <row r="27" spans="1:26">
      <c r="A27" s="15" t="s">
        <v>185</v>
      </c>
      <c r="V27" s="30"/>
      <c r="W27" s="22">
        <v>40348064</v>
      </c>
      <c r="X27" s="31" t="str">
        <f>G33</f>
        <v>E1EFC376</v>
      </c>
      <c r="Y27" t="str">
        <f t="shared" si="0"/>
        <v>0xE1EFC376,</v>
      </c>
      <c r="Z27" s="32"/>
    </row>
    <row r="28" spans="22:26">
      <c r="V28" s="30" t="s">
        <v>186</v>
      </c>
      <c r="W28" s="22">
        <v>40348060</v>
      </c>
      <c r="X28" s="31" t="str">
        <f>F34</f>
        <v>12217A0C</v>
      </c>
      <c r="Y28" t="str">
        <f t="shared" si="0"/>
        <v>0x12217A0C,</v>
      </c>
      <c r="Z28" s="32" t="s">
        <v>187</v>
      </c>
    </row>
    <row r="29" spans="22:26">
      <c r="V29" s="30"/>
      <c r="W29" s="22">
        <v>40348064</v>
      </c>
      <c r="X29" s="31" t="str">
        <f>F33</f>
        <v>E1EFC536</v>
      </c>
      <c r="Y29" t="str">
        <f t="shared" si="0"/>
        <v>0xE1EFC536,</v>
      </c>
      <c r="Z29" s="32"/>
    </row>
    <row r="30" spans="22:26">
      <c r="V30" s="30" t="s">
        <v>188</v>
      </c>
      <c r="W30" s="22">
        <v>40348060</v>
      </c>
      <c r="X30" s="31" t="str">
        <f>E34</f>
        <v>12217A0C</v>
      </c>
      <c r="Y30" t="str">
        <f t="shared" si="0"/>
        <v>0x12217A0C,</v>
      </c>
      <c r="Z30" s="32" t="s">
        <v>189</v>
      </c>
    </row>
    <row r="31" spans="1:26">
      <c r="A31" t="s">
        <v>190</v>
      </c>
      <c r="V31" s="30"/>
      <c r="W31" s="22">
        <v>40348064</v>
      </c>
      <c r="X31" s="31" t="str">
        <f>E33</f>
        <v>C1EBC7FF</v>
      </c>
      <c r="Y31" t="str">
        <f t="shared" si="0"/>
        <v>0xC1EBC7FF,</v>
      </c>
      <c r="Z31" s="32"/>
    </row>
    <row r="32" spans="1:26">
      <c r="A32" s="16" t="s">
        <v>191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192</v>
      </c>
      <c r="W32" s="22">
        <v>40348060</v>
      </c>
      <c r="X32" s="31" t="str">
        <f>D34</f>
        <v>1ABEAA0C</v>
      </c>
      <c r="Y32" t="str">
        <f t="shared" si="0"/>
        <v>0x1ABEAA0C,</v>
      </c>
      <c r="Z32" s="32" t="s">
        <v>193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C1E1C7FF</v>
      </c>
      <c r="E33" s="18" t="str">
        <f>DEC2HEX(POWER(2,$C12-32)*E12+POWER(2,$C11-32)*E11+POWER(2,$C10-32)*E10+POWER(2,$C9-32)*E9+POWER(2,$C8-32)*E8+POWER(2,$C7-32)*E7+POWER(2,$C6-32)*E6+POWER(2,$C5-32)*E5+POWER(2,$C4-32)*E4+POWER(2,$C3-32)*E3+POWER(2,$C2-32)*E2)</f>
        <v>C1EBC7FF</v>
      </c>
      <c r="F33" s="18" t="str">
        <f>DEC2HEX(POWER(2,$C12-32)*F12+POWER(2,$C11-32)*F11+POWER(2,$C10-32)*F10+POWER(2,$C9-32)*F9+POWER(2,$C8-32)*F8+POWER(2,$C7-32)*F7+POWER(2,$C6-32)*F6+POWER(2,$C5-32)*F5+POWER(2,$C4-32)*F4+POWER(2,$C3-32)*F3+POWER(2,$C2-32)*F2)</f>
        <v>E1EFC536</v>
      </c>
      <c r="G33" s="18" t="str">
        <f>DEC2HEX(POWER(2,$C12-32)*G12+POWER(2,$C11-32)*G11+POWER(2,$C10-32)*G10+POWER(2,$C9-32)*G9+POWER(2,$C8-32)*G8+POWER(2,$C7-32)*G7+POWER(2,$C6-32)*G6+POWER(2,$C5-32)*G5+POWER(2,$C4-32)*G4+POWER(2,$C3-32)*G3+POWER(2,$C2-32)*G2)</f>
        <v>E1EFC376</v>
      </c>
      <c r="H33" s="18" t="str">
        <f>DEC2HEX(POWER(2,$C12-32)*H12+POWER(2,$C11-32)*H11+POWER(2,$C10-32)*H10+POWER(2,$C9-32)*H9+POWER(2,$C8-32)*H8+POWER(2,$C7-32)*H7+POWER(2,$C6-32)*H6+POWER(2,$C5-32)*H5+POWER(2,$C4-32)*H4+POWER(2,$C3-32)*H3+POWER(2,$C2-32)*H2)</f>
        <v>E1EF8470</v>
      </c>
      <c r="I33" s="18" t="str">
        <f>DEC2HEX(POWER(2,$C12-32)*I12+POWER(2,$C11-32)*I11+POWER(2,$C10-32)*I10+POWER(2,$C9-32)*I9+POWER(2,$C8-32)*I8+POWER(2,$C7-32)*I7+POWER(2,$C6-32)*I6+POWER(2,$C5-32)*I5+POWER(2,$C4-32)*I4+POWER(2,$C3-32)*I3+POWER(2,$C2-32)*I2)</f>
        <v>E1EF8290</v>
      </c>
      <c r="J33" s="18" t="str">
        <f>DEC2HEX(POWER(2,$C12-32)*J12+POWER(2,$C11-32)*J11+POWER(2,$C10-32)*J10+POWER(2,$C9-32)*J9+POWER(2,$C8-32)*J8+POWER(2,$C7-32)*J7+POWER(2,$C6-32)*J6+POWER(2,$C5-32)*J5+POWER(2,$C4-32)*J4+POWER(2,$C3-32)*J3+POWER(2,$C2-32)*J2)</f>
        <v>E1EF8270</v>
      </c>
      <c r="K33" s="18" t="str">
        <f>DEC2HEX(POWER(2,$C12-32)*K12+POWER(2,$C11-32)*K11+POWER(2,$C10-32)*K10+POWER(2,$C9-32)*K9+POWER(2,$C8-32)*K8+POWER(2,$C7-32)*K7+POWER(2,$C6-32)*K6+POWER(2,$C5-32)*K5+POWER(2,$C4-32)*K4+POWER(2,$C3-32)*K3+POWER(2,$C2-32)*K2)</f>
        <v>E1EF4210</v>
      </c>
      <c r="L33" s="18" t="str">
        <f>DEC2HEX(POWER(2,$C12-32)*L12+POWER(2,$C11-32)*L11+POWER(2,$C10-32)*L10+POWER(2,$C9-32)*L9+POWER(2,$C8-32)*L8+POWER(2,$C7-32)*L7+POWER(2,$C6-32)*L6+POWER(2,$C5-32)*L5+POWER(2,$C4-32)*L4+POWER(2,$C3-32)*L3+POWER(2,$C2-32)*L2)</f>
        <v>E1EF0258</v>
      </c>
      <c r="M33" s="18" t="str">
        <f>DEC2HEX(POWER(2,$C12-32)*M12+POWER(2,$C11-32)*M11+POWER(2,$C10-32)*M10+POWER(2,$C9-32)*M9+POWER(2,$C8-32)*M8+POWER(2,$C7-32)*M7+POWER(2,$C6-32)*M6+POWER(2,$C5-32)*M5+POWER(2,$C4-32)*M4+POWER(2,$C3-32)*M3+POWER(2,$C2-32)*M2)</f>
        <v>E1EF019A</v>
      </c>
      <c r="N33" s="18" t="str">
        <f>DEC2HEX(POWER(2,$C12-32)*N12+POWER(2,$C11-32)*N11+POWER(2,$C10-32)*N10+POWER(2,$C9-32)*N9+POWER(2,$C8-32)*N8+POWER(2,$C7-32)*N7+POWER(2,$C6-32)*N6+POWER(2,$C5-32)*N5+POWER(2,$C4-32)*N4+POWER(2,$C3-32)*N3+POWER(2,$C2-32)*N2)</f>
        <v>E1EEC152</v>
      </c>
      <c r="O33" s="18" t="str">
        <f>DEC2HEX(POWER(2,$C12-32)*O12+POWER(2,$C11-32)*O11+POWER(2,$C10-32)*O10+POWER(2,$C9-32)*O9+POWER(2,$C8-32)*O8+POWER(2,$C7-32)*O7+POWER(2,$C6-32)*O6+POWER(2,$C5-32)*O5+POWER(2,$C4-32)*O4+POWER(2,$C3-32)*O3+POWER(2,$C2-32)*O2)</f>
        <v>E1EE8195</v>
      </c>
      <c r="P33" s="18" t="str">
        <f>DEC2HEX(POWER(2,$C12-32)*P12+POWER(2,$C11-32)*P11+POWER(2,$C10-32)*P10+POWER(2,$C9-32)*P9+POWER(2,$C8-32)*P8+POWER(2,$C7-32)*P7+POWER(2,$C6-32)*P6+POWER(2,$C5-32)*P5+POWER(2,$C4-32)*P4+POWER(2,$C3-32)*P3+POWER(2,$C2-32)*P2)</f>
        <v>E1EE812F</v>
      </c>
      <c r="Q33" s="18" t="str">
        <f>DEC2HEX(POWER(2,$C12-32)*Q12+POWER(2,$C11-32)*Q11+POWER(2,$C10-32)*Q10+POWER(2,$C9-32)*Q9+POWER(2,$C8-32)*Q8+POWER(2,$C7-32)*Q7+POWER(2,$C6-32)*Q6+POWER(2,$C5-32)*Q5+POWER(2,$C4-32)*Q4+POWER(2,$C3-32)*Q3+POWER(2,$C2-32)*Q2)</f>
        <v>E1EE4216</v>
      </c>
      <c r="R33" s="18" t="str">
        <f>DEC2HEX(POWER(2,$C12-32)*R12+POWER(2,$C11-32)*R11+POWER(2,$C10-32)*R10+POWER(2,$C9-32)*R9+POWER(2,$C8-32)*R8+POWER(2,$C7-32)*R7+POWER(2,$C6-32)*R6+POWER(2,$C5-32)*R5+POWER(2,$C4-32)*R4+POWER(2,$C3-32)*R3+POWER(2,$C2-32)*R2)</f>
        <v>E1EE4196</v>
      </c>
      <c r="S33" s="18" t="str">
        <f>DEC2HEX(POWER(2,$C12-32)*S12+POWER(2,$C11-32)*S11+POWER(2,$C10-32)*S10+POWER(2,$C9-32)*S9+POWER(2,$C8-32)*S8+POWER(2,$C7-32)*S7+POWER(2,$C6-32)*S6+POWER(2,$C5-32)*S5+POWER(2,$C4-32)*S4+POWER(2,$C3-32)*S3+POWER(2,$C2-32)*S2)</f>
        <v>E1EE4136</v>
      </c>
      <c r="V33" s="29"/>
      <c r="W33" s="22">
        <v>40348064</v>
      </c>
      <c r="X33" s="31" t="str">
        <f>D33</f>
        <v>C1E1C7FF</v>
      </c>
      <c r="Y33" t="str">
        <f t="shared" si="0"/>
        <v>0xC1E1C7FF,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1ABEAA0C</v>
      </c>
      <c r="E34" s="18" t="str">
        <f>DEC2HEX(POWER(2,$C20)*E20+POWER(2,$C19)*E19+POWER(2,$C18)*E18+POWER(2,$C17)*E17+POWER(2,$C16)*E16+POWER(2,$C15)*E15+POWER(2,$C14)*E14+POWER(2,$C13)*E13)</f>
        <v>12217A0C</v>
      </c>
      <c r="F34" s="18" t="str">
        <f>DEC2HEX(POWER(2,$C20)*F20+POWER(2,$C19)*F19+POWER(2,$C18)*F18+POWER(2,$C17)*F17+POWER(2,$C16)*F16+POWER(2,$C15)*F15+POWER(2,$C14)*F14+POWER(2,$C13)*F13)</f>
        <v>12217A0C</v>
      </c>
      <c r="G34" s="18" t="str">
        <f>DEC2HEX(POWER(2,$C20)*G20+POWER(2,$C19)*G19+POWER(2,$C18)*G18+POWER(2,$C17)*G17+POWER(2,$C16)*G16+POWER(2,$C15)*G15+POWER(2,$C14)*G14+POWER(2,$C13)*G13)</f>
        <v>12217A0C</v>
      </c>
      <c r="H34" s="18" t="str">
        <f>DEC2HEX(POWER(2,$C20)*H20+POWER(2,$C19)*H19+POWER(2,$C18)*H18+POWER(2,$C17)*H17+POWER(2,$C16)*H16+POWER(2,$C15)*H15+POWER(2,$C14)*H14+POWER(2,$C13)*H13)</f>
        <v>12217A0C</v>
      </c>
      <c r="I34" s="18" t="str">
        <f>DEC2HEX(POWER(2,$C20)*I20+POWER(2,$C19)*I19+POWER(2,$C18)*I18+POWER(2,$C17)*I17+POWER(2,$C16)*I16+POWER(2,$C15)*I15+POWER(2,$C14)*I14+POWER(2,$C13)*I13)</f>
        <v>12217A0C</v>
      </c>
      <c r="J34" s="18" t="str">
        <f>DEC2HEX(POWER(2,$C20)*J20+POWER(2,$C19)*J19+POWER(2,$C18)*J18+POWER(2,$C17)*J17+POWER(2,$C16)*J16+POWER(2,$C15)*J15+POWER(2,$C14)*J14+POWER(2,$C13)*J13)</f>
        <v>12217A0C</v>
      </c>
      <c r="K34" s="18" t="str">
        <f>DEC2HEX(POWER(2,$C20)*K20+POWER(2,$C19)*K19+POWER(2,$C18)*K18+POWER(2,$C17)*K17+POWER(2,$C16)*K16+POWER(2,$C15)*K15+POWER(2,$C14)*K14+POWER(2,$C13)*K13)</f>
        <v>12217A0C</v>
      </c>
      <c r="L34" s="18" t="str">
        <f>DEC2HEX(POWER(2,$C20)*L20+POWER(2,$C19)*L19+POWER(2,$C18)*L18+POWER(2,$C17)*L17+POWER(2,$C16)*L16+POWER(2,$C15)*L15+POWER(2,$C14)*L14+POWER(2,$C13)*L13)</f>
        <v>12217A0C</v>
      </c>
      <c r="M34" s="18" t="str">
        <f>DEC2HEX(POWER(2,$C20)*M20+POWER(2,$C19)*M19+POWER(2,$C18)*M18+POWER(2,$C17)*M17+POWER(2,$C16)*M16+POWER(2,$C15)*M15+POWER(2,$C14)*M14+POWER(2,$C13)*M13)</f>
        <v>12217A0C</v>
      </c>
      <c r="N34" s="18" t="str">
        <f>DEC2HEX(POWER(2,$C20)*N20+POWER(2,$C19)*N19+POWER(2,$C18)*N18+POWER(2,$C17)*N17+POWER(2,$C16)*N16+POWER(2,$C15)*N15+POWER(2,$C14)*N14+POWER(2,$C13)*N13)</f>
        <v>12217A0C</v>
      </c>
      <c r="O34" s="18" t="str">
        <f>DEC2HEX(POWER(2,$C20)*O20+POWER(2,$C19)*O19+POWER(2,$C18)*O18+POWER(2,$C17)*O17+POWER(2,$C16)*O16+POWER(2,$C15)*O15+POWER(2,$C14)*O14+POWER(2,$C13)*O13)</f>
        <v>12217A0C</v>
      </c>
      <c r="P34" s="18" t="str">
        <f>DEC2HEX(POWER(2,$C20)*P20+POWER(2,$C19)*P19+POWER(2,$C18)*P18+POWER(2,$C17)*P17+POWER(2,$C16)*P16+POWER(2,$C15)*P15+POWER(2,$C14)*P14+POWER(2,$C13)*P13)</f>
        <v>12217A0C</v>
      </c>
      <c r="Q34" s="18" t="str">
        <f>DEC2HEX(POWER(2,$C20)*Q20+POWER(2,$C19)*Q19+POWER(2,$C18)*Q18+POWER(2,$C17)*Q17+POWER(2,$C16)*Q16+POWER(2,$C15)*Q15+POWER(2,$C14)*Q14+POWER(2,$C13)*Q13)</f>
        <v>12217A0C</v>
      </c>
      <c r="R34" s="18" t="str">
        <f>DEC2HEX(POWER(2,$C20)*R20+POWER(2,$C19)*R19+POWER(2,$C18)*R18+POWER(2,$C17)*R17+POWER(2,$C16)*R16+POWER(2,$C15)*R15+POWER(2,$C14)*R14+POWER(2,$C13)*R13)</f>
        <v>12217A0C</v>
      </c>
      <c r="S34" s="18" t="str">
        <f>DEC2HEX(POWER(2,$C20)*S20+POWER(2,$C19)*S19+POWER(2,$C18)*S18+POWER(2,$C17)*S17+POWER(2,$C16)*S16+POWER(2,$C15)*S15+POWER(2,$C14)*S14+POWER(2,$C13)*S13)</f>
        <v>12217A0C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E10" sqref="E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208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11217A0C</v>
      </c>
      <c r="Y2" t="str">
        <f t="shared" ref="Y2:Y33" si="0">"0x"&amp;RIGHT("00000000"&amp;X2,8)&amp;","</f>
        <v>0x11217A0C,</v>
      </c>
      <c r="Z2" s="32" t="s">
        <v>142</v>
      </c>
    </row>
    <row r="3" spans="1:26">
      <c r="A3" s="2" t="s">
        <v>209</v>
      </c>
      <c r="B3" s="3">
        <v>61</v>
      </c>
      <c r="C3" s="3">
        <v>57</v>
      </c>
      <c r="D3" s="3">
        <v>0</v>
      </c>
      <c r="E3" s="4">
        <v>0</v>
      </c>
      <c r="F3" s="4">
        <v>16</v>
      </c>
      <c r="G3" s="4">
        <v>16</v>
      </c>
      <c r="H3" s="4">
        <v>16</v>
      </c>
      <c r="I3" s="4" t="s">
        <v>194</v>
      </c>
      <c r="J3" s="4" t="s">
        <v>194</v>
      </c>
      <c r="K3" s="4" t="s">
        <v>194</v>
      </c>
      <c r="L3" s="4" t="s">
        <v>194</v>
      </c>
      <c r="M3" s="4" t="s">
        <v>194</v>
      </c>
      <c r="N3" s="4" t="s">
        <v>194</v>
      </c>
      <c r="O3" s="4" t="s">
        <v>194</v>
      </c>
      <c r="P3" s="4" t="s">
        <v>194</v>
      </c>
      <c r="Q3" s="4" t="s">
        <v>194</v>
      </c>
      <c r="R3" s="4" t="s">
        <v>194</v>
      </c>
      <c r="S3" s="4" t="s">
        <v>194</v>
      </c>
      <c r="V3" s="30"/>
      <c r="W3" s="22">
        <v>40348064</v>
      </c>
      <c r="X3" s="31" t="str">
        <f>S33</f>
        <v>E1EE4136</v>
      </c>
      <c r="Y3" t="str">
        <f t="shared" si="0"/>
        <v>0xE1EE4136,</v>
      </c>
      <c r="Z3" s="32"/>
    </row>
    <row r="4" spans="1:26">
      <c r="A4" s="2" t="s">
        <v>210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11217A0C</v>
      </c>
      <c r="Y4" t="str">
        <f t="shared" si="0"/>
        <v>0x11217A0C,</v>
      </c>
      <c r="Z4" s="32" t="s">
        <v>146</v>
      </c>
    </row>
    <row r="5" spans="1:26">
      <c r="A5" s="2" t="s">
        <v>211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E1EE4196</v>
      </c>
      <c r="Y5" t="str">
        <f t="shared" si="0"/>
        <v>0xE1EE4196,</v>
      </c>
      <c r="Z5" s="32"/>
    </row>
    <row r="6" spans="1:26">
      <c r="A6" s="2" t="s">
        <v>212</v>
      </c>
      <c r="B6" s="3">
        <v>52</v>
      </c>
      <c r="C6" s="3">
        <v>49</v>
      </c>
      <c r="D6" s="3">
        <v>0</v>
      </c>
      <c r="E6" s="4">
        <v>5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11217A0C</v>
      </c>
      <c r="Y6" t="str">
        <f t="shared" si="0"/>
        <v>0x11217A0C,</v>
      </c>
      <c r="Z6" s="32" t="s">
        <v>149</v>
      </c>
    </row>
    <row r="7" spans="1:26">
      <c r="A7" s="2" t="s">
        <v>213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E1EE4216</v>
      </c>
      <c r="Y7" t="str">
        <f t="shared" si="0"/>
        <v>0xE1EE4216,</v>
      </c>
      <c r="Z7" s="3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11217A0C</v>
      </c>
      <c r="Y8" t="str">
        <f t="shared" si="0"/>
        <v>0x11217A0C,</v>
      </c>
      <c r="Z8" s="3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E1EE812F</v>
      </c>
      <c r="Y9" t="str">
        <f t="shared" si="0"/>
        <v>0xE1EE812F,</v>
      </c>
      <c r="Z9" s="32"/>
    </row>
    <row r="10" spans="1:26">
      <c r="A10" s="2" t="s">
        <v>156</v>
      </c>
      <c r="B10" s="3">
        <v>42</v>
      </c>
      <c r="C10" s="3">
        <v>37</v>
      </c>
      <c r="D10" s="3">
        <v>63</v>
      </c>
      <c r="E10" s="6" t="s">
        <v>224</v>
      </c>
      <c r="F10" s="5">
        <v>59</v>
      </c>
      <c r="G10" s="6" t="s">
        <v>202</v>
      </c>
      <c r="H10" s="5">
        <v>35</v>
      </c>
      <c r="I10" s="6" t="s">
        <v>112</v>
      </c>
      <c r="J10" s="5">
        <v>19</v>
      </c>
      <c r="K10" s="6" t="s">
        <v>194</v>
      </c>
      <c r="L10" s="5">
        <v>18</v>
      </c>
      <c r="M10" s="5">
        <v>13</v>
      </c>
      <c r="N10" s="5">
        <v>10</v>
      </c>
      <c r="O10" s="6">
        <v>12</v>
      </c>
      <c r="P10" s="5">
        <v>9</v>
      </c>
      <c r="Q10" s="5">
        <v>16</v>
      </c>
      <c r="R10" s="5">
        <v>12</v>
      </c>
      <c r="S10" s="5">
        <v>9</v>
      </c>
      <c r="V10" s="30">
        <v>4</v>
      </c>
      <c r="W10" s="22">
        <v>40348060</v>
      </c>
      <c r="X10" s="31" t="str">
        <f>O34</f>
        <v>11217A0C</v>
      </c>
      <c r="Y10" t="str">
        <f t="shared" si="0"/>
        <v>0x11217A0C,</v>
      </c>
      <c r="Z10" s="32" t="s">
        <v>155</v>
      </c>
    </row>
    <row r="11" spans="1:26">
      <c r="A11" s="2" t="s">
        <v>160</v>
      </c>
      <c r="B11" s="3">
        <v>36</v>
      </c>
      <c r="C11" s="3">
        <v>32</v>
      </c>
      <c r="D11" s="3">
        <v>31</v>
      </c>
      <c r="E11" s="5">
        <v>31</v>
      </c>
      <c r="F11" s="5">
        <v>22</v>
      </c>
      <c r="G11" s="5">
        <v>22</v>
      </c>
      <c r="H11" s="5">
        <v>16</v>
      </c>
      <c r="I11" s="5">
        <v>16</v>
      </c>
      <c r="J11" s="5">
        <v>16</v>
      </c>
      <c r="K11" s="5">
        <v>16</v>
      </c>
      <c r="L11" s="5">
        <v>24</v>
      </c>
      <c r="M11" s="5">
        <v>26</v>
      </c>
      <c r="N11" s="5">
        <v>18</v>
      </c>
      <c r="O11" s="6" t="s">
        <v>205</v>
      </c>
      <c r="P11" s="5">
        <v>15</v>
      </c>
      <c r="Q11" s="5">
        <v>22</v>
      </c>
      <c r="R11" s="5">
        <v>22</v>
      </c>
      <c r="S11" s="5">
        <v>22</v>
      </c>
      <c r="V11" s="30"/>
      <c r="W11" s="22">
        <v>40348064</v>
      </c>
      <c r="X11" s="31" t="str">
        <f>O33</f>
        <v>E1EE8196</v>
      </c>
      <c r="Y11" t="str">
        <f t="shared" si="0"/>
        <v>0xE1EE8196,</v>
      </c>
      <c r="Z11" s="32"/>
    </row>
    <row r="12" spans="1:26">
      <c r="A12" s="2" t="s">
        <v>164</v>
      </c>
      <c r="B12" s="3">
        <v>31</v>
      </c>
      <c r="C12" s="3">
        <v>29</v>
      </c>
      <c r="D12" s="3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11217A0C</v>
      </c>
      <c r="Y12" t="str">
        <f t="shared" si="0"/>
        <v>0x11217A0C,</v>
      </c>
      <c r="Z12" s="32" t="s">
        <v>163</v>
      </c>
    </row>
    <row r="13" spans="1:26">
      <c r="A13" s="2" t="s">
        <v>165</v>
      </c>
      <c r="B13" s="3">
        <v>28</v>
      </c>
      <c r="C13" s="3">
        <v>27</v>
      </c>
      <c r="D13" s="3">
        <v>3</v>
      </c>
      <c r="E13" s="7">
        <v>2</v>
      </c>
      <c r="F13" s="7">
        <v>2</v>
      </c>
      <c r="G13" s="7">
        <v>2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E1EEC152</v>
      </c>
      <c r="Y13" t="str">
        <f t="shared" si="0"/>
        <v>0xE1EEC152,</v>
      </c>
      <c r="Z13" s="32"/>
    </row>
    <row r="14" spans="1:26">
      <c r="A14" s="2" t="s">
        <v>167</v>
      </c>
      <c r="B14" s="3">
        <v>26</v>
      </c>
      <c r="C14" s="3">
        <v>24</v>
      </c>
      <c r="D14" s="3">
        <v>1</v>
      </c>
      <c r="E14" s="7" t="s">
        <v>86</v>
      </c>
      <c r="F14" s="7" t="s">
        <v>86</v>
      </c>
      <c r="G14" s="7" t="s">
        <v>86</v>
      </c>
      <c r="H14" s="7" t="s">
        <v>86</v>
      </c>
      <c r="I14" s="7" t="s">
        <v>86</v>
      </c>
      <c r="J14" s="7" t="s">
        <v>86</v>
      </c>
      <c r="K14" s="7" t="s">
        <v>86</v>
      </c>
      <c r="L14" s="7" t="s">
        <v>86</v>
      </c>
      <c r="M14" s="7" t="s">
        <v>86</v>
      </c>
      <c r="N14" s="7" t="s">
        <v>86</v>
      </c>
      <c r="O14" s="7" t="s">
        <v>86</v>
      </c>
      <c r="P14" s="7" t="s">
        <v>86</v>
      </c>
      <c r="Q14" s="7" t="s">
        <v>86</v>
      </c>
      <c r="R14" s="7" t="s">
        <v>86</v>
      </c>
      <c r="S14" s="7" t="s">
        <v>86</v>
      </c>
      <c r="V14" s="30">
        <v>6</v>
      </c>
      <c r="W14" s="22">
        <v>40348060</v>
      </c>
      <c r="X14" s="31" t="str">
        <f>M34</f>
        <v>11217A0C</v>
      </c>
      <c r="Y14" t="str">
        <f t="shared" si="0"/>
        <v>0x11217A0C,</v>
      </c>
      <c r="Z14" s="32" t="s">
        <v>166</v>
      </c>
    </row>
    <row r="15" spans="1:26">
      <c r="A15" s="2" t="s">
        <v>168</v>
      </c>
      <c r="B15" s="3">
        <v>23</v>
      </c>
      <c r="C15" s="3">
        <v>18</v>
      </c>
      <c r="D15" s="3">
        <v>47</v>
      </c>
      <c r="E15" s="4" t="s">
        <v>217</v>
      </c>
      <c r="F15" s="4" t="s">
        <v>217</v>
      </c>
      <c r="G15" s="4" t="s">
        <v>217</v>
      </c>
      <c r="H15" s="4" t="s">
        <v>217</v>
      </c>
      <c r="I15" s="4" t="s">
        <v>217</v>
      </c>
      <c r="J15" s="4" t="s">
        <v>217</v>
      </c>
      <c r="K15" s="4" t="s">
        <v>217</v>
      </c>
      <c r="L15" s="4" t="s">
        <v>217</v>
      </c>
      <c r="M15" s="4" t="s">
        <v>217</v>
      </c>
      <c r="N15" s="4" t="s">
        <v>217</v>
      </c>
      <c r="O15" s="4" t="s">
        <v>217</v>
      </c>
      <c r="P15" s="4" t="s">
        <v>217</v>
      </c>
      <c r="Q15" s="4" t="s">
        <v>217</v>
      </c>
      <c r="R15" s="4" t="s">
        <v>217</v>
      </c>
      <c r="S15" s="4" t="s">
        <v>217</v>
      </c>
      <c r="V15" s="30"/>
      <c r="W15" s="22">
        <v>40348064</v>
      </c>
      <c r="X15" s="31" t="str">
        <f>M33</f>
        <v>E1EF01BA</v>
      </c>
      <c r="Y15" t="str">
        <f t="shared" si="0"/>
        <v>0xE1EF01BA,</v>
      </c>
      <c r="Z15" s="32"/>
    </row>
    <row r="16" spans="1:26">
      <c r="A16" s="2" t="s">
        <v>170</v>
      </c>
      <c r="B16" s="3">
        <v>17</v>
      </c>
      <c r="C16" s="3">
        <v>12</v>
      </c>
      <c r="D16" s="3">
        <v>42</v>
      </c>
      <c r="E16" s="4" t="s">
        <v>161</v>
      </c>
      <c r="F16" s="4" t="s">
        <v>161</v>
      </c>
      <c r="G16" s="4" t="s">
        <v>161</v>
      </c>
      <c r="H16" s="4" t="s">
        <v>161</v>
      </c>
      <c r="I16" s="4" t="s">
        <v>161</v>
      </c>
      <c r="J16" s="4" t="s">
        <v>161</v>
      </c>
      <c r="K16" s="4" t="s">
        <v>161</v>
      </c>
      <c r="L16" s="4" t="s">
        <v>161</v>
      </c>
      <c r="M16" s="4" t="s">
        <v>161</v>
      </c>
      <c r="N16" s="4" t="s">
        <v>161</v>
      </c>
      <c r="O16" s="4" t="s">
        <v>161</v>
      </c>
      <c r="P16" s="4" t="s">
        <v>161</v>
      </c>
      <c r="Q16" s="4" t="s">
        <v>161</v>
      </c>
      <c r="R16" s="4" t="s">
        <v>161</v>
      </c>
      <c r="S16" s="4" t="s">
        <v>161</v>
      </c>
      <c r="V16" s="30">
        <v>7</v>
      </c>
      <c r="W16" s="22">
        <v>40348060</v>
      </c>
      <c r="X16" s="31" t="str">
        <f>L34</f>
        <v>11217A0C</v>
      </c>
      <c r="Y16" t="str">
        <f t="shared" si="0"/>
        <v>0x11217A0C,</v>
      </c>
      <c r="Z16" s="32" t="s">
        <v>169</v>
      </c>
    </row>
    <row r="17" spans="1:26">
      <c r="A17" s="2" t="s">
        <v>171</v>
      </c>
      <c r="B17" s="3">
        <v>11</v>
      </c>
      <c r="C17" s="3">
        <v>7</v>
      </c>
      <c r="D17" s="3">
        <v>20</v>
      </c>
      <c r="E17" s="4" t="s">
        <v>158</v>
      </c>
      <c r="F17" s="4">
        <v>20</v>
      </c>
      <c r="G17" s="4" t="s">
        <v>158</v>
      </c>
      <c r="H17" s="4">
        <v>20</v>
      </c>
      <c r="I17" s="4" t="s">
        <v>158</v>
      </c>
      <c r="J17" s="4">
        <v>20</v>
      </c>
      <c r="K17" s="4" t="s">
        <v>158</v>
      </c>
      <c r="L17" s="4">
        <v>20</v>
      </c>
      <c r="M17" s="4" t="s">
        <v>158</v>
      </c>
      <c r="N17" s="4">
        <v>20</v>
      </c>
      <c r="O17" s="4" t="s">
        <v>158</v>
      </c>
      <c r="P17" s="4">
        <v>20</v>
      </c>
      <c r="Q17" s="4" t="s">
        <v>158</v>
      </c>
      <c r="R17" s="4">
        <v>20</v>
      </c>
      <c r="S17" s="4" t="s">
        <v>158</v>
      </c>
      <c r="V17" s="30"/>
      <c r="W17" s="22">
        <v>40348064</v>
      </c>
      <c r="X17" s="31" t="str">
        <f>L33</f>
        <v>E1EF0258</v>
      </c>
      <c r="Y17" t="str">
        <f t="shared" si="0"/>
        <v>0xE1EF0258,</v>
      </c>
      <c r="Z17" s="32"/>
    </row>
    <row r="18" spans="1:26">
      <c r="A18" s="2" t="s">
        <v>173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11217A0C</v>
      </c>
      <c r="Y18" t="str">
        <f t="shared" si="0"/>
        <v>0x11217A0C,</v>
      </c>
      <c r="Z18" s="32" t="s">
        <v>172</v>
      </c>
    </row>
    <row r="19" spans="1:26">
      <c r="A19" s="2" t="s">
        <v>174</v>
      </c>
      <c r="B19" s="3">
        <v>2</v>
      </c>
      <c r="C19" s="3">
        <v>0</v>
      </c>
      <c r="D19" s="3">
        <v>4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E1EF4210</v>
      </c>
      <c r="Y19" t="str">
        <f t="shared" si="0"/>
        <v>0xE1EF4210,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11217A0C</v>
      </c>
      <c r="Y20" t="str">
        <f t="shared" si="0"/>
        <v>0x11217A0C,</v>
      </c>
      <c r="Z20" s="32" t="s">
        <v>175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E1EF8270</v>
      </c>
      <c r="Y21" t="str">
        <f t="shared" si="0"/>
        <v>0xE1EF8270,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176</v>
      </c>
      <c r="W22" s="22">
        <v>40348060</v>
      </c>
      <c r="X22" s="31" t="str">
        <f>I34</f>
        <v>11217A0C</v>
      </c>
      <c r="Y22" t="str">
        <f t="shared" si="0"/>
        <v>0x11217A0C,</v>
      </c>
      <c r="Z22" s="32" t="s">
        <v>177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E1EF82B0</v>
      </c>
      <c r="Y23" t="str">
        <f t="shared" si="0"/>
        <v>0xE1EF82B0,</v>
      </c>
      <c r="Z23" s="32"/>
    </row>
    <row r="24" spans="1:26">
      <c r="A24" s="12" t="s">
        <v>178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179</v>
      </c>
      <c r="W24" s="22">
        <v>40348060</v>
      </c>
      <c r="X24" s="31" t="str">
        <f>H34</f>
        <v>11217A0C</v>
      </c>
      <c r="Y24" t="str">
        <f t="shared" si="0"/>
        <v>0x11217A0C,</v>
      </c>
      <c r="Z24" s="32" t="s">
        <v>180</v>
      </c>
    </row>
    <row r="25" spans="1:26">
      <c r="A25" s="12" t="s">
        <v>181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E1EF8470</v>
      </c>
      <c r="Y25" t="str">
        <f t="shared" si="0"/>
        <v>0xE1EF8470,</v>
      </c>
      <c r="Z25" s="32"/>
    </row>
    <row r="26" spans="1:26">
      <c r="A26" s="12" t="s">
        <v>182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183</v>
      </c>
      <c r="W26" s="22">
        <v>40348060</v>
      </c>
      <c r="X26" s="31" t="str">
        <f>G34</f>
        <v>11217A0C</v>
      </c>
      <c r="Y26" t="str">
        <f t="shared" si="0"/>
        <v>0x11217A0C,</v>
      </c>
      <c r="Z26" s="32" t="s">
        <v>184</v>
      </c>
    </row>
    <row r="27" spans="1:26">
      <c r="A27" s="15" t="s">
        <v>185</v>
      </c>
      <c r="V27" s="30"/>
      <c r="W27" s="22">
        <v>40348064</v>
      </c>
      <c r="X27" s="31" t="str">
        <f>G33</f>
        <v>E1EFC3D6</v>
      </c>
      <c r="Y27" t="str">
        <f t="shared" si="0"/>
        <v>0xE1EFC3D6,</v>
      </c>
      <c r="Z27" s="32"/>
    </row>
    <row r="28" spans="22:26">
      <c r="V28" s="30" t="s">
        <v>186</v>
      </c>
      <c r="W28" s="22">
        <v>40348060</v>
      </c>
      <c r="X28" s="31" t="str">
        <f>F34</f>
        <v>11217A0C</v>
      </c>
      <c r="Y28" t="str">
        <f t="shared" si="0"/>
        <v>0x11217A0C,</v>
      </c>
      <c r="Z28" s="32" t="s">
        <v>187</v>
      </c>
    </row>
    <row r="29" spans="22:26">
      <c r="V29" s="30"/>
      <c r="W29" s="22">
        <v>40348064</v>
      </c>
      <c r="X29" s="31" t="str">
        <f>F33</f>
        <v>E1EFC776</v>
      </c>
      <c r="Y29" t="str">
        <f t="shared" si="0"/>
        <v>0xE1EFC776,</v>
      </c>
      <c r="Z29" s="32"/>
    </row>
    <row r="30" spans="22:26">
      <c r="V30" s="30" t="s">
        <v>188</v>
      </c>
      <c r="W30" s="22">
        <v>40348060</v>
      </c>
      <c r="X30" s="31" t="str">
        <f>E34</f>
        <v>11217A0C</v>
      </c>
      <c r="Y30" t="str">
        <f t="shared" si="0"/>
        <v>0x11217A0C,</v>
      </c>
      <c r="Z30" s="32" t="s">
        <v>189</v>
      </c>
    </row>
    <row r="31" spans="1:26">
      <c r="A31" t="s">
        <v>190</v>
      </c>
      <c r="V31" s="30"/>
      <c r="W31" s="22">
        <v>40348064</v>
      </c>
      <c r="X31" s="31" t="str">
        <f>E33</f>
        <v>C1EBC5FF</v>
      </c>
      <c r="Y31" t="str">
        <f t="shared" si="0"/>
        <v>0xC1EBC5FF,</v>
      </c>
      <c r="Z31" s="32"/>
    </row>
    <row r="32" spans="1:26">
      <c r="A32" s="16" t="s">
        <v>191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192</v>
      </c>
      <c r="W32" s="22">
        <v>40348060</v>
      </c>
      <c r="X32" s="31" t="str">
        <f>D34</f>
        <v>19BEAA0C</v>
      </c>
      <c r="Y32" t="str">
        <f t="shared" si="0"/>
        <v>0x19BEAA0C,</v>
      </c>
      <c r="Z32" s="32" t="s">
        <v>193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C1E1C7FF</v>
      </c>
      <c r="E33" s="18" t="str">
        <f>DEC2HEX(POWER(2,$C12-32)*E12+POWER(2,$C11-32)*E11+POWER(2,$C10-32)*E10+POWER(2,$C9-32)*E9+POWER(2,$C8-32)*E8+POWER(2,$C7-32)*E7+POWER(2,$C6-32)*E6+POWER(2,$C5-32)*E5+POWER(2,$C4-32)*E4+POWER(2,$C3-32)*E3+POWER(2,$C2-32)*E2)</f>
        <v>C1EBC5FF</v>
      </c>
      <c r="F33" s="18" t="str">
        <f>DEC2HEX(POWER(2,$C12-32)*F12+POWER(2,$C11-32)*F11+POWER(2,$C10-32)*F10+POWER(2,$C9-32)*F9+POWER(2,$C8-32)*F8+POWER(2,$C7-32)*F7+POWER(2,$C6-32)*F6+POWER(2,$C5-32)*F5+POWER(2,$C4-32)*F4+POWER(2,$C3-32)*F3+POWER(2,$C2-32)*F2)</f>
        <v>E1EFC776</v>
      </c>
      <c r="G33" s="18" t="str">
        <f>DEC2HEX(POWER(2,$C12-32)*G12+POWER(2,$C11-32)*G11+POWER(2,$C10-32)*G10+POWER(2,$C9-32)*G9+POWER(2,$C8-32)*G8+POWER(2,$C7-32)*G7+POWER(2,$C6-32)*G6+POWER(2,$C5-32)*G5+POWER(2,$C4-32)*G4+POWER(2,$C3-32)*G3+POWER(2,$C2-32)*G2)</f>
        <v>E1EFC3D6</v>
      </c>
      <c r="H33" s="18" t="str">
        <f>DEC2HEX(POWER(2,$C12-32)*H12+POWER(2,$C11-32)*H11+POWER(2,$C10-32)*H10+POWER(2,$C9-32)*H9+POWER(2,$C8-32)*H8+POWER(2,$C7-32)*H7+POWER(2,$C6-32)*H6+POWER(2,$C5-32)*H5+POWER(2,$C4-32)*H4+POWER(2,$C3-32)*H3+POWER(2,$C2-32)*H2)</f>
        <v>E1EF8470</v>
      </c>
      <c r="I33" s="18" t="str">
        <f>DEC2HEX(POWER(2,$C12-32)*I12+POWER(2,$C11-32)*I11+POWER(2,$C10-32)*I10+POWER(2,$C9-32)*I9+POWER(2,$C8-32)*I8+POWER(2,$C7-32)*I7+POWER(2,$C6-32)*I6+POWER(2,$C5-32)*I5+POWER(2,$C4-32)*I4+POWER(2,$C3-32)*I3+POWER(2,$C2-32)*I2)</f>
        <v>E1EF82B0</v>
      </c>
      <c r="J33" s="18" t="str">
        <f>DEC2HEX(POWER(2,$C12-32)*J12+POWER(2,$C11-32)*J11+POWER(2,$C10-32)*J10+POWER(2,$C9-32)*J9+POWER(2,$C8-32)*J8+POWER(2,$C7-32)*J7+POWER(2,$C6-32)*J6+POWER(2,$C5-32)*J5+POWER(2,$C4-32)*J4+POWER(2,$C3-32)*J3+POWER(2,$C2-32)*J2)</f>
        <v>E1EF8270</v>
      </c>
      <c r="K33" s="18" t="str">
        <f>DEC2HEX(POWER(2,$C12-32)*K12+POWER(2,$C11-32)*K11+POWER(2,$C10-32)*K10+POWER(2,$C9-32)*K9+POWER(2,$C8-32)*K8+POWER(2,$C7-32)*K7+POWER(2,$C6-32)*K6+POWER(2,$C5-32)*K5+POWER(2,$C4-32)*K4+POWER(2,$C3-32)*K3+POWER(2,$C2-32)*K2)</f>
        <v>E1EF4210</v>
      </c>
      <c r="L33" s="18" t="str">
        <f>DEC2HEX(POWER(2,$C12-32)*L12+POWER(2,$C11-32)*L11+POWER(2,$C10-32)*L10+POWER(2,$C9-32)*L9+POWER(2,$C8-32)*L8+POWER(2,$C7-32)*L7+POWER(2,$C6-32)*L6+POWER(2,$C5-32)*L5+POWER(2,$C4-32)*L4+POWER(2,$C3-32)*L3+POWER(2,$C2-32)*L2)</f>
        <v>E1EF0258</v>
      </c>
      <c r="M33" s="18" t="str">
        <f>DEC2HEX(POWER(2,$C12-32)*M12+POWER(2,$C11-32)*M11+POWER(2,$C10-32)*M10+POWER(2,$C9-32)*M9+POWER(2,$C8-32)*M8+POWER(2,$C7-32)*M7+POWER(2,$C6-32)*M6+POWER(2,$C5-32)*M5+POWER(2,$C4-32)*M4+POWER(2,$C3-32)*M3+POWER(2,$C2-32)*M2)</f>
        <v>E1EF01BA</v>
      </c>
      <c r="N33" s="18" t="str">
        <f>DEC2HEX(POWER(2,$C12-32)*N12+POWER(2,$C11-32)*N11+POWER(2,$C10-32)*N10+POWER(2,$C9-32)*N9+POWER(2,$C8-32)*N8+POWER(2,$C7-32)*N7+POWER(2,$C6-32)*N6+POWER(2,$C5-32)*N5+POWER(2,$C4-32)*N4+POWER(2,$C3-32)*N3+POWER(2,$C2-32)*N2)</f>
        <v>E1EEC152</v>
      </c>
      <c r="O33" s="18" t="str">
        <f>DEC2HEX(POWER(2,$C12-32)*O12+POWER(2,$C11-32)*O11+POWER(2,$C10-32)*O10+POWER(2,$C9-32)*O9+POWER(2,$C8-32)*O8+POWER(2,$C7-32)*O7+POWER(2,$C6-32)*O6+POWER(2,$C5-32)*O5+POWER(2,$C4-32)*O4+POWER(2,$C3-32)*O3+POWER(2,$C2-32)*O2)</f>
        <v>E1EE8196</v>
      </c>
      <c r="P33" s="18" t="str">
        <f>DEC2HEX(POWER(2,$C12-32)*P12+POWER(2,$C11-32)*P11+POWER(2,$C10-32)*P10+POWER(2,$C9-32)*P9+POWER(2,$C8-32)*P8+POWER(2,$C7-32)*P7+POWER(2,$C6-32)*P6+POWER(2,$C5-32)*P5+POWER(2,$C4-32)*P4+POWER(2,$C3-32)*P3+POWER(2,$C2-32)*P2)</f>
        <v>E1EE812F</v>
      </c>
      <c r="Q33" s="18" t="str">
        <f>DEC2HEX(POWER(2,$C12-32)*Q12+POWER(2,$C11-32)*Q11+POWER(2,$C10-32)*Q10+POWER(2,$C9-32)*Q9+POWER(2,$C8-32)*Q8+POWER(2,$C7-32)*Q7+POWER(2,$C6-32)*Q6+POWER(2,$C5-32)*Q5+POWER(2,$C4-32)*Q4+POWER(2,$C3-32)*Q3+POWER(2,$C2-32)*Q2)</f>
        <v>E1EE4216</v>
      </c>
      <c r="R33" s="18" t="str">
        <f>DEC2HEX(POWER(2,$C12-32)*R12+POWER(2,$C11-32)*R11+POWER(2,$C10-32)*R10+POWER(2,$C9-32)*R9+POWER(2,$C8-32)*R8+POWER(2,$C7-32)*R7+POWER(2,$C6-32)*R6+POWER(2,$C5-32)*R5+POWER(2,$C4-32)*R4+POWER(2,$C3-32)*R3+POWER(2,$C2-32)*R2)</f>
        <v>E1EE4196</v>
      </c>
      <c r="S33" s="18" t="str">
        <f>DEC2HEX(POWER(2,$C12-32)*S12+POWER(2,$C11-32)*S11+POWER(2,$C10-32)*S10+POWER(2,$C9-32)*S9+POWER(2,$C8-32)*S8+POWER(2,$C7-32)*S7+POWER(2,$C6-32)*S6+POWER(2,$C5-32)*S5+POWER(2,$C4-32)*S4+POWER(2,$C3-32)*S3+POWER(2,$C2-32)*S2)</f>
        <v>E1EE4136</v>
      </c>
      <c r="V33" s="29"/>
      <c r="W33" s="22">
        <v>40348064</v>
      </c>
      <c r="X33" s="31" t="str">
        <f>D33</f>
        <v>C1E1C7FF</v>
      </c>
      <c r="Y33" t="str">
        <f t="shared" si="0"/>
        <v>0xC1E1C7FF,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19BEAA0C</v>
      </c>
      <c r="E34" s="18" t="str">
        <f>DEC2HEX(POWER(2,$C20)*E20+POWER(2,$C19)*E19+POWER(2,$C18)*E18+POWER(2,$C17)*E17+POWER(2,$C16)*E16+POWER(2,$C15)*E15+POWER(2,$C14)*E14+POWER(2,$C13)*E13)</f>
        <v>11217A0C</v>
      </c>
      <c r="F34" s="18" t="str">
        <f>DEC2HEX(POWER(2,$C20)*F20+POWER(2,$C19)*F19+POWER(2,$C18)*F18+POWER(2,$C17)*F17+POWER(2,$C16)*F16+POWER(2,$C15)*F15+POWER(2,$C14)*F14+POWER(2,$C13)*F13)</f>
        <v>11217A0C</v>
      </c>
      <c r="G34" s="18" t="str">
        <f>DEC2HEX(POWER(2,$C20)*G20+POWER(2,$C19)*G19+POWER(2,$C18)*G18+POWER(2,$C17)*G17+POWER(2,$C16)*G16+POWER(2,$C15)*G15+POWER(2,$C14)*G14+POWER(2,$C13)*G13)</f>
        <v>11217A0C</v>
      </c>
      <c r="H34" s="18" t="str">
        <f>DEC2HEX(POWER(2,$C20)*H20+POWER(2,$C19)*H19+POWER(2,$C18)*H18+POWER(2,$C17)*H17+POWER(2,$C16)*H16+POWER(2,$C15)*H15+POWER(2,$C14)*H14+POWER(2,$C13)*H13)</f>
        <v>11217A0C</v>
      </c>
      <c r="I34" s="18" t="str">
        <f>DEC2HEX(POWER(2,$C20)*I20+POWER(2,$C19)*I19+POWER(2,$C18)*I18+POWER(2,$C17)*I17+POWER(2,$C16)*I16+POWER(2,$C15)*I15+POWER(2,$C14)*I14+POWER(2,$C13)*I13)</f>
        <v>11217A0C</v>
      </c>
      <c r="J34" s="18" t="str">
        <f>DEC2HEX(POWER(2,$C20)*J20+POWER(2,$C19)*J19+POWER(2,$C18)*J18+POWER(2,$C17)*J17+POWER(2,$C16)*J16+POWER(2,$C15)*J15+POWER(2,$C14)*J14+POWER(2,$C13)*J13)</f>
        <v>11217A0C</v>
      </c>
      <c r="K34" s="18" t="str">
        <f>DEC2HEX(POWER(2,$C20)*K20+POWER(2,$C19)*K19+POWER(2,$C18)*K18+POWER(2,$C17)*K17+POWER(2,$C16)*K16+POWER(2,$C15)*K15+POWER(2,$C14)*K14+POWER(2,$C13)*K13)</f>
        <v>11217A0C</v>
      </c>
      <c r="L34" s="18" t="str">
        <f>DEC2HEX(POWER(2,$C20)*L20+POWER(2,$C19)*L19+POWER(2,$C18)*L18+POWER(2,$C17)*L17+POWER(2,$C16)*L16+POWER(2,$C15)*L15+POWER(2,$C14)*L14+POWER(2,$C13)*L13)</f>
        <v>11217A0C</v>
      </c>
      <c r="M34" s="18" t="str">
        <f>DEC2HEX(POWER(2,$C20)*M20+POWER(2,$C19)*M19+POWER(2,$C18)*M18+POWER(2,$C17)*M17+POWER(2,$C16)*M16+POWER(2,$C15)*M15+POWER(2,$C14)*M14+POWER(2,$C13)*M13)</f>
        <v>11217A0C</v>
      </c>
      <c r="N34" s="18" t="str">
        <f>DEC2HEX(POWER(2,$C20)*N20+POWER(2,$C19)*N19+POWER(2,$C18)*N18+POWER(2,$C17)*N17+POWER(2,$C16)*N16+POWER(2,$C15)*N15+POWER(2,$C14)*N14+POWER(2,$C13)*N13)</f>
        <v>11217A0C</v>
      </c>
      <c r="O34" s="18" t="str">
        <f>DEC2HEX(POWER(2,$C20)*O20+POWER(2,$C19)*O19+POWER(2,$C18)*O18+POWER(2,$C17)*O17+POWER(2,$C16)*O16+POWER(2,$C15)*O15+POWER(2,$C14)*O14+POWER(2,$C13)*O13)</f>
        <v>11217A0C</v>
      </c>
      <c r="P34" s="18" t="str">
        <f>DEC2HEX(POWER(2,$C20)*P20+POWER(2,$C19)*P19+POWER(2,$C18)*P18+POWER(2,$C17)*P17+POWER(2,$C16)*P16+POWER(2,$C15)*P15+POWER(2,$C14)*P14+POWER(2,$C13)*P13)</f>
        <v>11217A0C</v>
      </c>
      <c r="Q34" s="18" t="str">
        <f>DEC2HEX(POWER(2,$C20)*Q20+POWER(2,$C19)*Q19+POWER(2,$C18)*Q18+POWER(2,$C17)*Q17+POWER(2,$C16)*Q16+POWER(2,$C15)*Q15+POWER(2,$C14)*Q14+POWER(2,$C13)*Q13)</f>
        <v>11217A0C</v>
      </c>
      <c r="R34" s="18" t="str">
        <f>DEC2HEX(POWER(2,$C20)*R20+POWER(2,$C19)*R19+POWER(2,$C18)*R18+POWER(2,$C17)*R17+POWER(2,$C16)*R16+POWER(2,$C15)*R15+POWER(2,$C14)*R14+POWER(2,$C13)*R13)</f>
        <v>11217A0C</v>
      </c>
      <c r="S34" s="18" t="str">
        <f>DEC2HEX(POWER(2,$C20)*S20+POWER(2,$C19)*S19+POWER(2,$C18)*S18+POWER(2,$C17)*S17+POWER(2,$C16)*S16+POWER(2,$C15)*S15+POWER(2,$C14)*S14+POWER(2,$C13)*S13)</f>
        <v>11217A0C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F10" sqref="F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208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13217A0C</v>
      </c>
      <c r="Y2" t="str">
        <f t="shared" ref="Y2:Y33" si="0">"0x"&amp;RIGHT("00000000"&amp;X2,8)&amp;","</f>
        <v>0x13217A0C,</v>
      </c>
      <c r="Z2" s="32" t="s">
        <v>142</v>
      </c>
    </row>
    <row r="3" spans="1:26">
      <c r="A3" s="2" t="s">
        <v>209</v>
      </c>
      <c r="B3" s="3">
        <v>61</v>
      </c>
      <c r="C3" s="3">
        <v>57</v>
      </c>
      <c r="D3" s="3">
        <v>0</v>
      </c>
      <c r="E3" s="4">
        <v>0</v>
      </c>
      <c r="F3" s="4">
        <v>16</v>
      </c>
      <c r="G3" s="4">
        <v>16</v>
      </c>
      <c r="H3" s="4">
        <v>16</v>
      </c>
      <c r="I3" s="4" t="s">
        <v>194</v>
      </c>
      <c r="J3" s="4" t="s">
        <v>194</v>
      </c>
      <c r="K3" s="4" t="s">
        <v>194</v>
      </c>
      <c r="L3" s="4" t="s">
        <v>194</v>
      </c>
      <c r="M3" s="4" t="s">
        <v>194</v>
      </c>
      <c r="N3" s="4" t="s">
        <v>194</v>
      </c>
      <c r="O3" s="4" t="s">
        <v>194</v>
      </c>
      <c r="P3" s="4" t="s">
        <v>194</v>
      </c>
      <c r="Q3" s="4" t="s">
        <v>194</v>
      </c>
      <c r="R3" s="4" t="s">
        <v>194</v>
      </c>
      <c r="S3" s="4" t="s">
        <v>194</v>
      </c>
      <c r="V3" s="30"/>
      <c r="W3" s="22">
        <v>40348064</v>
      </c>
      <c r="X3" s="31" t="str">
        <f>S33</f>
        <v>E1EE4136</v>
      </c>
      <c r="Y3" t="str">
        <f t="shared" si="0"/>
        <v>0xE1EE4136,</v>
      </c>
      <c r="Z3" s="32"/>
    </row>
    <row r="4" spans="1:26">
      <c r="A4" s="2" t="s">
        <v>210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13217A0C</v>
      </c>
      <c r="Y4" t="str">
        <f t="shared" si="0"/>
        <v>0x13217A0C,</v>
      </c>
      <c r="Z4" s="32" t="s">
        <v>146</v>
      </c>
    </row>
    <row r="5" spans="1:26">
      <c r="A5" s="2" t="s">
        <v>211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E1EE4196</v>
      </c>
      <c r="Y5" t="str">
        <f t="shared" si="0"/>
        <v>0xE1EE4196,</v>
      </c>
      <c r="Z5" s="32"/>
    </row>
    <row r="6" spans="1:26">
      <c r="A6" s="2" t="s">
        <v>212</v>
      </c>
      <c r="B6" s="3">
        <v>52</v>
      </c>
      <c r="C6" s="3">
        <v>49</v>
      </c>
      <c r="D6" s="3">
        <v>0</v>
      </c>
      <c r="E6" s="4">
        <v>5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13217A0C</v>
      </c>
      <c r="Y6" t="str">
        <f t="shared" si="0"/>
        <v>0x13217A0C,</v>
      </c>
      <c r="Z6" s="32" t="s">
        <v>149</v>
      </c>
    </row>
    <row r="7" spans="1:26">
      <c r="A7" s="2" t="s">
        <v>213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E1EE4216</v>
      </c>
      <c r="Y7" t="str">
        <f t="shared" si="0"/>
        <v>0xE1EE4216,</v>
      </c>
      <c r="Z7" s="3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13217A0C</v>
      </c>
      <c r="Y8" t="str">
        <f t="shared" si="0"/>
        <v>0x13217A0C,</v>
      </c>
      <c r="Z8" s="3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E1EE812F</v>
      </c>
      <c r="Y9" t="str">
        <f t="shared" si="0"/>
        <v>0xE1EE812F,</v>
      </c>
      <c r="Z9" s="32"/>
    </row>
    <row r="10" spans="1:26">
      <c r="A10" s="2" t="s">
        <v>156</v>
      </c>
      <c r="B10" s="3">
        <v>42</v>
      </c>
      <c r="C10" s="3">
        <v>37</v>
      </c>
      <c r="D10" s="3">
        <v>63</v>
      </c>
      <c r="E10" s="5">
        <v>63</v>
      </c>
      <c r="F10" s="6" t="s">
        <v>225</v>
      </c>
      <c r="G10" s="6" t="s">
        <v>206</v>
      </c>
      <c r="H10" s="5">
        <v>35</v>
      </c>
      <c r="I10" s="6" t="s">
        <v>216</v>
      </c>
      <c r="J10" s="5">
        <v>19</v>
      </c>
      <c r="K10" s="6" t="s">
        <v>76</v>
      </c>
      <c r="L10" s="5">
        <v>18</v>
      </c>
      <c r="M10" s="5">
        <v>13</v>
      </c>
      <c r="N10" s="5">
        <v>10</v>
      </c>
      <c r="O10" s="5">
        <v>12</v>
      </c>
      <c r="P10" s="5">
        <v>9</v>
      </c>
      <c r="Q10" s="5">
        <v>16</v>
      </c>
      <c r="R10" s="5">
        <v>12</v>
      </c>
      <c r="S10" s="5">
        <v>9</v>
      </c>
      <c r="V10" s="30">
        <v>4</v>
      </c>
      <c r="W10" s="22">
        <v>40348060</v>
      </c>
      <c r="X10" s="31" t="str">
        <f>O34</f>
        <v>13217A0C</v>
      </c>
      <c r="Y10" t="str">
        <f t="shared" si="0"/>
        <v>0x13217A0C,</v>
      </c>
      <c r="Z10" s="32" t="s">
        <v>155</v>
      </c>
    </row>
    <row r="11" spans="1:26">
      <c r="A11" s="2" t="s">
        <v>160</v>
      </c>
      <c r="B11" s="3">
        <v>36</v>
      </c>
      <c r="C11" s="3">
        <v>32</v>
      </c>
      <c r="D11" s="3">
        <v>31</v>
      </c>
      <c r="E11" s="5">
        <v>31</v>
      </c>
      <c r="F11" s="5">
        <v>22</v>
      </c>
      <c r="G11" s="5">
        <v>22</v>
      </c>
      <c r="H11" s="5">
        <v>16</v>
      </c>
      <c r="I11" s="5">
        <v>16</v>
      </c>
      <c r="J11" s="5">
        <v>16</v>
      </c>
      <c r="K11" s="5">
        <v>16</v>
      </c>
      <c r="L11" s="5">
        <v>24</v>
      </c>
      <c r="M11" s="6" t="s">
        <v>205</v>
      </c>
      <c r="N11" s="5">
        <v>18</v>
      </c>
      <c r="O11" s="6" t="s">
        <v>205</v>
      </c>
      <c r="P11" s="5">
        <v>15</v>
      </c>
      <c r="Q11" s="5">
        <v>22</v>
      </c>
      <c r="R11" s="5">
        <v>22</v>
      </c>
      <c r="S11" s="5">
        <v>22</v>
      </c>
      <c r="V11" s="30"/>
      <c r="W11" s="22">
        <v>40348064</v>
      </c>
      <c r="X11" s="31" t="str">
        <f>O33</f>
        <v>E1EE8196</v>
      </c>
      <c r="Y11" t="str">
        <f t="shared" si="0"/>
        <v>0xE1EE8196,</v>
      </c>
      <c r="Z11" s="32"/>
    </row>
    <row r="12" spans="1:26">
      <c r="A12" s="2" t="s">
        <v>164</v>
      </c>
      <c r="B12" s="3">
        <v>31</v>
      </c>
      <c r="C12" s="3">
        <v>29</v>
      </c>
      <c r="D12" s="3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13217A0C</v>
      </c>
      <c r="Y12" t="str">
        <f t="shared" si="0"/>
        <v>0x13217A0C,</v>
      </c>
      <c r="Z12" s="32" t="s">
        <v>163</v>
      </c>
    </row>
    <row r="13" spans="1:26">
      <c r="A13" s="2" t="s">
        <v>165</v>
      </c>
      <c r="B13" s="3">
        <v>28</v>
      </c>
      <c r="C13" s="3">
        <v>27</v>
      </c>
      <c r="D13" s="3">
        <v>3</v>
      </c>
      <c r="E13" s="7">
        <v>2</v>
      </c>
      <c r="F13" s="7">
        <v>2</v>
      </c>
      <c r="G13" s="7">
        <v>2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E1EEC152</v>
      </c>
      <c r="Y13" t="str">
        <f t="shared" si="0"/>
        <v>0xE1EEC152,</v>
      </c>
      <c r="Z13" s="32"/>
    </row>
    <row r="14" spans="1:26">
      <c r="A14" s="2" t="s">
        <v>167</v>
      </c>
      <c r="B14" s="3">
        <v>26</v>
      </c>
      <c r="C14" s="3">
        <v>24</v>
      </c>
      <c r="D14" s="3">
        <v>3</v>
      </c>
      <c r="E14" s="7" t="s">
        <v>80</v>
      </c>
      <c r="F14" s="7" t="s">
        <v>80</v>
      </c>
      <c r="G14" s="7" t="s">
        <v>80</v>
      </c>
      <c r="H14" s="7" t="s">
        <v>80</v>
      </c>
      <c r="I14" s="7" t="s">
        <v>80</v>
      </c>
      <c r="J14" s="7" t="s">
        <v>80</v>
      </c>
      <c r="K14" s="7" t="s">
        <v>80</v>
      </c>
      <c r="L14" s="7" t="s">
        <v>80</v>
      </c>
      <c r="M14" s="7" t="s">
        <v>80</v>
      </c>
      <c r="N14" s="7" t="s">
        <v>80</v>
      </c>
      <c r="O14" s="7" t="s">
        <v>80</v>
      </c>
      <c r="P14" s="7" t="s">
        <v>80</v>
      </c>
      <c r="Q14" s="7" t="s">
        <v>80</v>
      </c>
      <c r="R14" s="7" t="s">
        <v>80</v>
      </c>
      <c r="S14" s="7" t="s">
        <v>80</v>
      </c>
      <c r="V14" s="30">
        <v>6</v>
      </c>
      <c r="W14" s="22">
        <v>40348060</v>
      </c>
      <c r="X14" s="31" t="str">
        <f>M34</f>
        <v>13217A0C</v>
      </c>
      <c r="Y14" t="str">
        <f t="shared" si="0"/>
        <v>0x13217A0C,</v>
      </c>
      <c r="Z14" s="32" t="s">
        <v>166</v>
      </c>
    </row>
    <row r="15" spans="1:26">
      <c r="A15" s="2" t="s">
        <v>168</v>
      </c>
      <c r="B15" s="3">
        <v>23</v>
      </c>
      <c r="C15" s="3">
        <v>18</v>
      </c>
      <c r="D15" s="3">
        <v>47</v>
      </c>
      <c r="E15" s="4" t="s">
        <v>217</v>
      </c>
      <c r="F15" s="4" t="s">
        <v>217</v>
      </c>
      <c r="G15" s="4" t="s">
        <v>217</v>
      </c>
      <c r="H15" s="4" t="s">
        <v>217</v>
      </c>
      <c r="I15" s="4" t="s">
        <v>217</v>
      </c>
      <c r="J15" s="4" t="s">
        <v>217</v>
      </c>
      <c r="K15" s="4" t="s">
        <v>217</v>
      </c>
      <c r="L15" s="4" t="s">
        <v>217</v>
      </c>
      <c r="M15" s="4" t="s">
        <v>217</v>
      </c>
      <c r="N15" s="4" t="s">
        <v>217</v>
      </c>
      <c r="O15" s="4" t="s">
        <v>217</v>
      </c>
      <c r="P15" s="4" t="s">
        <v>217</v>
      </c>
      <c r="Q15" s="4" t="s">
        <v>217</v>
      </c>
      <c r="R15" s="4" t="s">
        <v>217</v>
      </c>
      <c r="S15" s="4" t="s">
        <v>217</v>
      </c>
      <c r="V15" s="30"/>
      <c r="W15" s="22">
        <v>40348064</v>
      </c>
      <c r="X15" s="31" t="str">
        <f>M33</f>
        <v>E1EF01B6</v>
      </c>
      <c r="Y15" t="str">
        <f t="shared" si="0"/>
        <v>0xE1EF01B6,</v>
      </c>
      <c r="Z15" s="32"/>
    </row>
    <row r="16" spans="1:26">
      <c r="A16" s="2" t="s">
        <v>170</v>
      </c>
      <c r="B16" s="3">
        <v>17</v>
      </c>
      <c r="C16" s="3">
        <v>12</v>
      </c>
      <c r="D16" s="3">
        <v>42</v>
      </c>
      <c r="E16" s="4" t="s">
        <v>161</v>
      </c>
      <c r="F16" s="4" t="s">
        <v>161</v>
      </c>
      <c r="G16" s="4" t="s">
        <v>161</v>
      </c>
      <c r="H16" s="4" t="s">
        <v>161</v>
      </c>
      <c r="I16" s="4" t="s">
        <v>161</v>
      </c>
      <c r="J16" s="4" t="s">
        <v>161</v>
      </c>
      <c r="K16" s="4" t="s">
        <v>161</v>
      </c>
      <c r="L16" s="4" t="s">
        <v>161</v>
      </c>
      <c r="M16" s="4" t="s">
        <v>161</v>
      </c>
      <c r="N16" s="4" t="s">
        <v>161</v>
      </c>
      <c r="O16" s="4" t="s">
        <v>161</v>
      </c>
      <c r="P16" s="4" t="s">
        <v>161</v>
      </c>
      <c r="Q16" s="4" t="s">
        <v>161</v>
      </c>
      <c r="R16" s="4" t="s">
        <v>161</v>
      </c>
      <c r="S16" s="4" t="s">
        <v>161</v>
      </c>
      <c r="V16" s="30">
        <v>7</v>
      </c>
      <c r="W16" s="22">
        <v>40348060</v>
      </c>
      <c r="X16" s="31" t="str">
        <f>L34</f>
        <v>13217A0C</v>
      </c>
      <c r="Y16" t="str">
        <f t="shared" si="0"/>
        <v>0x13217A0C,</v>
      </c>
      <c r="Z16" s="32" t="s">
        <v>169</v>
      </c>
    </row>
    <row r="17" spans="1:26">
      <c r="A17" s="2" t="s">
        <v>171</v>
      </c>
      <c r="B17" s="3">
        <v>11</v>
      </c>
      <c r="C17" s="3">
        <v>7</v>
      </c>
      <c r="D17" s="3">
        <v>20</v>
      </c>
      <c r="E17" s="4" t="s">
        <v>158</v>
      </c>
      <c r="F17" s="4">
        <v>20</v>
      </c>
      <c r="G17" s="4" t="s">
        <v>158</v>
      </c>
      <c r="H17" s="4">
        <v>20</v>
      </c>
      <c r="I17" s="4" t="s">
        <v>158</v>
      </c>
      <c r="J17" s="4">
        <v>20</v>
      </c>
      <c r="K17" s="4" t="s">
        <v>158</v>
      </c>
      <c r="L17" s="4">
        <v>20</v>
      </c>
      <c r="M17" s="4" t="s">
        <v>158</v>
      </c>
      <c r="N17" s="4">
        <v>20</v>
      </c>
      <c r="O17" s="4" t="s">
        <v>158</v>
      </c>
      <c r="P17" s="4">
        <v>20</v>
      </c>
      <c r="Q17" s="4" t="s">
        <v>158</v>
      </c>
      <c r="R17" s="4">
        <v>20</v>
      </c>
      <c r="S17" s="4" t="s">
        <v>158</v>
      </c>
      <c r="V17" s="30"/>
      <c r="W17" s="22">
        <v>40348064</v>
      </c>
      <c r="X17" s="31" t="str">
        <f>L33</f>
        <v>E1EF0258</v>
      </c>
      <c r="Y17" t="str">
        <f t="shared" si="0"/>
        <v>0xE1EF0258,</v>
      </c>
      <c r="Z17" s="32"/>
    </row>
    <row r="18" spans="1:26">
      <c r="A18" s="2" t="s">
        <v>173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13217A0C</v>
      </c>
      <c r="Y18" t="str">
        <f t="shared" si="0"/>
        <v>0x13217A0C,</v>
      </c>
      <c r="Z18" s="32" t="s">
        <v>172</v>
      </c>
    </row>
    <row r="19" spans="1:26">
      <c r="A19" s="2" t="s">
        <v>174</v>
      </c>
      <c r="B19" s="3">
        <v>2</v>
      </c>
      <c r="C19" s="3">
        <v>0</v>
      </c>
      <c r="D19" s="3">
        <v>4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E1EF41F0</v>
      </c>
      <c r="Y19" t="str">
        <f t="shared" si="0"/>
        <v>0xE1EF41F0,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13217A0C</v>
      </c>
      <c r="Y20" t="str">
        <f t="shared" si="0"/>
        <v>0x13217A0C,</v>
      </c>
      <c r="Z20" s="32" t="s">
        <v>175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E1EF8270</v>
      </c>
      <c r="Y21" t="str">
        <f t="shared" si="0"/>
        <v>0xE1EF8270,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176</v>
      </c>
      <c r="W22" s="22">
        <v>40348060</v>
      </c>
      <c r="X22" s="31" t="str">
        <f>I34</f>
        <v>13217A0C</v>
      </c>
      <c r="Y22" t="str">
        <f t="shared" si="0"/>
        <v>0x13217A0C,</v>
      </c>
      <c r="Z22" s="32" t="s">
        <v>177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E1EF8270</v>
      </c>
      <c r="Y23" t="str">
        <f t="shared" si="0"/>
        <v>0xE1EF8270,</v>
      </c>
      <c r="Z23" s="32"/>
    </row>
    <row r="24" spans="1:26">
      <c r="A24" s="12" t="s">
        <v>178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179</v>
      </c>
      <c r="W24" s="22">
        <v>40348060</v>
      </c>
      <c r="X24" s="31" t="str">
        <f>H34</f>
        <v>13217A0C</v>
      </c>
      <c r="Y24" t="str">
        <f t="shared" si="0"/>
        <v>0x13217A0C,</v>
      </c>
      <c r="Z24" s="32" t="s">
        <v>180</v>
      </c>
    </row>
    <row r="25" spans="1:26">
      <c r="A25" s="12" t="s">
        <v>181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E1EF8470</v>
      </c>
      <c r="Y25" t="str">
        <f t="shared" si="0"/>
        <v>0xE1EF8470,</v>
      </c>
      <c r="Z25" s="32"/>
    </row>
    <row r="26" spans="1:26">
      <c r="A26" s="12" t="s">
        <v>182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183</v>
      </c>
      <c r="W26" s="22">
        <v>40348060</v>
      </c>
      <c r="X26" s="31" t="str">
        <f>G34</f>
        <v>13217A0C</v>
      </c>
      <c r="Y26" t="str">
        <f t="shared" si="0"/>
        <v>0x13217A0C,</v>
      </c>
      <c r="Z26" s="32" t="s">
        <v>184</v>
      </c>
    </row>
    <row r="27" spans="1:26">
      <c r="A27" s="15" t="s">
        <v>185</v>
      </c>
      <c r="V27" s="30"/>
      <c r="W27" s="22">
        <v>40348064</v>
      </c>
      <c r="X27" s="31" t="str">
        <f>G33</f>
        <v>E1EFC376</v>
      </c>
      <c r="Y27" t="str">
        <f t="shared" si="0"/>
        <v>0xE1EFC376,</v>
      </c>
      <c r="Z27" s="32"/>
    </row>
    <row r="28" spans="22:26">
      <c r="V28" s="30" t="s">
        <v>186</v>
      </c>
      <c r="W28" s="22">
        <v>40348060</v>
      </c>
      <c r="X28" s="31" t="str">
        <f>F34</f>
        <v>13217A0C</v>
      </c>
      <c r="Y28" t="str">
        <f t="shared" si="0"/>
        <v>0x13217A0C,</v>
      </c>
      <c r="Z28" s="32" t="s">
        <v>187</v>
      </c>
    </row>
    <row r="29" spans="22:26">
      <c r="V29" s="30"/>
      <c r="W29" s="22">
        <v>40348064</v>
      </c>
      <c r="X29" s="31" t="str">
        <f>F33</f>
        <v>E1EFC4F6</v>
      </c>
      <c r="Y29" t="str">
        <f t="shared" si="0"/>
        <v>0xE1EFC4F6,</v>
      </c>
      <c r="Z29" s="32"/>
    </row>
    <row r="30" spans="22:26">
      <c r="V30" s="30" t="s">
        <v>188</v>
      </c>
      <c r="W30" s="22">
        <v>40348060</v>
      </c>
      <c r="X30" s="31" t="str">
        <f>E34</f>
        <v>13217A0C</v>
      </c>
      <c r="Y30" t="str">
        <f t="shared" si="0"/>
        <v>0x13217A0C,</v>
      </c>
      <c r="Z30" s="32" t="s">
        <v>189</v>
      </c>
    </row>
    <row r="31" spans="1:26">
      <c r="A31" t="s">
        <v>190</v>
      </c>
      <c r="V31" s="30"/>
      <c r="W31" s="22">
        <v>40348064</v>
      </c>
      <c r="X31" s="31" t="str">
        <f>E33</f>
        <v>C1EBC7FF</v>
      </c>
      <c r="Y31" t="str">
        <f t="shared" si="0"/>
        <v>0xC1EBC7FF,</v>
      </c>
      <c r="Z31" s="32"/>
    </row>
    <row r="32" spans="1:26">
      <c r="A32" s="16" t="s">
        <v>191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192</v>
      </c>
      <c r="W32" s="22">
        <v>40348060</v>
      </c>
      <c r="X32" s="31" t="str">
        <f>D34</f>
        <v>1BBEAA0C</v>
      </c>
      <c r="Y32" t="str">
        <f t="shared" si="0"/>
        <v>0x1BBEAA0C,</v>
      </c>
      <c r="Z32" s="32" t="s">
        <v>193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C1E1C7FF</v>
      </c>
      <c r="E33" s="18" t="str">
        <f>DEC2HEX(POWER(2,$C12-32)*E12+POWER(2,$C11-32)*E11+POWER(2,$C10-32)*E10+POWER(2,$C9-32)*E9+POWER(2,$C8-32)*E8+POWER(2,$C7-32)*E7+POWER(2,$C6-32)*E6+POWER(2,$C5-32)*E5+POWER(2,$C4-32)*E4+POWER(2,$C3-32)*E3+POWER(2,$C2-32)*E2)</f>
        <v>C1EBC7FF</v>
      </c>
      <c r="F33" s="18" t="str">
        <f>DEC2HEX(POWER(2,$C12-32)*F12+POWER(2,$C11-32)*F11+POWER(2,$C10-32)*F10+POWER(2,$C9-32)*F9+POWER(2,$C8-32)*F8+POWER(2,$C7-32)*F7+POWER(2,$C6-32)*F6+POWER(2,$C5-32)*F5+POWER(2,$C4-32)*F4+POWER(2,$C3-32)*F3+POWER(2,$C2-32)*F2)</f>
        <v>E1EFC4F6</v>
      </c>
      <c r="G33" s="18" t="str">
        <f>DEC2HEX(POWER(2,$C12-32)*G12+POWER(2,$C11-32)*G11+POWER(2,$C10-32)*G10+POWER(2,$C9-32)*G9+POWER(2,$C8-32)*G8+POWER(2,$C7-32)*G7+POWER(2,$C6-32)*G6+POWER(2,$C5-32)*G5+POWER(2,$C4-32)*G4+POWER(2,$C3-32)*G3+POWER(2,$C2-32)*G2)</f>
        <v>E1EFC376</v>
      </c>
      <c r="H33" s="18" t="str">
        <f>DEC2HEX(POWER(2,$C12-32)*H12+POWER(2,$C11-32)*H11+POWER(2,$C10-32)*H10+POWER(2,$C9-32)*H9+POWER(2,$C8-32)*H8+POWER(2,$C7-32)*H7+POWER(2,$C6-32)*H6+POWER(2,$C5-32)*H5+POWER(2,$C4-32)*H4+POWER(2,$C3-32)*H3+POWER(2,$C2-32)*H2)</f>
        <v>E1EF8470</v>
      </c>
      <c r="I33" s="18" t="str">
        <f>DEC2HEX(POWER(2,$C12-32)*I12+POWER(2,$C11-32)*I11+POWER(2,$C10-32)*I10+POWER(2,$C9-32)*I9+POWER(2,$C8-32)*I8+POWER(2,$C7-32)*I7+POWER(2,$C6-32)*I6+POWER(2,$C5-32)*I5+POWER(2,$C4-32)*I4+POWER(2,$C3-32)*I3+POWER(2,$C2-32)*I2)</f>
        <v>E1EF8270</v>
      </c>
      <c r="J33" s="18" t="str">
        <f>DEC2HEX(POWER(2,$C12-32)*J12+POWER(2,$C11-32)*J11+POWER(2,$C10-32)*J10+POWER(2,$C9-32)*J9+POWER(2,$C8-32)*J8+POWER(2,$C7-32)*J7+POWER(2,$C6-32)*J6+POWER(2,$C5-32)*J5+POWER(2,$C4-32)*J4+POWER(2,$C3-32)*J3+POWER(2,$C2-32)*J2)</f>
        <v>E1EF8270</v>
      </c>
      <c r="K33" s="18" t="str">
        <f>DEC2HEX(POWER(2,$C12-32)*K12+POWER(2,$C11-32)*K11+POWER(2,$C10-32)*K10+POWER(2,$C9-32)*K9+POWER(2,$C8-32)*K8+POWER(2,$C7-32)*K7+POWER(2,$C6-32)*K6+POWER(2,$C5-32)*K5+POWER(2,$C4-32)*K4+POWER(2,$C3-32)*K3+POWER(2,$C2-32)*K2)</f>
        <v>E1EF41F0</v>
      </c>
      <c r="L33" s="18" t="str">
        <f>DEC2HEX(POWER(2,$C12-32)*L12+POWER(2,$C11-32)*L11+POWER(2,$C10-32)*L10+POWER(2,$C9-32)*L9+POWER(2,$C8-32)*L8+POWER(2,$C7-32)*L7+POWER(2,$C6-32)*L6+POWER(2,$C5-32)*L5+POWER(2,$C4-32)*L4+POWER(2,$C3-32)*L3+POWER(2,$C2-32)*L2)</f>
        <v>E1EF0258</v>
      </c>
      <c r="M33" s="18" t="str">
        <f>DEC2HEX(POWER(2,$C12-32)*M12+POWER(2,$C11-32)*M11+POWER(2,$C10-32)*M10+POWER(2,$C9-32)*M9+POWER(2,$C8-32)*M8+POWER(2,$C7-32)*M7+POWER(2,$C6-32)*M6+POWER(2,$C5-32)*M5+POWER(2,$C4-32)*M4+POWER(2,$C3-32)*M3+POWER(2,$C2-32)*M2)</f>
        <v>E1EF01B6</v>
      </c>
      <c r="N33" s="18" t="str">
        <f>DEC2HEX(POWER(2,$C12-32)*N12+POWER(2,$C11-32)*N11+POWER(2,$C10-32)*N10+POWER(2,$C9-32)*N9+POWER(2,$C8-32)*N8+POWER(2,$C7-32)*N7+POWER(2,$C6-32)*N6+POWER(2,$C5-32)*N5+POWER(2,$C4-32)*N4+POWER(2,$C3-32)*N3+POWER(2,$C2-32)*N2)</f>
        <v>E1EEC152</v>
      </c>
      <c r="O33" s="18" t="str">
        <f>DEC2HEX(POWER(2,$C12-32)*O12+POWER(2,$C11-32)*O11+POWER(2,$C10-32)*O10+POWER(2,$C9-32)*O9+POWER(2,$C8-32)*O8+POWER(2,$C7-32)*O7+POWER(2,$C6-32)*O6+POWER(2,$C5-32)*O5+POWER(2,$C4-32)*O4+POWER(2,$C3-32)*O3+POWER(2,$C2-32)*O2)</f>
        <v>E1EE8196</v>
      </c>
      <c r="P33" s="18" t="str">
        <f>DEC2HEX(POWER(2,$C12-32)*P12+POWER(2,$C11-32)*P11+POWER(2,$C10-32)*P10+POWER(2,$C9-32)*P9+POWER(2,$C8-32)*P8+POWER(2,$C7-32)*P7+POWER(2,$C6-32)*P6+POWER(2,$C5-32)*P5+POWER(2,$C4-32)*P4+POWER(2,$C3-32)*P3+POWER(2,$C2-32)*P2)</f>
        <v>E1EE812F</v>
      </c>
      <c r="Q33" s="18" t="str">
        <f>DEC2HEX(POWER(2,$C12-32)*Q12+POWER(2,$C11-32)*Q11+POWER(2,$C10-32)*Q10+POWER(2,$C9-32)*Q9+POWER(2,$C8-32)*Q8+POWER(2,$C7-32)*Q7+POWER(2,$C6-32)*Q6+POWER(2,$C5-32)*Q5+POWER(2,$C4-32)*Q4+POWER(2,$C3-32)*Q3+POWER(2,$C2-32)*Q2)</f>
        <v>E1EE4216</v>
      </c>
      <c r="R33" s="18" t="str">
        <f>DEC2HEX(POWER(2,$C12-32)*R12+POWER(2,$C11-32)*R11+POWER(2,$C10-32)*R10+POWER(2,$C9-32)*R9+POWER(2,$C8-32)*R8+POWER(2,$C7-32)*R7+POWER(2,$C6-32)*R6+POWER(2,$C5-32)*R5+POWER(2,$C4-32)*R4+POWER(2,$C3-32)*R3+POWER(2,$C2-32)*R2)</f>
        <v>E1EE4196</v>
      </c>
      <c r="S33" s="18" t="str">
        <f>DEC2HEX(POWER(2,$C12-32)*S12+POWER(2,$C11-32)*S11+POWER(2,$C10-32)*S10+POWER(2,$C9-32)*S9+POWER(2,$C8-32)*S8+POWER(2,$C7-32)*S7+POWER(2,$C6-32)*S6+POWER(2,$C5-32)*S5+POWER(2,$C4-32)*S4+POWER(2,$C3-32)*S3+POWER(2,$C2-32)*S2)</f>
        <v>E1EE4136</v>
      </c>
      <c r="V33" s="29"/>
      <c r="W33" s="22">
        <v>40348064</v>
      </c>
      <c r="X33" s="31" t="str">
        <f>D33</f>
        <v>C1E1C7FF</v>
      </c>
      <c r="Y33" t="str">
        <f t="shared" si="0"/>
        <v>0xC1E1C7FF,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1BBEAA0C</v>
      </c>
      <c r="E34" s="18" t="str">
        <f>DEC2HEX(POWER(2,$C20)*E20+POWER(2,$C19)*E19+POWER(2,$C18)*E18+POWER(2,$C17)*E17+POWER(2,$C16)*E16+POWER(2,$C15)*E15+POWER(2,$C14)*E14+POWER(2,$C13)*E13)</f>
        <v>13217A0C</v>
      </c>
      <c r="F34" s="18" t="str">
        <f>DEC2HEX(POWER(2,$C20)*F20+POWER(2,$C19)*F19+POWER(2,$C18)*F18+POWER(2,$C17)*F17+POWER(2,$C16)*F16+POWER(2,$C15)*F15+POWER(2,$C14)*F14+POWER(2,$C13)*F13)</f>
        <v>13217A0C</v>
      </c>
      <c r="G34" s="18" t="str">
        <f>DEC2HEX(POWER(2,$C20)*G20+POWER(2,$C19)*G19+POWER(2,$C18)*G18+POWER(2,$C17)*G17+POWER(2,$C16)*G16+POWER(2,$C15)*G15+POWER(2,$C14)*G14+POWER(2,$C13)*G13)</f>
        <v>13217A0C</v>
      </c>
      <c r="H34" s="18" t="str">
        <f>DEC2HEX(POWER(2,$C20)*H20+POWER(2,$C19)*H19+POWER(2,$C18)*H18+POWER(2,$C17)*H17+POWER(2,$C16)*H16+POWER(2,$C15)*H15+POWER(2,$C14)*H14+POWER(2,$C13)*H13)</f>
        <v>13217A0C</v>
      </c>
      <c r="I34" s="18" t="str">
        <f>DEC2HEX(POWER(2,$C20)*I20+POWER(2,$C19)*I19+POWER(2,$C18)*I18+POWER(2,$C17)*I17+POWER(2,$C16)*I16+POWER(2,$C15)*I15+POWER(2,$C14)*I14+POWER(2,$C13)*I13)</f>
        <v>13217A0C</v>
      </c>
      <c r="J34" s="18" t="str">
        <f>DEC2HEX(POWER(2,$C20)*J20+POWER(2,$C19)*J19+POWER(2,$C18)*J18+POWER(2,$C17)*J17+POWER(2,$C16)*J16+POWER(2,$C15)*J15+POWER(2,$C14)*J14+POWER(2,$C13)*J13)</f>
        <v>13217A0C</v>
      </c>
      <c r="K34" s="18" t="str">
        <f>DEC2HEX(POWER(2,$C20)*K20+POWER(2,$C19)*K19+POWER(2,$C18)*K18+POWER(2,$C17)*K17+POWER(2,$C16)*K16+POWER(2,$C15)*K15+POWER(2,$C14)*K14+POWER(2,$C13)*K13)</f>
        <v>13217A0C</v>
      </c>
      <c r="L34" s="18" t="str">
        <f>DEC2HEX(POWER(2,$C20)*L20+POWER(2,$C19)*L19+POWER(2,$C18)*L18+POWER(2,$C17)*L17+POWER(2,$C16)*L16+POWER(2,$C15)*L15+POWER(2,$C14)*L14+POWER(2,$C13)*L13)</f>
        <v>13217A0C</v>
      </c>
      <c r="M34" s="18" t="str">
        <f>DEC2HEX(POWER(2,$C20)*M20+POWER(2,$C19)*M19+POWER(2,$C18)*M18+POWER(2,$C17)*M17+POWER(2,$C16)*M16+POWER(2,$C15)*M15+POWER(2,$C14)*M14+POWER(2,$C13)*M13)</f>
        <v>13217A0C</v>
      </c>
      <c r="N34" s="18" t="str">
        <f>DEC2HEX(POWER(2,$C20)*N20+POWER(2,$C19)*N19+POWER(2,$C18)*N18+POWER(2,$C17)*N17+POWER(2,$C16)*N16+POWER(2,$C15)*N15+POWER(2,$C14)*N14+POWER(2,$C13)*N13)</f>
        <v>13217A0C</v>
      </c>
      <c r="O34" s="18" t="str">
        <f>DEC2HEX(POWER(2,$C20)*O20+POWER(2,$C19)*O19+POWER(2,$C18)*O18+POWER(2,$C17)*O17+POWER(2,$C16)*O16+POWER(2,$C15)*O15+POWER(2,$C14)*O14+POWER(2,$C13)*O13)</f>
        <v>13217A0C</v>
      </c>
      <c r="P34" s="18" t="str">
        <f>DEC2HEX(POWER(2,$C20)*P20+POWER(2,$C19)*P19+POWER(2,$C18)*P18+POWER(2,$C17)*P17+POWER(2,$C16)*P16+POWER(2,$C15)*P15+POWER(2,$C14)*P14+POWER(2,$C13)*P13)</f>
        <v>13217A0C</v>
      </c>
      <c r="Q34" s="18" t="str">
        <f>DEC2HEX(POWER(2,$C20)*Q20+POWER(2,$C19)*Q19+POWER(2,$C18)*Q18+POWER(2,$C17)*Q17+POWER(2,$C16)*Q16+POWER(2,$C15)*Q15+POWER(2,$C14)*Q14+POWER(2,$C13)*Q13)</f>
        <v>13217A0C</v>
      </c>
      <c r="R34" s="18" t="str">
        <f>DEC2HEX(POWER(2,$C20)*R20+POWER(2,$C19)*R19+POWER(2,$C18)*R18+POWER(2,$C17)*R17+POWER(2,$C16)*R16+POWER(2,$C15)*R15+POWER(2,$C14)*R14+POWER(2,$C13)*R13)</f>
        <v>13217A0C</v>
      </c>
      <c r="S34" s="18" t="str">
        <f>DEC2HEX(POWER(2,$C20)*S20+POWER(2,$C19)*S19+POWER(2,$C18)*S18+POWER(2,$C17)*S17+POWER(2,$C16)*S16+POWER(2,$C15)*S15+POWER(2,$C14)*S14+POWER(2,$C13)*S13)</f>
        <v>13217A0C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F10" sqref="F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208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12217A0C</v>
      </c>
      <c r="Y2" t="str">
        <f t="shared" ref="Y2:Y33" si="0">"0x"&amp;RIGHT("00000000"&amp;X2,8)&amp;","</f>
        <v>0x12217A0C,</v>
      </c>
      <c r="Z2" s="32" t="s">
        <v>142</v>
      </c>
    </row>
    <row r="3" spans="1:26">
      <c r="A3" s="2" t="s">
        <v>209</v>
      </c>
      <c r="B3" s="3">
        <v>61</v>
      </c>
      <c r="C3" s="3">
        <v>57</v>
      </c>
      <c r="D3" s="3">
        <v>0</v>
      </c>
      <c r="E3" s="4">
        <v>0</v>
      </c>
      <c r="F3" s="4">
        <v>13</v>
      </c>
      <c r="G3" s="4">
        <v>13</v>
      </c>
      <c r="H3" s="4">
        <v>13</v>
      </c>
      <c r="I3" s="4" t="s">
        <v>226</v>
      </c>
      <c r="J3" s="4" t="s">
        <v>226</v>
      </c>
      <c r="K3" s="4" t="s">
        <v>226</v>
      </c>
      <c r="L3" s="4" t="s">
        <v>226</v>
      </c>
      <c r="M3" s="4" t="s">
        <v>226</v>
      </c>
      <c r="N3" s="4" t="s">
        <v>226</v>
      </c>
      <c r="O3" s="4" t="s">
        <v>226</v>
      </c>
      <c r="P3" s="4" t="s">
        <v>226</v>
      </c>
      <c r="Q3" s="4" t="s">
        <v>226</v>
      </c>
      <c r="R3" s="4" t="s">
        <v>226</v>
      </c>
      <c r="S3" s="4" t="s">
        <v>226</v>
      </c>
      <c r="V3" s="30"/>
      <c r="W3" s="22">
        <v>40348064</v>
      </c>
      <c r="X3" s="31" t="str">
        <f>S33</f>
        <v>DBEE4136</v>
      </c>
      <c r="Y3" t="str">
        <f t="shared" si="0"/>
        <v>0xDBEE4136,</v>
      </c>
      <c r="Z3" s="32"/>
    </row>
    <row r="4" spans="1:26">
      <c r="A4" s="2" t="s">
        <v>210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12217A0C</v>
      </c>
      <c r="Y4" t="str">
        <f t="shared" si="0"/>
        <v>0x12217A0C,</v>
      </c>
      <c r="Z4" s="32" t="s">
        <v>146</v>
      </c>
    </row>
    <row r="5" spans="1:26">
      <c r="A5" s="2" t="s">
        <v>211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DBEE4196</v>
      </c>
      <c r="Y5" t="str">
        <f t="shared" si="0"/>
        <v>0xDBEE4196,</v>
      </c>
      <c r="Z5" s="32"/>
    </row>
    <row r="6" spans="1:26">
      <c r="A6" s="2" t="s">
        <v>212</v>
      </c>
      <c r="B6" s="3">
        <v>52</v>
      </c>
      <c r="C6" s="3">
        <v>49</v>
      </c>
      <c r="D6" s="3">
        <v>0</v>
      </c>
      <c r="E6" s="4">
        <v>2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12217A0C</v>
      </c>
      <c r="Y6" t="str">
        <f t="shared" si="0"/>
        <v>0x12217A0C,</v>
      </c>
      <c r="Z6" s="32" t="s">
        <v>149</v>
      </c>
    </row>
    <row r="7" spans="1:26">
      <c r="A7" s="2" t="s">
        <v>213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DBEE4216</v>
      </c>
      <c r="Y7" t="str">
        <f t="shared" si="0"/>
        <v>0xDBEE4216,</v>
      </c>
      <c r="Z7" s="3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12217A0C</v>
      </c>
      <c r="Y8" t="str">
        <f t="shared" si="0"/>
        <v>0x12217A0C,</v>
      </c>
      <c r="Z8" s="3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DBEE812F</v>
      </c>
      <c r="Y9" t="str">
        <f t="shared" si="0"/>
        <v>0xDBEE812F,</v>
      </c>
      <c r="Z9" s="32"/>
    </row>
    <row r="10" spans="1:26">
      <c r="A10" s="2" t="s">
        <v>156</v>
      </c>
      <c r="B10" s="3">
        <v>42</v>
      </c>
      <c r="C10" s="3">
        <v>37</v>
      </c>
      <c r="D10" s="3">
        <v>63</v>
      </c>
      <c r="E10" s="5">
        <v>63</v>
      </c>
      <c r="F10" s="6" t="s">
        <v>219</v>
      </c>
      <c r="G10" s="6" t="s">
        <v>206</v>
      </c>
      <c r="H10" s="5">
        <v>35</v>
      </c>
      <c r="I10" s="6" t="s">
        <v>216</v>
      </c>
      <c r="J10" s="5">
        <v>19</v>
      </c>
      <c r="K10" s="6" t="s">
        <v>76</v>
      </c>
      <c r="L10" s="5">
        <v>18</v>
      </c>
      <c r="M10" s="6" t="s">
        <v>159</v>
      </c>
      <c r="N10" s="5">
        <v>10</v>
      </c>
      <c r="O10" s="5">
        <v>12</v>
      </c>
      <c r="P10" s="5">
        <v>9</v>
      </c>
      <c r="Q10" s="5">
        <v>16</v>
      </c>
      <c r="R10" s="5">
        <v>12</v>
      </c>
      <c r="S10" s="5">
        <v>9</v>
      </c>
      <c r="V10" s="30">
        <v>4</v>
      </c>
      <c r="W10" s="22">
        <v>40348060</v>
      </c>
      <c r="X10" s="31" t="str">
        <f>O34</f>
        <v>12217A0C</v>
      </c>
      <c r="Y10" t="str">
        <f t="shared" si="0"/>
        <v>0x12217A0C,</v>
      </c>
      <c r="Z10" s="32" t="s">
        <v>155</v>
      </c>
    </row>
    <row r="11" spans="1:26">
      <c r="A11" s="2" t="s">
        <v>160</v>
      </c>
      <c r="B11" s="3">
        <v>36</v>
      </c>
      <c r="C11" s="3">
        <v>32</v>
      </c>
      <c r="D11" s="3">
        <v>31</v>
      </c>
      <c r="E11" s="5">
        <v>31</v>
      </c>
      <c r="F11" s="5">
        <v>22</v>
      </c>
      <c r="G11" s="5">
        <v>22</v>
      </c>
      <c r="H11" s="5">
        <v>16</v>
      </c>
      <c r="I11" s="5">
        <v>16</v>
      </c>
      <c r="J11" s="5">
        <v>16</v>
      </c>
      <c r="K11" s="5">
        <v>16</v>
      </c>
      <c r="L11" s="5">
        <v>24</v>
      </c>
      <c r="M11" s="5">
        <v>26</v>
      </c>
      <c r="N11" s="5">
        <v>18</v>
      </c>
      <c r="O11" s="5">
        <v>16</v>
      </c>
      <c r="P11" s="5">
        <v>15</v>
      </c>
      <c r="Q11" s="5">
        <v>22</v>
      </c>
      <c r="R11" s="5">
        <v>22</v>
      </c>
      <c r="S11" s="5">
        <v>22</v>
      </c>
      <c r="V11" s="30"/>
      <c r="W11" s="22">
        <v>40348064</v>
      </c>
      <c r="X11" s="31" t="str">
        <f>O33</f>
        <v>DBEE8190</v>
      </c>
      <c r="Y11" t="str">
        <f t="shared" si="0"/>
        <v>0xDBEE8190,</v>
      </c>
      <c r="Z11" s="32"/>
    </row>
    <row r="12" spans="1:26">
      <c r="A12" s="2" t="s">
        <v>164</v>
      </c>
      <c r="B12" s="3">
        <v>31</v>
      </c>
      <c r="C12" s="3">
        <v>29</v>
      </c>
      <c r="D12" s="3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12217A0C</v>
      </c>
      <c r="Y12" t="str">
        <f t="shared" si="0"/>
        <v>0x12217A0C,</v>
      </c>
      <c r="Z12" s="32" t="s">
        <v>163</v>
      </c>
    </row>
    <row r="13" spans="1:26">
      <c r="A13" s="2" t="s">
        <v>165</v>
      </c>
      <c r="B13" s="3">
        <v>28</v>
      </c>
      <c r="C13" s="3">
        <v>27</v>
      </c>
      <c r="D13" s="3">
        <v>3</v>
      </c>
      <c r="E13" s="7">
        <v>2</v>
      </c>
      <c r="F13" s="7">
        <v>2</v>
      </c>
      <c r="G13" s="7">
        <v>2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DBEEC152</v>
      </c>
      <c r="Y13" t="str">
        <f t="shared" si="0"/>
        <v>0xDBEEC152,</v>
      </c>
      <c r="Z13" s="32"/>
    </row>
    <row r="14" spans="1:26">
      <c r="A14" s="2" t="s">
        <v>167</v>
      </c>
      <c r="B14" s="3">
        <v>26</v>
      </c>
      <c r="C14" s="3">
        <v>24</v>
      </c>
      <c r="D14" s="3" t="s">
        <v>118</v>
      </c>
      <c r="E14" s="7" t="s">
        <v>118</v>
      </c>
      <c r="F14" s="7" t="s">
        <v>118</v>
      </c>
      <c r="G14" s="7">
        <v>2</v>
      </c>
      <c r="H14" s="7" t="s">
        <v>118</v>
      </c>
      <c r="I14" s="7" t="s">
        <v>118</v>
      </c>
      <c r="J14" s="7" t="s">
        <v>118</v>
      </c>
      <c r="K14" s="7">
        <v>2</v>
      </c>
      <c r="L14" s="7" t="s">
        <v>118</v>
      </c>
      <c r="M14" s="7" t="s">
        <v>118</v>
      </c>
      <c r="N14" s="7" t="s">
        <v>118</v>
      </c>
      <c r="O14" s="7">
        <v>2</v>
      </c>
      <c r="P14" s="7" t="s">
        <v>118</v>
      </c>
      <c r="Q14" s="7" t="s">
        <v>118</v>
      </c>
      <c r="R14" s="7" t="s">
        <v>118</v>
      </c>
      <c r="S14" s="7" t="s">
        <v>118</v>
      </c>
      <c r="V14" s="30">
        <v>6</v>
      </c>
      <c r="W14" s="22">
        <v>40348060</v>
      </c>
      <c r="X14" s="31" t="str">
        <f>M34</f>
        <v>12217A0C</v>
      </c>
      <c r="Y14" t="str">
        <f t="shared" si="0"/>
        <v>0x12217A0C,</v>
      </c>
      <c r="Z14" s="32" t="s">
        <v>166</v>
      </c>
    </row>
    <row r="15" spans="1:26">
      <c r="A15" s="2" t="s">
        <v>168</v>
      </c>
      <c r="B15" s="3">
        <v>23</v>
      </c>
      <c r="C15" s="3">
        <v>18</v>
      </c>
      <c r="D15" s="3">
        <v>47</v>
      </c>
      <c r="E15" s="4" t="s">
        <v>217</v>
      </c>
      <c r="F15" s="4" t="s">
        <v>217</v>
      </c>
      <c r="G15" s="4" t="s">
        <v>217</v>
      </c>
      <c r="H15" s="4" t="s">
        <v>217</v>
      </c>
      <c r="I15" s="4" t="s">
        <v>217</v>
      </c>
      <c r="J15" s="4" t="s">
        <v>217</v>
      </c>
      <c r="K15" s="4" t="s">
        <v>217</v>
      </c>
      <c r="L15" s="4" t="s">
        <v>217</v>
      </c>
      <c r="M15" s="4" t="s">
        <v>217</v>
      </c>
      <c r="N15" s="4" t="s">
        <v>217</v>
      </c>
      <c r="O15" s="4" t="s">
        <v>217</v>
      </c>
      <c r="P15" s="4" t="s">
        <v>217</v>
      </c>
      <c r="Q15" s="4" t="s">
        <v>217</v>
      </c>
      <c r="R15" s="4" t="s">
        <v>217</v>
      </c>
      <c r="S15" s="4" t="s">
        <v>217</v>
      </c>
      <c r="V15" s="30"/>
      <c r="W15" s="22">
        <v>40348064</v>
      </c>
      <c r="X15" s="31" t="str">
        <f>M33</f>
        <v>DBEF019A</v>
      </c>
      <c r="Y15" t="str">
        <f t="shared" si="0"/>
        <v>0xDBEF019A,</v>
      </c>
      <c r="Z15" s="32"/>
    </row>
    <row r="16" spans="1:26">
      <c r="A16" s="2" t="s">
        <v>170</v>
      </c>
      <c r="B16" s="3">
        <v>17</v>
      </c>
      <c r="C16" s="3">
        <v>12</v>
      </c>
      <c r="D16" s="3">
        <v>42</v>
      </c>
      <c r="E16" s="4" t="s">
        <v>161</v>
      </c>
      <c r="F16" s="4" t="s">
        <v>161</v>
      </c>
      <c r="G16" s="4" t="s">
        <v>161</v>
      </c>
      <c r="H16" s="4" t="s">
        <v>161</v>
      </c>
      <c r="I16" s="4" t="s">
        <v>161</v>
      </c>
      <c r="J16" s="4" t="s">
        <v>161</v>
      </c>
      <c r="K16" s="4" t="s">
        <v>161</v>
      </c>
      <c r="L16" s="4" t="s">
        <v>161</v>
      </c>
      <c r="M16" s="4" t="s">
        <v>161</v>
      </c>
      <c r="N16" s="4" t="s">
        <v>161</v>
      </c>
      <c r="O16" s="4" t="s">
        <v>161</v>
      </c>
      <c r="P16" s="4" t="s">
        <v>161</v>
      </c>
      <c r="Q16" s="4" t="s">
        <v>161</v>
      </c>
      <c r="R16" s="4" t="s">
        <v>161</v>
      </c>
      <c r="S16" s="4" t="s">
        <v>161</v>
      </c>
      <c r="V16" s="30">
        <v>7</v>
      </c>
      <c r="W16" s="22">
        <v>40348060</v>
      </c>
      <c r="X16" s="31" t="str">
        <f>L34</f>
        <v>12217A0C</v>
      </c>
      <c r="Y16" t="str">
        <f t="shared" si="0"/>
        <v>0x12217A0C,</v>
      </c>
      <c r="Z16" s="32" t="s">
        <v>169</v>
      </c>
    </row>
    <row r="17" spans="1:26">
      <c r="A17" s="2" t="s">
        <v>171</v>
      </c>
      <c r="B17" s="3">
        <v>11</v>
      </c>
      <c r="C17" s="3">
        <v>7</v>
      </c>
      <c r="D17" s="3">
        <v>20</v>
      </c>
      <c r="E17" s="4" t="s">
        <v>158</v>
      </c>
      <c r="F17" s="4">
        <v>20</v>
      </c>
      <c r="G17" s="4" t="s">
        <v>158</v>
      </c>
      <c r="H17" s="4">
        <v>20</v>
      </c>
      <c r="I17" s="4" t="s">
        <v>158</v>
      </c>
      <c r="J17" s="4">
        <v>20</v>
      </c>
      <c r="K17" s="4" t="s">
        <v>158</v>
      </c>
      <c r="L17" s="4">
        <v>20</v>
      </c>
      <c r="M17" s="4" t="s">
        <v>158</v>
      </c>
      <c r="N17" s="4">
        <v>20</v>
      </c>
      <c r="O17" s="4" t="s">
        <v>158</v>
      </c>
      <c r="P17" s="4">
        <v>20</v>
      </c>
      <c r="Q17" s="4" t="s">
        <v>158</v>
      </c>
      <c r="R17" s="4">
        <v>20</v>
      </c>
      <c r="S17" s="4" t="s">
        <v>158</v>
      </c>
      <c r="V17" s="30"/>
      <c r="W17" s="22">
        <v>40348064</v>
      </c>
      <c r="X17" s="31" t="str">
        <f>L33</f>
        <v>DBEF0258</v>
      </c>
      <c r="Y17" t="str">
        <f t="shared" si="0"/>
        <v>0xDBEF0258,</v>
      </c>
      <c r="Z17" s="32"/>
    </row>
    <row r="18" spans="1:26">
      <c r="A18" s="2" t="s">
        <v>173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12217A0C</v>
      </c>
      <c r="Y18" t="str">
        <f t="shared" si="0"/>
        <v>0x12217A0C,</v>
      </c>
      <c r="Z18" s="32" t="s">
        <v>172</v>
      </c>
    </row>
    <row r="19" spans="1:26">
      <c r="A19" s="2" t="s">
        <v>174</v>
      </c>
      <c r="B19" s="3">
        <v>2</v>
      </c>
      <c r="C19" s="3">
        <v>0</v>
      </c>
      <c r="D19" s="3">
        <v>3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DBEF41F0</v>
      </c>
      <c r="Y19" t="str">
        <f t="shared" si="0"/>
        <v>0xDBEF41F0,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12217A0C</v>
      </c>
      <c r="Y20" t="str">
        <f t="shared" si="0"/>
        <v>0x12217A0C,</v>
      </c>
      <c r="Z20" s="32" t="s">
        <v>175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DBEF8270</v>
      </c>
      <c r="Y21" t="str">
        <f t="shared" si="0"/>
        <v>0xDBEF8270,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176</v>
      </c>
      <c r="W22" s="22">
        <v>40348060</v>
      </c>
      <c r="X22" s="31" t="str">
        <f>I34</f>
        <v>12217A0C</v>
      </c>
      <c r="Y22" t="str">
        <f t="shared" si="0"/>
        <v>0x12217A0C,</v>
      </c>
      <c r="Z22" s="32" t="s">
        <v>177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DBEF8270</v>
      </c>
      <c r="Y23" t="str">
        <f t="shared" si="0"/>
        <v>0xDBEF8270,</v>
      </c>
      <c r="Z23" s="32"/>
    </row>
    <row r="24" spans="1:26">
      <c r="A24" s="12" t="s">
        <v>178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179</v>
      </c>
      <c r="W24" s="22">
        <v>40348060</v>
      </c>
      <c r="X24" s="31" t="str">
        <f>H34</f>
        <v>12217A0C</v>
      </c>
      <c r="Y24" t="str">
        <f t="shared" si="0"/>
        <v>0x12217A0C,</v>
      </c>
      <c r="Z24" s="32" t="s">
        <v>180</v>
      </c>
    </row>
    <row r="25" spans="1:26">
      <c r="A25" s="12" t="s">
        <v>181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DBEF8470</v>
      </c>
      <c r="Y25" t="str">
        <f t="shared" si="0"/>
        <v>0xDBEF8470,</v>
      </c>
      <c r="Z25" s="32"/>
    </row>
    <row r="26" spans="1:26">
      <c r="A26" s="12" t="s">
        <v>182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183</v>
      </c>
      <c r="W26" s="22">
        <v>40348060</v>
      </c>
      <c r="X26" s="31" t="str">
        <f>G34</f>
        <v>12217A0C</v>
      </c>
      <c r="Y26" t="str">
        <f t="shared" si="0"/>
        <v>0x12217A0C,</v>
      </c>
      <c r="Z26" s="32" t="s">
        <v>184</v>
      </c>
    </row>
    <row r="27" spans="1:26">
      <c r="A27" s="15" t="s">
        <v>185</v>
      </c>
      <c r="V27" s="30"/>
      <c r="W27" s="22">
        <v>40348064</v>
      </c>
      <c r="X27" s="31" t="str">
        <f>G33</f>
        <v>DBEFC376</v>
      </c>
      <c r="Y27" t="str">
        <f t="shared" si="0"/>
        <v>0xDBEFC376,</v>
      </c>
      <c r="Z27" s="32"/>
    </row>
    <row r="28" spans="22:26">
      <c r="V28" s="30" t="s">
        <v>186</v>
      </c>
      <c r="W28" s="22">
        <v>40348060</v>
      </c>
      <c r="X28" s="31" t="str">
        <f>F34</f>
        <v>12217A0C</v>
      </c>
      <c r="Y28" t="str">
        <f t="shared" si="0"/>
        <v>0x12217A0C,</v>
      </c>
      <c r="Z28" s="32" t="s">
        <v>187</v>
      </c>
    </row>
    <row r="29" spans="22:26">
      <c r="V29" s="30"/>
      <c r="W29" s="22">
        <v>40348064</v>
      </c>
      <c r="X29" s="31" t="str">
        <f>F33</f>
        <v>DBEFC516</v>
      </c>
      <c r="Y29" t="str">
        <f t="shared" si="0"/>
        <v>0xDBEFC516,</v>
      </c>
      <c r="Z29" s="32"/>
    </row>
    <row r="30" spans="22:26">
      <c r="V30" s="30" t="s">
        <v>188</v>
      </c>
      <c r="W30" s="22">
        <v>40348060</v>
      </c>
      <c r="X30" s="31" t="str">
        <f>E34</f>
        <v>12217A0C</v>
      </c>
      <c r="Y30" t="str">
        <f t="shared" si="0"/>
        <v>0x12217A0C,</v>
      </c>
      <c r="Z30" s="32" t="s">
        <v>189</v>
      </c>
    </row>
    <row r="31" spans="1:26">
      <c r="A31" t="s">
        <v>190</v>
      </c>
      <c r="V31" s="30"/>
      <c r="W31" s="22">
        <v>40348064</v>
      </c>
      <c r="X31" s="31" t="str">
        <f>E33</f>
        <v>C1E5C7FF</v>
      </c>
      <c r="Y31" t="str">
        <f t="shared" si="0"/>
        <v>0xC1E5C7FF,</v>
      </c>
      <c r="Z31" s="32"/>
    </row>
    <row r="32" spans="1:26">
      <c r="A32" s="16" t="s">
        <v>191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192</v>
      </c>
      <c r="W32" s="22">
        <v>40348060</v>
      </c>
      <c r="X32" s="31" t="str">
        <f>D34</f>
        <v>1ABEAA0B</v>
      </c>
      <c r="Y32" t="str">
        <f t="shared" si="0"/>
        <v>0x1ABEAA0B,</v>
      </c>
      <c r="Z32" s="32" t="s">
        <v>193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C1E1C7FF</v>
      </c>
      <c r="E33" s="18" t="str">
        <f>DEC2HEX(POWER(2,$C12-32)*E12+POWER(2,$C11-32)*E11+POWER(2,$C10-32)*E10+POWER(2,$C9-32)*E9+POWER(2,$C8-32)*E8+POWER(2,$C7-32)*E7+POWER(2,$C6-32)*E6+POWER(2,$C5-32)*E5+POWER(2,$C4-32)*E4+POWER(2,$C3-32)*E3+POWER(2,$C2-32)*E2)</f>
        <v>C1E5C7FF</v>
      </c>
      <c r="F33" s="18" t="str">
        <f>DEC2HEX(POWER(2,$C12-32)*F12+POWER(2,$C11-32)*F11+POWER(2,$C10-32)*F10+POWER(2,$C9-32)*F9+POWER(2,$C8-32)*F8+POWER(2,$C7-32)*F7+POWER(2,$C6-32)*F6+POWER(2,$C5-32)*F5+POWER(2,$C4-32)*F4+POWER(2,$C3-32)*F3+POWER(2,$C2-32)*F2)</f>
        <v>DBEFC516</v>
      </c>
      <c r="G33" s="18" t="str">
        <f>DEC2HEX(POWER(2,$C12-32)*G12+POWER(2,$C11-32)*G11+POWER(2,$C10-32)*G10+POWER(2,$C9-32)*G9+POWER(2,$C8-32)*G8+POWER(2,$C7-32)*G7+POWER(2,$C6-32)*G6+POWER(2,$C5-32)*G5+POWER(2,$C4-32)*G4+POWER(2,$C3-32)*G3+POWER(2,$C2-32)*G2)</f>
        <v>DBEFC376</v>
      </c>
      <c r="H33" s="18" t="str">
        <f>DEC2HEX(POWER(2,$C12-32)*H12+POWER(2,$C11-32)*H11+POWER(2,$C10-32)*H10+POWER(2,$C9-32)*H9+POWER(2,$C8-32)*H8+POWER(2,$C7-32)*H7+POWER(2,$C6-32)*H6+POWER(2,$C5-32)*H5+POWER(2,$C4-32)*H4+POWER(2,$C3-32)*H3+POWER(2,$C2-32)*H2)</f>
        <v>DBEF8470</v>
      </c>
      <c r="I33" s="18" t="str">
        <f>DEC2HEX(POWER(2,$C12-32)*I12+POWER(2,$C11-32)*I11+POWER(2,$C10-32)*I10+POWER(2,$C9-32)*I9+POWER(2,$C8-32)*I8+POWER(2,$C7-32)*I7+POWER(2,$C6-32)*I6+POWER(2,$C5-32)*I5+POWER(2,$C4-32)*I4+POWER(2,$C3-32)*I3+POWER(2,$C2-32)*I2)</f>
        <v>DBEF8270</v>
      </c>
      <c r="J33" s="18" t="str">
        <f>DEC2HEX(POWER(2,$C12-32)*J12+POWER(2,$C11-32)*J11+POWER(2,$C10-32)*J10+POWER(2,$C9-32)*J9+POWER(2,$C8-32)*J8+POWER(2,$C7-32)*J7+POWER(2,$C6-32)*J6+POWER(2,$C5-32)*J5+POWER(2,$C4-32)*J4+POWER(2,$C3-32)*J3+POWER(2,$C2-32)*J2)</f>
        <v>DBEF8270</v>
      </c>
      <c r="K33" s="18" t="str">
        <f>DEC2HEX(POWER(2,$C12-32)*K12+POWER(2,$C11-32)*K11+POWER(2,$C10-32)*K10+POWER(2,$C9-32)*K9+POWER(2,$C8-32)*K8+POWER(2,$C7-32)*K7+POWER(2,$C6-32)*K6+POWER(2,$C5-32)*K5+POWER(2,$C4-32)*K4+POWER(2,$C3-32)*K3+POWER(2,$C2-32)*K2)</f>
        <v>DBEF41F0</v>
      </c>
      <c r="L33" s="18" t="str">
        <f>DEC2HEX(POWER(2,$C12-32)*L12+POWER(2,$C11-32)*L11+POWER(2,$C10-32)*L10+POWER(2,$C9-32)*L9+POWER(2,$C8-32)*L8+POWER(2,$C7-32)*L7+POWER(2,$C6-32)*L6+POWER(2,$C5-32)*L5+POWER(2,$C4-32)*L4+POWER(2,$C3-32)*L3+POWER(2,$C2-32)*L2)</f>
        <v>DBEF0258</v>
      </c>
      <c r="M33" s="18" t="str">
        <f>DEC2HEX(POWER(2,$C12-32)*M12+POWER(2,$C11-32)*M11+POWER(2,$C10-32)*M10+POWER(2,$C9-32)*M9+POWER(2,$C8-32)*M8+POWER(2,$C7-32)*M7+POWER(2,$C6-32)*M6+POWER(2,$C5-32)*M5+POWER(2,$C4-32)*M4+POWER(2,$C3-32)*M3+POWER(2,$C2-32)*M2)</f>
        <v>DBEF019A</v>
      </c>
      <c r="N33" s="18" t="str">
        <f>DEC2HEX(POWER(2,$C12-32)*N12+POWER(2,$C11-32)*N11+POWER(2,$C10-32)*N10+POWER(2,$C9-32)*N9+POWER(2,$C8-32)*N8+POWER(2,$C7-32)*N7+POWER(2,$C6-32)*N6+POWER(2,$C5-32)*N5+POWER(2,$C4-32)*N4+POWER(2,$C3-32)*N3+POWER(2,$C2-32)*N2)</f>
        <v>DBEEC152</v>
      </c>
      <c r="O33" s="18" t="str">
        <f>DEC2HEX(POWER(2,$C12-32)*O12+POWER(2,$C11-32)*O11+POWER(2,$C10-32)*O10+POWER(2,$C9-32)*O9+POWER(2,$C8-32)*O8+POWER(2,$C7-32)*O7+POWER(2,$C6-32)*O6+POWER(2,$C5-32)*O5+POWER(2,$C4-32)*O4+POWER(2,$C3-32)*O3+POWER(2,$C2-32)*O2)</f>
        <v>DBEE8190</v>
      </c>
      <c r="P33" s="18" t="str">
        <f>DEC2HEX(POWER(2,$C12-32)*P12+POWER(2,$C11-32)*P11+POWER(2,$C10-32)*P10+POWER(2,$C9-32)*P9+POWER(2,$C8-32)*P8+POWER(2,$C7-32)*P7+POWER(2,$C6-32)*P6+POWER(2,$C5-32)*P5+POWER(2,$C4-32)*P4+POWER(2,$C3-32)*P3+POWER(2,$C2-32)*P2)</f>
        <v>DBEE812F</v>
      </c>
      <c r="Q33" s="18" t="str">
        <f>DEC2HEX(POWER(2,$C12-32)*Q12+POWER(2,$C11-32)*Q11+POWER(2,$C10-32)*Q10+POWER(2,$C9-32)*Q9+POWER(2,$C8-32)*Q8+POWER(2,$C7-32)*Q7+POWER(2,$C6-32)*Q6+POWER(2,$C5-32)*Q5+POWER(2,$C4-32)*Q4+POWER(2,$C3-32)*Q3+POWER(2,$C2-32)*Q2)</f>
        <v>DBEE4216</v>
      </c>
      <c r="R33" s="18" t="str">
        <f>DEC2HEX(POWER(2,$C12-32)*R12+POWER(2,$C11-32)*R11+POWER(2,$C10-32)*R10+POWER(2,$C9-32)*R9+POWER(2,$C8-32)*R8+POWER(2,$C7-32)*R7+POWER(2,$C6-32)*R6+POWER(2,$C5-32)*R5+POWER(2,$C4-32)*R4+POWER(2,$C3-32)*R3+POWER(2,$C2-32)*R2)</f>
        <v>DBEE4196</v>
      </c>
      <c r="S33" s="18" t="str">
        <f>DEC2HEX(POWER(2,$C12-32)*S12+POWER(2,$C11-32)*S11+POWER(2,$C10-32)*S10+POWER(2,$C9-32)*S9+POWER(2,$C8-32)*S8+POWER(2,$C7-32)*S7+POWER(2,$C6-32)*S6+POWER(2,$C5-32)*S5+POWER(2,$C4-32)*S4+POWER(2,$C3-32)*S3+POWER(2,$C2-32)*S2)</f>
        <v>DBEE4136</v>
      </c>
      <c r="V33" s="29"/>
      <c r="W33" s="22">
        <v>40348064</v>
      </c>
      <c r="X33" s="31" t="str">
        <f>D33</f>
        <v>C1E1C7FF</v>
      </c>
      <c r="Y33" t="str">
        <f t="shared" si="0"/>
        <v>0xC1E1C7FF,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1ABEAA0B</v>
      </c>
      <c r="E34" s="18" t="str">
        <f>DEC2HEX(POWER(2,$C20)*E20+POWER(2,$C19)*E19+POWER(2,$C18)*E18+POWER(2,$C17)*E17+POWER(2,$C16)*E16+POWER(2,$C15)*E15+POWER(2,$C14)*E14+POWER(2,$C13)*E13)</f>
        <v>12217A0C</v>
      </c>
      <c r="F34" s="18" t="str">
        <f>DEC2HEX(POWER(2,$C20)*F20+POWER(2,$C19)*F19+POWER(2,$C18)*F18+POWER(2,$C17)*F17+POWER(2,$C16)*F16+POWER(2,$C15)*F15+POWER(2,$C14)*F14+POWER(2,$C13)*F13)</f>
        <v>12217A0C</v>
      </c>
      <c r="G34" s="18" t="str">
        <f>DEC2HEX(POWER(2,$C20)*G20+POWER(2,$C19)*G19+POWER(2,$C18)*G18+POWER(2,$C17)*G17+POWER(2,$C16)*G16+POWER(2,$C15)*G15+POWER(2,$C14)*G14+POWER(2,$C13)*G13)</f>
        <v>12217A0C</v>
      </c>
      <c r="H34" s="18" t="str">
        <f>DEC2HEX(POWER(2,$C20)*H20+POWER(2,$C19)*H19+POWER(2,$C18)*H18+POWER(2,$C17)*H17+POWER(2,$C16)*H16+POWER(2,$C15)*H15+POWER(2,$C14)*H14+POWER(2,$C13)*H13)</f>
        <v>12217A0C</v>
      </c>
      <c r="I34" s="18" t="str">
        <f>DEC2HEX(POWER(2,$C20)*I20+POWER(2,$C19)*I19+POWER(2,$C18)*I18+POWER(2,$C17)*I17+POWER(2,$C16)*I16+POWER(2,$C15)*I15+POWER(2,$C14)*I14+POWER(2,$C13)*I13)</f>
        <v>12217A0C</v>
      </c>
      <c r="J34" s="18" t="str">
        <f>DEC2HEX(POWER(2,$C20)*J20+POWER(2,$C19)*J19+POWER(2,$C18)*J18+POWER(2,$C17)*J17+POWER(2,$C16)*J16+POWER(2,$C15)*J15+POWER(2,$C14)*J14+POWER(2,$C13)*J13)</f>
        <v>12217A0C</v>
      </c>
      <c r="K34" s="18" t="str">
        <f>DEC2HEX(POWER(2,$C20)*K20+POWER(2,$C19)*K19+POWER(2,$C18)*K18+POWER(2,$C17)*K17+POWER(2,$C16)*K16+POWER(2,$C15)*K15+POWER(2,$C14)*K14+POWER(2,$C13)*K13)</f>
        <v>12217A0C</v>
      </c>
      <c r="L34" s="18" t="str">
        <f>DEC2HEX(POWER(2,$C20)*L20+POWER(2,$C19)*L19+POWER(2,$C18)*L18+POWER(2,$C17)*L17+POWER(2,$C16)*L16+POWER(2,$C15)*L15+POWER(2,$C14)*L14+POWER(2,$C13)*L13)</f>
        <v>12217A0C</v>
      </c>
      <c r="M34" s="18" t="str">
        <f>DEC2HEX(POWER(2,$C20)*M20+POWER(2,$C19)*M19+POWER(2,$C18)*M18+POWER(2,$C17)*M17+POWER(2,$C16)*M16+POWER(2,$C15)*M15+POWER(2,$C14)*M14+POWER(2,$C13)*M13)</f>
        <v>12217A0C</v>
      </c>
      <c r="N34" s="18" t="str">
        <f>DEC2HEX(POWER(2,$C20)*N20+POWER(2,$C19)*N19+POWER(2,$C18)*N18+POWER(2,$C17)*N17+POWER(2,$C16)*N16+POWER(2,$C15)*N15+POWER(2,$C14)*N14+POWER(2,$C13)*N13)</f>
        <v>12217A0C</v>
      </c>
      <c r="O34" s="18" t="str">
        <f>DEC2HEX(POWER(2,$C20)*O20+POWER(2,$C19)*O19+POWER(2,$C18)*O18+POWER(2,$C17)*O17+POWER(2,$C16)*O16+POWER(2,$C15)*O15+POWER(2,$C14)*O14+POWER(2,$C13)*O13)</f>
        <v>12217A0C</v>
      </c>
      <c r="P34" s="18" t="str">
        <f>DEC2HEX(POWER(2,$C20)*P20+POWER(2,$C19)*P19+POWER(2,$C18)*P18+POWER(2,$C17)*P17+POWER(2,$C16)*P16+POWER(2,$C15)*P15+POWER(2,$C14)*P14+POWER(2,$C13)*P13)</f>
        <v>12217A0C</v>
      </c>
      <c r="Q34" s="18" t="str">
        <f>DEC2HEX(POWER(2,$C20)*Q20+POWER(2,$C19)*Q19+POWER(2,$C18)*Q18+POWER(2,$C17)*Q17+POWER(2,$C16)*Q16+POWER(2,$C15)*Q15+POWER(2,$C14)*Q14+POWER(2,$C13)*Q13)</f>
        <v>12217A0C</v>
      </c>
      <c r="R34" s="18" t="str">
        <f>DEC2HEX(POWER(2,$C20)*R20+POWER(2,$C19)*R19+POWER(2,$C18)*R18+POWER(2,$C17)*R17+POWER(2,$C16)*R16+POWER(2,$C15)*R15+POWER(2,$C14)*R14+POWER(2,$C13)*R13)</f>
        <v>12217A0C</v>
      </c>
      <c r="S34" s="18" t="str">
        <f>DEC2HEX(POWER(2,$C20)*S20+POWER(2,$C19)*S19+POWER(2,$C18)*S18+POWER(2,$C17)*S17+POWER(2,$C16)*S16+POWER(2,$C15)*S15+POWER(2,$C14)*S14+POWER(2,$C13)*S13)</f>
        <v>12217A0C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F10" sqref="F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208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11217A0C</v>
      </c>
      <c r="Y2" t="str">
        <f t="shared" ref="Y2:Y33" si="0">"0x"&amp;RIGHT("00000000"&amp;X2,8)&amp;","</f>
        <v>0x11217A0C,</v>
      </c>
      <c r="Z2" s="32" t="s">
        <v>142</v>
      </c>
    </row>
    <row r="3" spans="1:26">
      <c r="A3" s="2" t="s">
        <v>209</v>
      </c>
      <c r="B3" s="3">
        <v>61</v>
      </c>
      <c r="C3" s="3">
        <v>57</v>
      </c>
      <c r="D3" s="3">
        <v>0</v>
      </c>
      <c r="E3" s="4">
        <v>0</v>
      </c>
      <c r="F3" s="4">
        <v>13</v>
      </c>
      <c r="G3" s="4">
        <v>13</v>
      </c>
      <c r="H3" s="4">
        <v>13</v>
      </c>
      <c r="I3" s="4" t="s">
        <v>226</v>
      </c>
      <c r="J3" s="4" t="s">
        <v>226</v>
      </c>
      <c r="K3" s="4" t="s">
        <v>226</v>
      </c>
      <c r="L3" s="4" t="s">
        <v>226</v>
      </c>
      <c r="M3" s="4" t="s">
        <v>226</v>
      </c>
      <c r="N3" s="4" t="s">
        <v>226</v>
      </c>
      <c r="O3" s="4" t="s">
        <v>226</v>
      </c>
      <c r="P3" s="4" t="s">
        <v>226</v>
      </c>
      <c r="Q3" s="4" t="s">
        <v>226</v>
      </c>
      <c r="R3" s="4" t="s">
        <v>226</v>
      </c>
      <c r="S3" s="4" t="s">
        <v>226</v>
      </c>
      <c r="V3" s="30"/>
      <c r="W3" s="22">
        <v>40348064</v>
      </c>
      <c r="X3" s="31" t="str">
        <f>S33</f>
        <v>DBEE4136</v>
      </c>
      <c r="Y3" t="str">
        <f t="shared" si="0"/>
        <v>0xDBEE4136,</v>
      </c>
      <c r="Z3" s="32"/>
    </row>
    <row r="4" spans="1:26">
      <c r="A4" s="2" t="s">
        <v>210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11217A0C</v>
      </c>
      <c r="Y4" t="str">
        <f t="shared" si="0"/>
        <v>0x11217A0C,</v>
      </c>
      <c r="Z4" s="32" t="s">
        <v>146</v>
      </c>
    </row>
    <row r="5" spans="1:26">
      <c r="A5" s="2" t="s">
        <v>211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DBEE4196</v>
      </c>
      <c r="Y5" t="str">
        <f t="shared" si="0"/>
        <v>0xDBEE4196,</v>
      </c>
      <c r="Z5" s="32"/>
    </row>
    <row r="6" spans="1:26">
      <c r="A6" s="2" t="s">
        <v>212</v>
      </c>
      <c r="B6" s="3">
        <v>52</v>
      </c>
      <c r="C6" s="3">
        <v>49</v>
      </c>
      <c r="D6" s="3">
        <v>0</v>
      </c>
      <c r="E6" s="4">
        <v>2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11217A0C</v>
      </c>
      <c r="Y6" t="str">
        <f t="shared" si="0"/>
        <v>0x11217A0C,</v>
      </c>
      <c r="Z6" s="32" t="s">
        <v>149</v>
      </c>
    </row>
    <row r="7" spans="1:26">
      <c r="A7" s="2" t="s">
        <v>213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DBEE4216</v>
      </c>
      <c r="Y7" t="str">
        <f t="shared" si="0"/>
        <v>0xDBEE4216,</v>
      </c>
      <c r="Z7" s="3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11217A0C</v>
      </c>
      <c r="Y8" t="str">
        <f t="shared" si="0"/>
        <v>0x11217A0C,</v>
      </c>
      <c r="Z8" s="3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DBEE812F</v>
      </c>
      <c r="Y9" t="str">
        <f t="shared" si="0"/>
        <v>0xDBEE812F,</v>
      </c>
      <c r="Z9" s="32"/>
    </row>
    <row r="10" spans="1:26">
      <c r="A10" s="2" t="s">
        <v>156</v>
      </c>
      <c r="B10" s="3">
        <v>42</v>
      </c>
      <c r="C10" s="3">
        <v>37</v>
      </c>
      <c r="D10" s="3">
        <v>63</v>
      </c>
      <c r="E10" s="5">
        <v>63</v>
      </c>
      <c r="F10" s="6" t="s">
        <v>227</v>
      </c>
      <c r="G10" s="6" t="s">
        <v>114</v>
      </c>
      <c r="H10" s="5">
        <v>35</v>
      </c>
      <c r="I10" s="6" t="s">
        <v>112</v>
      </c>
      <c r="J10" s="5">
        <v>19</v>
      </c>
      <c r="K10" s="6" t="s">
        <v>194</v>
      </c>
      <c r="L10" s="5">
        <v>18</v>
      </c>
      <c r="M10" s="5">
        <v>13</v>
      </c>
      <c r="N10" s="5">
        <v>10</v>
      </c>
      <c r="O10" s="6" t="s">
        <v>226</v>
      </c>
      <c r="P10" s="5">
        <v>9</v>
      </c>
      <c r="Q10" s="5">
        <v>16</v>
      </c>
      <c r="R10" s="5">
        <v>12</v>
      </c>
      <c r="S10" s="5">
        <v>9</v>
      </c>
      <c r="V10" s="30">
        <v>4</v>
      </c>
      <c r="W10" s="22">
        <v>40348060</v>
      </c>
      <c r="X10" s="31" t="str">
        <f>O34</f>
        <v>11217A0C</v>
      </c>
      <c r="Y10" t="str">
        <f t="shared" si="0"/>
        <v>0x11217A0C,</v>
      </c>
      <c r="Z10" s="32" t="s">
        <v>155</v>
      </c>
    </row>
    <row r="11" spans="1:26">
      <c r="A11" s="2" t="s">
        <v>160</v>
      </c>
      <c r="B11" s="3">
        <v>36</v>
      </c>
      <c r="C11" s="3">
        <v>32</v>
      </c>
      <c r="D11" s="3">
        <v>31</v>
      </c>
      <c r="E11" s="5">
        <v>31</v>
      </c>
      <c r="F11" s="5">
        <v>22</v>
      </c>
      <c r="G11" s="5">
        <v>22</v>
      </c>
      <c r="H11" s="5">
        <v>16</v>
      </c>
      <c r="I11" s="5">
        <v>16</v>
      </c>
      <c r="J11" s="5">
        <v>16</v>
      </c>
      <c r="K11" s="5">
        <v>16</v>
      </c>
      <c r="L11" s="5">
        <v>24</v>
      </c>
      <c r="M11" s="5">
        <v>26</v>
      </c>
      <c r="N11" s="5">
        <v>18</v>
      </c>
      <c r="O11" s="5">
        <v>16</v>
      </c>
      <c r="P11" s="5">
        <v>15</v>
      </c>
      <c r="Q11" s="5">
        <v>22</v>
      </c>
      <c r="R11" s="5">
        <v>22</v>
      </c>
      <c r="S11" s="5">
        <v>22</v>
      </c>
      <c r="V11" s="30"/>
      <c r="W11" s="22">
        <v>40348064</v>
      </c>
      <c r="X11" s="31" t="str">
        <f>O33</f>
        <v>DBEE81B0</v>
      </c>
      <c r="Y11" t="str">
        <f t="shared" si="0"/>
        <v>0xDBEE81B0,</v>
      </c>
      <c r="Z11" s="32"/>
    </row>
    <row r="12" spans="1:26">
      <c r="A12" s="2" t="s">
        <v>164</v>
      </c>
      <c r="B12" s="3">
        <v>31</v>
      </c>
      <c r="C12" s="3">
        <v>29</v>
      </c>
      <c r="D12" s="3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11217A0C</v>
      </c>
      <c r="Y12" t="str">
        <f t="shared" si="0"/>
        <v>0x11217A0C,</v>
      </c>
      <c r="Z12" s="32" t="s">
        <v>163</v>
      </c>
    </row>
    <row r="13" spans="1:26">
      <c r="A13" s="2" t="s">
        <v>165</v>
      </c>
      <c r="B13" s="3">
        <v>28</v>
      </c>
      <c r="C13" s="3">
        <v>27</v>
      </c>
      <c r="D13" s="3">
        <v>3</v>
      </c>
      <c r="E13" s="7">
        <v>2</v>
      </c>
      <c r="F13" s="7">
        <v>2</v>
      </c>
      <c r="G13" s="7">
        <v>2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DBEEC152</v>
      </c>
      <c r="Y13" t="str">
        <f t="shared" si="0"/>
        <v>0xDBEEC152,</v>
      </c>
      <c r="Z13" s="32"/>
    </row>
    <row r="14" spans="1:26">
      <c r="A14" s="2" t="s">
        <v>167</v>
      </c>
      <c r="B14" s="3">
        <v>26</v>
      </c>
      <c r="C14" s="3">
        <v>24</v>
      </c>
      <c r="D14" s="3">
        <v>1</v>
      </c>
      <c r="E14" s="7" t="s">
        <v>86</v>
      </c>
      <c r="F14" s="7" t="s">
        <v>86</v>
      </c>
      <c r="G14" s="7" t="s">
        <v>86</v>
      </c>
      <c r="H14" s="7" t="s">
        <v>86</v>
      </c>
      <c r="I14" s="7" t="s">
        <v>86</v>
      </c>
      <c r="J14" s="7" t="s">
        <v>86</v>
      </c>
      <c r="K14" s="7" t="s">
        <v>86</v>
      </c>
      <c r="L14" s="7" t="s">
        <v>86</v>
      </c>
      <c r="M14" s="7" t="s">
        <v>86</v>
      </c>
      <c r="N14" s="7" t="s">
        <v>86</v>
      </c>
      <c r="O14" s="7" t="s">
        <v>86</v>
      </c>
      <c r="P14" s="7" t="s">
        <v>86</v>
      </c>
      <c r="Q14" s="7" t="s">
        <v>86</v>
      </c>
      <c r="R14" s="7" t="s">
        <v>86</v>
      </c>
      <c r="S14" s="7" t="s">
        <v>86</v>
      </c>
      <c r="V14" s="30">
        <v>6</v>
      </c>
      <c r="W14" s="22">
        <v>40348060</v>
      </c>
      <c r="X14" s="31" t="str">
        <f>M34</f>
        <v>11217A0C</v>
      </c>
      <c r="Y14" t="str">
        <f t="shared" si="0"/>
        <v>0x11217A0C,</v>
      </c>
      <c r="Z14" s="32" t="s">
        <v>166</v>
      </c>
    </row>
    <row r="15" spans="1:26">
      <c r="A15" s="2" t="s">
        <v>168</v>
      </c>
      <c r="B15" s="3">
        <v>23</v>
      </c>
      <c r="C15" s="3">
        <v>18</v>
      </c>
      <c r="D15" s="3">
        <v>47</v>
      </c>
      <c r="E15" s="4" t="s">
        <v>217</v>
      </c>
      <c r="F15" s="4" t="s">
        <v>217</v>
      </c>
      <c r="G15" s="4" t="s">
        <v>217</v>
      </c>
      <c r="H15" s="4" t="s">
        <v>217</v>
      </c>
      <c r="I15" s="4" t="s">
        <v>217</v>
      </c>
      <c r="J15" s="4" t="s">
        <v>217</v>
      </c>
      <c r="K15" s="4" t="s">
        <v>217</v>
      </c>
      <c r="L15" s="4" t="s">
        <v>217</v>
      </c>
      <c r="M15" s="4" t="s">
        <v>217</v>
      </c>
      <c r="N15" s="4" t="s">
        <v>217</v>
      </c>
      <c r="O15" s="4" t="s">
        <v>217</v>
      </c>
      <c r="P15" s="4" t="s">
        <v>217</v>
      </c>
      <c r="Q15" s="4" t="s">
        <v>217</v>
      </c>
      <c r="R15" s="4" t="s">
        <v>217</v>
      </c>
      <c r="S15" s="4" t="s">
        <v>217</v>
      </c>
      <c r="V15" s="30"/>
      <c r="W15" s="22">
        <v>40348064</v>
      </c>
      <c r="X15" s="31" t="str">
        <f>M33</f>
        <v>DBEF01BA</v>
      </c>
      <c r="Y15" t="str">
        <f t="shared" si="0"/>
        <v>0xDBEF01BA,</v>
      </c>
      <c r="Z15" s="32"/>
    </row>
    <row r="16" spans="1:26">
      <c r="A16" s="2" t="s">
        <v>170</v>
      </c>
      <c r="B16" s="3">
        <v>17</v>
      </c>
      <c r="C16" s="3">
        <v>12</v>
      </c>
      <c r="D16" s="3">
        <v>42</v>
      </c>
      <c r="E16" s="4" t="s">
        <v>161</v>
      </c>
      <c r="F16" s="4" t="s">
        <v>161</v>
      </c>
      <c r="G16" s="4" t="s">
        <v>161</v>
      </c>
      <c r="H16" s="4" t="s">
        <v>161</v>
      </c>
      <c r="I16" s="4" t="s">
        <v>161</v>
      </c>
      <c r="J16" s="4" t="s">
        <v>161</v>
      </c>
      <c r="K16" s="4" t="s">
        <v>161</v>
      </c>
      <c r="L16" s="4" t="s">
        <v>161</v>
      </c>
      <c r="M16" s="4" t="s">
        <v>161</v>
      </c>
      <c r="N16" s="4" t="s">
        <v>161</v>
      </c>
      <c r="O16" s="4" t="s">
        <v>161</v>
      </c>
      <c r="P16" s="4" t="s">
        <v>161</v>
      </c>
      <c r="Q16" s="4" t="s">
        <v>161</v>
      </c>
      <c r="R16" s="4" t="s">
        <v>161</v>
      </c>
      <c r="S16" s="4" t="s">
        <v>161</v>
      </c>
      <c r="V16" s="30">
        <v>7</v>
      </c>
      <c r="W16" s="22">
        <v>40348060</v>
      </c>
      <c r="X16" s="31" t="str">
        <f>L34</f>
        <v>11217A0C</v>
      </c>
      <c r="Y16" t="str">
        <f t="shared" si="0"/>
        <v>0x11217A0C,</v>
      </c>
      <c r="Z16" s="32" t="s">
        <v>169</v>
      </c>
    </row>
    <row r="17" spans="1:26">
      <c r="A17" s="2" t="s">
        <v>171</v>
      </c>
      <c r="B17" s="3">
        <v>11</v>
      </c>
      <c r="C17" s="3">
        <v>7</v>
      </c>
      <c r="D17" s="3">
        <v>20</v>
      </c>
      <c r="E17" s="4" t="s">
        <v>158</v>
      </c>
      <c r="F17" s="4">
        <v>20</v>
      </c>
      <c r="G17" s="4" t="s">
        <v>158</v>
      </c>
      <c r="H17" s="4">
        <v>20</v>
      </c>
      <c r="I17" s="4" t="s">
        <v>158</v>
      </c>
      <c r="J17" s="4">
        <v>20</v>
      </c>
      <c r="K17" s="4" t="s">
        <v>158</v>
      </c>
      <c r="L17" s="4">
        <v>20</v>
      </c>
      <c r="M17" s="4" t="s">
        <v>158</v>
      </c>
      <c r="N17" s="4">
        <v>20</v>
      </c>
      <c r="O17" s="4" t="s">
        <v>158</v>
      </c>
      <c r="P17" s="4">
        <v>20</v>
      </c>
      <c r="Q17" s="4" t="s">
        <v>158</v>
      </c>
      <c r="R17" s="4">
        <v>20</v>
      </c>
      <c r="S17" s="4" t="s">
        <v>158</v>
      </c>
      <c r="V17" s="30"/>
      <c r="W17" s="22">
        <v>40348064</v>
      </c>
      <c r="X17" s="31" t="str">
        <f>L33</f>
        <v>DBEF0258</v>
      </c>
      <c r="Y17" t="str">
        <f t="shared" si="0"/>
        <v>0xDBEF0258,</v>
      </c>
      <c r="Z17" s="32"/>
    </row>
    <row r="18" spans="1:26">
      <c r="A18" s="2" t="s">
        <v>173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11217A0C</v>
      </c>
      <c r="Y18" t="str">
        <f t="shared" si="0"/>
        <v>0x11217A0C,</v>
      </c>
      <c r="Z18" s="32" t="s">
        <v>172</v>
      </c>
    </row>
    <row r="19" spans="1:26">
      <c r="A19" s="2" t="s">
        <v>174</v>
      </c>
      <c r="B19" s="3">
        <v>2</v>
      </c>
      <c r="C19" s="3">
        <v>0</v>
      </c>
      <c r="D19" s="3">
        <v>3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DBEF4210</v>
      </c>
      <c r="Y19" t="str">
        <f t="shared" si="0"/>
        <v>0xDBEF4210,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11217A0C</v>
      </c>
      <c r="Y20" t="str">
        <f t="shared" si="0"/>
        <v>0x11217A0C,</v>
      </c>
      <c r="Z20" s="32" t="s">
        <v>175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DBEF8270</v>
      </c>
      <c r="Y21" t="str">
        <f t="shared" si="0"/>
        <v>0xDBEF8270,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176</v>
      </c>
      <c r="W22" s="22">
        <v>40348060</v>
      </c>
      <c r="X22" s="31" t="str">
        <f>I34</f>
        <v>11217A0C</v>
      </c>
      <c r="Y22" t="str">
        <f t="shared" si="0"/>
        <v>0x11217A0C,</v>
      </c>
      <c r="Z22" s="32" t="s">
        <v>177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DBEF82B0</v>
      </c>
      <c r="Y23" t="str">
        <f t="shared" si="0"/>
        <v>0xDBEF82B0,</v>
      </c>
      <c r="Z23" s="32"/>
    </row>
    <row r="24" spans="1:26">
      <c r="A24" s="12" t="s">
        <v>178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179</v>
      </c>
      <c r="W24" s="22">
        <v>40348060</v>
      </c>
      <c r="X24" s="31" t="str">
        <f>H34</f>
        <v>11217A0C</v>
      </c>
      <c r="Y24" t="str">
        <f t="shared" si="0"/>
        <v>0x11217A0C,</v>
      </c>
      <c r="Z24" s="32" t="s">
        <v>180</v>
      </c>
    </row>
    <row r="25" spans="1:26">
      <c r="A25" s="12" t="s">
        <v>181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DBEF8470</v>
      </c>
      <c r="Y25" t="str">
        <f t="shared" si="0"/>
        <v>0xDBEF8470,</v>
      </c>
      <c r="Z25" s="32"/>
    </row>
    <row r="26" spans="1:26">
      <c r="A26" s="12" t="s">
        <v>182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183</v>
      </c>
      <c r="W26" s="22">
        <v>40348060</v>
      </c>
      <c r="X26" s="31" t="str">
        <f>G34</f>
        <v>11217A0C</v>
      </c>
      <c r="Y26" t="str">
        <f t="shared" si="0"/>
        <v>0x11217A0C,</v>
      </c>
      <c r="Z26" s="32" t="s">
        <v>184</v>
      </c>
    </row>
    <row r="27" spans="1:26">
      <c r="A27" s="15" t="s">
        <v>185</v>
      </c>
      <c r="V27" s="30"/>
      <c r="W27" s="22">
        <v>40348064</v>
      </c>
      <c r="X27" s="31" t="str">
        <f>G33</f>
        <v>DBEFC3B6</v>
      </c>
      <c r="Y27" t="str">
        <f t="shared" si="0"/>
        <v>0xDBEFC3B6,</v>
      </c>
      <c r="Z27" s="32"/>
    </row>
    <row r="28" spans="22:26">
      <c r="V28" s="30" t="s">
        <v>186</v>
      </c>
      <c r="W28" s="22">
        <v>40348060</v>
      </c>
      <c r="X28" s="31" t="str">
        <f>F34</f>
        <v>11217A0C</v>
      </c>
      <c r="Y28" t="str">
        <f t="shared" si="0"/>
        <v>0x11217A0C,</v>
      </c>
      <c r="Z28" s="32" t="s">
        <v>187</v>
      </c>
    </row>
    <row r="29" spans="22:26">
      <c r="V29" s="30"/>
      <c r="W29" s="22">
        <v>40348064</v>
      </c>
      <c r="X29" s="31" t="str">
        <f>F33</f>
        <v>DBEFC596</v>
      </c>
      <c r="Y29" t="str">
        <f t="shared" si="0"/>
        <v>0xDBEFC596,</v>
      </c>
      <c r="Z29" s="32"/>
    </row>
    <row r="30" spans="22:26">
      <c r="V30" s="30" t="s">
        <v>188</v>
      </c>
      <c r="W30" s="22">
        <v>40348060</v>
      </c>
      <c r="X30" s="31" t="str">
        <f>E34</f>
        <v>11217A0C</v>
      </c>
      <c r="Y30" t="str">
        <f t="shared" si="0"/>
        <v>0x11217A0C,</v>
      </c>
      <c r="Z30" s="32" t="s">
        <v>189</v>
      </c>
    </row>
    <row r="31" spans="1:26">
      <c r="A31" t="s">
        <v>190</v>
      </c>
      <c r="V31" s="30"/>
      <c r="W31" s="22">
        <v>40348064</v>
      </c>
      <c r="X31" s="31" t="str">
        <f>E33</f>
        <v>C1E5C7FF</v>
      </c>
      <c r="Y31" t="str">
        <f t="shared" si="0"/>
        <v>0xC1E5C7FF,</v>
      </c>
      <c r="Z31" s="32"/>
    </row>
    <row r="32" spans="1:26">
      <c r="A32" s="16" t="s">
        <v>191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192</v>
      </c>
      <c r="W32" s="22">
        <v>40348060</v>
      </c>
      <c r="X32" s="31" t="str">
        <f>D34</f>
        <v>19BEAA0B</v>
      </c>
      <c r="Y32" t="str">
        <f t="shared" si="0"/>
        <v>0x19BEAA0B,</v>
      </c>
      <c r="Z32" s="32" t="s">
        <v>193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C1E1C7FF</v>
      </c>
      <c r="E33" s="18" t="str">
        <f>DEC2HEX(POWER(2,$C12-32)*E12+POWER(2,$C11-32)*E11+POWER(2,$C10-32)*E10+POWER(2,$C9-32)*E9+POWER(2,$C8-32)*E8+POWER(2,$C7-32)*E7+POWER(2,$C6-32)*E6+POWER(2,$C5-32)*E5+POWER(2,$C4-32)*E4+POWER(2,$C3-32)*E3+POWER(2,$C2-32)*E2)</f>
        <v>C1E5C7FF</v>
      </c>
      <c r="F33" s="18" t="str">
        <f>DEC2HEX(POWER(2,$C12-32)*F12+POWER(2,$C11-32)*F11+POWER(2,$C10-32)*F10+POWER(2,$C9-32)*F9+POWER(2,$C8-32)*F8+POWER(2,$C7-32)*F7+POWER(2,$C6-32)*F6+POWER(2,$C5-32)*F5+POWER(2,$C4-32)*F4+POWER(2,$C3-32)*F3+POWER(2,$C2-32)*F2)</f>
        <v>DBEFC596</v>
      </c>
      <c r="G33" s="18" t="str">
        <f>DEC2HEX(POWER(2,$C12-32)*G12+POWER(2,$C11-32)*G11+POWER(2,$C10-32)*G10+POWER(2,$C9-32)*G9+POWER(2,$C8-32)*G8+POWER(2,$C7-32)*G7+POWER(2,$C6-32)*G6+POWER(2,$C5-32)*G5+POWER(2,$C4-32)*G4+POWER(2,$C3-32)*G3+POWER(2,$C2-32)*G2)</f>
        <v>DBEFC3B6</v>
      </c>
      <c r="H33" s="18" t="str">
        <f>DEC2HEX(POWER(2,$C12-32)*H12+POWER(2,$C11-32)*H11+POWER(2,$C10-32)*H10+POWER(2,$C9-32)*H9+POWER(2,$C8-32)*H8+POWER(2,$C7-32)*H7+POWER(2,$C6-32)*H6+POWER(2,$C5-32)*H5+POWER(2,$C4-32)*H4+POWER(2,$C3-32)*H3+POWER(2,$C2-32)*H2)</f>
        <v>DBEF8470</v>
      </c>
      <c r="I33" s="18" t="str">
        <f>DEC2HEX(POWER(2,$C12-32)*I12+POWER(2,$C11-32)*I11+POWER(2,$C10-32)*I10+POWER(2,$C9-32)*I9+POWER(2,$C8-32)*I8+POWER(2,$C7-32)*I7+POWER(2,$C6-32)*I6+POWER(2,$C5-32)*I5+POWER(2,$C4-32)*I4+POWER(2,$C3-32)*I3+POWER(2,$C2-32)*I2)</f>
        <v>DBEF82B0</v>
      </c>
      <c r="J33" s="18" t="str">
        <f>DEC2HEX(POWER(2,$C12-32)*J12+POWER(2,$C11-32)*J11+POWER(2,$C10-32)*J10+POWER(2,$C9-32)*J9+POWER(2,$C8-32)*J8+POWER(2,$C7-32)*J7+POWER(2,$C6-32)*J6+POWER(2,$C5-32)*J5+POWER(2,$C4-32)*J4+POWER(2,$C3-32)*J3+POWER(2,$C2-32)*J2)</f>
        <v>DBEF8270</v>
      </c>
      <c r="K33" s="18" t="str">
        <f>DEC2HEX(POWER(2,$C12-32)*K12+POWER(2,$C11-32)*K11+POWER(2,$C10-32)*K10+POWER(2,$C9-32)*K9+POWER(2,$C8-32)*K8+POWER(2,$C7-32)*K7+POWER(2,$C6-32)*K6+POWER(2,$C5-32)*K5+POWER(2,$C4-32)*K4+POWER(2,$C3-32)*K3+POWER(2,$C2-32)*K2)</f>
        <v>DBEF4210</v>
      </c>
      <c r="L33" s="18" t="str">
        <f>DEC2HEX(POWER(2,$C12-32)*L12+POWER(2,$C11-32)*L11+POWER(2,$C10-32)*L10+POWER(2,$C9-32)*L9+POWER(2,$C8-32)*L8+POWER(2,$C7-32)*L7+POWER(2,$C6-32)*L6+POWER(2,$C5-32)*L5+POWER(2,$C4-32)*L4+POWER(2,$C3-32)*L3+POWER(2,$C2-32)*L2)</f>
        <v>DBEF0258</v>
      </c>
      <c r="M33" s="18" t="str">
        <f>DEC2HEX(POWER(2,$C12-32)*M12+POWER(2,$C11-32)*M11+POWER(2,$C10-32)*M10+POWER(2,$C9-32)*M9+POWER(2,$C8-32)*M8+POWER(2,$C7-32)*M7+POWER(2,$C6-32)*M6+POWER(2,$C5-32)*M5+POWER(2,$C4-32)*M4+POWER(2,$C3-32)*M3+POWER(2,$C2-32)*M2)</f>
        <v>DBEF01BA</v>
      </c>
      <c r="N33" s="18" t="str">
        <f>DEC2HEX(POWER(2,$C12-32)*N12+POWER(2,$C11-32)*N11+POWER(2,$C10-32)*N10+POWER(2,$C9-32)*N9+POWER(2,$C8-32)*N8+POWER(2,$C7-32)*N7+POWER(2,$C6-32)*N6+POWER(2,$C5-32)*N5+POWER(2,$C4-32)*N4+POWER(2,$C3-32)*N3+POWER(2,$C2-32)*N2)</f>
        <v>DBEEC152</v>
      </c>
      <c r="O33" s="18" t="str">
        <f>DEC2HEX(POWER(2,$C12-32)*O12+POWER(2,$C11-32)*O11+POWER(2,$C10-32)*O10+POWER(2,$C9-32)*O9+POWER(2,$C8-32)*O8+POWER(2,$C7-32)*O7+POWER(2,$C6-32)*O6+POWER(2,$C5-32)*O5+POWER(2,$C4-32)*O4+POWER(2,$C3-32)*O3+POWER(2,$C2-32)*O2)</f>
        <v>DBEE81B0</v>
      </c>
      <c r="P33" s="18" t="str">
        <f>DEC2HEX(POWER(2,$C12-32)*P12+POWER(2,$C11-32)*P11+POWER(2,$C10-32)*P10+POWER(2,$C9-32)*P9+POWER(2,$C8-32)*P8+POWER(2,$C7-32)*P7+POWER(2,$C6-32)*P6+POWER(2,$C5-32)*P5+POWER(2,$C4-32)*P4+POWER(2,$C3-32)*P3+POWER(2,$C2-32)*P2)</f>
        <v>DBEE812F</v>
      </c>
      <c r="Q33" s="18" t="str">
        <f>DEC2HEX(POWER(2,$C12-32)*Q12+POWER(2,$C11-32)*Q11+POWER(2,$C10-32)*Q10+POWER(2,$C9-32)*Q9+POWER(2,$C8-32)*Q8+POWER(2,$C7-32)*Q7+POWER(2,$C6-32)*Q6+POWER(2,$C5-32)*Q5+POWER(2,$C4-32)*Q4+POWER(2,$C3-32)*Q3+POWER(2,$C2-32)*Q2)</f>
        <v>DBEE4216</v>
      </c>
      <c r="R33" s="18" t="str">
        <f>DEC2HEX(POWER(2,$C12-32)*R12+POWER(2,$C11-32)*R11+POWER(2,$C10-32)*R10+POWER(2,$C9-32)*R9+POWER(2,$C8-32)*R8+POWER(2,$C7-32)*R7+POWER(2,$C6-32)*R6+POWER(2,$C5-32)*R5+POWER(2,$C4-32)*R4+POWER(2,$C3-32)*R3+POWER(2,$C2-32)*R2)</f>
        <v>DBEE4196</v>
      </c>
      <c r="S33" s="18" t="str">
        <f>DEC2HEX(POWER(2,$C12-32)*S12+POWER(2,$C11-32)*S11+POWER(2,$C10-32)*S10+POWER(2,$C9-32)*S9+POWER(2,$C8-32)*S8+POWER(2,$C7-32)*S7+POWER(2,$C6-32)*S6+POWER(2,$C5-32)*S5+POWER(2,$C4-32)*S4+POWER(2,$C3-32)*S3+POWER(2,$C2-32)*S2)</f>
        <v>DBEE4136</v>
      </c>
      <c r="V33" s="29"/>
      <c r="W33" s="22">
        <v>40348064</v>
      </c>
      <c r="X33" s="31" t="str">
        <f>D33</f>
        <v>C1E1C7FF</v>
      </c>
      <c r="Y33" t="str">
        <f t="shared" si="0"/>
        <v>0xC1E1C7FF,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19BEAA0B</v>
      </c>
      <c r="E34" s="18" t="str">
        <f>DEC2HEX(POWER(2,$C20)*E20+POWER(2,$C19)*E19+POWER(2,$C18)*E18+POWER(2,$C17)*E17+POWER(2,$C16)*E16+POWER(2,$C15)*E15+POWER(2,$C14)*E14+POWER(2,$C13)*E13)</f>
        <v>11217A0C</v>
      </c>
      <c r="F34" s="18" t="str">
        <f>DEC2HEX(POWER(2,$C20)*F20+POWER(2,$C19)*F19+POWER(2,$C18)*F18+POWER(2,$C17)*F17+POWER(2,$C16)*F16+POWER(2,$C15)*F15+POWER(2,$C14)*F14+POWER(2,$C13)*F13)</f>
        <v>11217A0C</v>
      </c>
      <c r="G34" s="18" t="str">
        <f>DEC2HEX(POWER(2,$C20)*G20+POWER(2,$C19)*G19+POWER(2,$C18)*G18+POWER(2,$C17)*G17+POWER(2,$C16)*G16+POWER(2,$C15)*G15+POWER(2,$C14)*G14+POWER(2,$C13)*G13)</f>
        <v>11217A0C</v>
      </c>
      <c r="H34" s="18" t="str">
        <f>DEC2HEX(POWER(2,$C20)*H20+POWER(2,$C19)*H19+POWER(2,$C18)*H18+POWER(2,$C17)*H17+POWER(2,$C16)*H16+POWER(2,$C15)*H15+POWER(2,$C14)*H14+POWER(2,$C13)*H13)</f>
        <v>11217A0C</v>
      </c>
      <c r="I34" s="18" t="str">
        <f>DEC2HEX(POWER(2,$C20)*I20+POWER(2,$C19)*I19+POWER(2,$C18)*I18+POWER(2,$C17)*I17+POWER(2,$C16)*I16+POWER(2,$C15)*I15+POWER(2,$C14)*I14+POWER(2,$C13)*I13)</f>
        <v>11217A0C</v>
      </c>
      <c r="J34" s="18" t="str">
        <f>DEC2HEX(POWER(2,$C20)*J20+POWER(2,$C19)*J19+POWER(2,$C18)*J18+POWER(2,$C17)*J17+POWER(2,$C16)*J16+POWER(2,$C15)*J15+POWER(2,$C14)*J14+POWER(2,$C13)*J13)</f>
        <v>11217A0C</v>
      </c>
      <c r="K34" s="18" t="str">
        <f>DEC2HEX(POWER(2,$C20)*K20+POWER(2,$C19)*K19+POWER(2,$C18)*K18+POWER(2,$C17)*K17+POWER(2,$C16)*K16+POWER(2,$C15)*K15+POWER(2,$C14)*K14+POWER(2,$C13)*K13)</f>
        <v>11217A0C</v>
      </c>
      <c r="L34" s="18" t="str">
        <f>DEC2HEX(POWER(2,$C20)*L20+POWER(2,$C19)*L19+POWER(2,$C18)*L18+POWER(2,$C17)*L17+POWER(2,$C16)*L16+POWER(2,$C15)*L15+POWER(2,$C14)*L14+POWER(2,$C13)*L13)</f>
        <v>11217A0C</v>
      </c>
      <c r="M34" s="18" t="str">
        <f>DEC2HEX(POWER(2,$C20)*M20+POWER(2,$C19)*M19+POWER(2,$C18)*M18+POWER(2,$C17)*M17+POWER(2,$C16)*M16+POWER(2,$C15)*M15+POWER(2,$C14)*M14+POWER(2,$C13)*M13)</f>
        <v>11217A0C</v>
      </c>
      <c r="N34" s="18" t="str">
        <f>DEC2HEX(POWER(2,$C20)*N20+POWER(2,$C19)*N19+POWER(2,$C18)*N18+POWER(2,$C17)*N17+POWER(2,$C16)*N16+POWER(2,$C15)*N15+POWER(2,$C14)*N14+POWER(2,$C13)*N13)</f>
        <v>11217A0C</v>
      </c>
      <c r="O34" s="18" t="str">
        <f>DEC2HEX(POWER(2,$C20)*O20+POWER(2,$C19)*O19+POWER(2,$C18)*O18+POWER(2,$C17)*O17+POWER(2,$C16)*O16+POWER(2,$C15)*O15+POWER(2,$C14)*O14+POWER(2,$C13)*O13)</f>
        <v>11217A0C</v>
      </c>
      <c r="P34" s="18" t="str">
        <f>DEC2HEX(POWER(2,$C20)*P20+POWER(2,$C19)*P19+POWER(2,$C18)*P18+POWER(2,$C17)*P17+POWER(2,$C16)*P16+POWER(2,$C15)*P15+POWER(2,$C14)*P14+POWER(2,$C13)*P13)</f>
        <v>11217A0C</v>
      </c>
      <c r="Q34" s="18" t="str">
        <f>DEC2HEX(POWER(2,$C20)*Q20+POWER(2,$C19)*Q19+POWER(2,$C18)*Q18+POWER(2,$C17)*Q17+POWER(2,$C16)*Q16+POWER(2,$C15)*Q15+POWER(2,$C14)*Q14+POWER(2,$C13)*Q13)</f>
        <v>11217A0C</v>
      </c>
      <c r="R34" s="18" t="str">
        <f>DEC2HEX(POWER(2,$C20)*R20+POWER(2,$C19)*R19+POWER(2,$C18)*R18+POWER(2,$C17)*R17+POWER(2,$C16)*R16+POWER(2,$C15)*R15+POWER(2,$C14)*R14+POWER(2,$C13)*R13)</f>
        <v>11217A0C</v>
      </c>
      <c r="S34" s="18" t="str">
        <f>DEC2HEX(POWER(2,$C20)*S20+POWER(2,$C19)*S19+POWER(2,$C18)*S18+POWER(2,$C17)*S17+POWER(2,$C16)*S16+POWER(2,$C15)*S15+POWER(2,$C14)*S14+POWER(2,$C13)*S13)</f>
        <v>11217A0C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F10" sqref="F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208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13217A0C</v>
      </c>
      <c r="Y2" t="str">
        <f t="shared" ref="Y2:Y33" si="0">"0x"&amp;RIGHT("00000000"&amp;X2,8)&amp;","</f>
        <v>0x13217A0C,</v>
      </c>
      <c r="Z2" s="32" t="s">
        <v>142</v>
      </c>
    </row>
    <row r="3" spans="1:26">
      <c r="A3" s="2" t="s">
        <v>209</v>
      </c>
      <c r="B3" s="3">
        <v>61</v>
      </c>
      <c r="C3" s="3">
        <v>57</v>
      </c>
      <c r="D3" s="3">
        <v>0</v>
      </c>
      <c r="E3" s="4">
        <v>0</v>
      </c>
      <c r="F3" s="4">
        <v>13</v>
      </c>
      <c r="G3" s="4">
        <v>13</v>
      </c>
      <c r="H3" s="4">
        <v>13</v>
      </c>
      <c r="I3" s="4" t="s">
        <v>226</v>
      </c>
      <c r="J3" s="4" t="s">
        <v>226</v>
      </c>
      <c r="K3" s="4" t="s">
        <v>226</v>
      </c>
      <c r="L3" s="4" t="s">
        <v>226</v>
      </c>
      <c r="M3" s="4" t="s">
        <v>226</v>
      </c>
      <c r="N3" s="4" t="s">
        <v>226</v>
      </c>
      <c r="O3" s="4" t="s">
        <v>226</v>
      </c>
      <c r="P3" s="4" t="s">
        <v>226</v>
      </c>
      <c r="Q3" s="4" t="s">
        <v>226</v>
      </c>
      <c r="R3" s="4" t="s">
        <v>226</v>
      </c>
      <c r="S3" s="4" t="s">
        <v>226</v>
      </c>
      <c r="V3" s="30"/>
      <c r="W3" s="22">
        <v>40348064</v>
      </c>
      <c r="X3" s="31" t="str">
        <f>S33</f>
        <v>DBEE4136</v>
      </c>
      <c r="Y3" t="str">
        <f t="shared" si="0"/>
        <v>0xDBEE4136,</v>
      </c>
      <c r="Z3" s="32"/>
    </row>
    <row r="4" spans="1:26">
      <c r="A4" s="2" t="s">
        <v>210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13217A0C</v>
      </c>
      <c r="Y4" t="str">
        <f t="shared" si="0"/>
        <v>0x13217A0C,</v>
      </c>
      <c r="Z4" s="32" t="s">
        <v>146</v>
      </c>
    </row>
    <row r="5" spans="1:26">
      <c r="A5" s="2" t="s">
        <v>211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DBEE4196</v>
      </c>
      <c r="Y5" t="str">
        <f t="shared" si="0"/>
        <v>0xDBEE4196,</v>
      </c>
      <c r="Z5" s="32"/>
    </row>
    <row r="6" spans="1:26">
      <c r="A6" s="2" t="s">
        <v>212</v>
      </c>
      <c r="B6" s="3">
        <v>52</v>
      </c>
      <c r="C6" s="3">
        <v>49</v>
      </c>
      <c r="D6" s="3">
        <v>0</v>
      </c>
      <c r="E6" s="4">
        <v>2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13217A0C</v>
      </c>
      <c r="Y6" t="str">
        <f t="shared" si="0"/>
        <v>0x13217A0C,</v>
      </c>
      <c r="Z6" s="32" t="s">
        <v>149</v>
      </c>
    </row>
    <row r="7" spans="1:26">
      <c r="A7" s="2" t="s">
        <v>213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DBEE4216</v>
      </c>
      <c r="Y7" t="str">
        <f t="shared" si="0"/>
        <v>0xDBEE4216,</v>
      </c>
      <c r="Z7" s="3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13217A0C</v>
      </c>
      <c r="Y8" t="str">
        <f t="shared" si="0"/>
        <v>0x13217A0C,</v>
      </c>
      <c r="Z8" s="3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DBEE812F</v>
      </c>
      <c r="Y9" t="str">
        <f t="shared" si="0"/>
        <v>0xDBEE812F,</v>
      </c>
      <c r="Z9" s="32"/>
    </row>
    <row r="10" spans="1:26">
      <c r="A10" s="2" t="s">
        <v>156</v>
      </c>
      <c r="B10" s="3">
        <v>42</v>
      </c>
      <c r="C10" s="3">
        <v>37</v>
      </c>
      <c r="D10" s="3">
        <v>63</v>
      </c>
      <c r="E10" s="5">
        <v>63</v>
      </c>
      <c r="F10" s="6" t="s">
        <v>201</v>
      </c>
      <c r="G10" s="6" t="s">
        <v>207</v>
      </c>
      <c r="H10" s="5">
        <v>35</v>
      </c>
      <c r="I10" s="6" t="s">
        <v>216</v>
      </c>
      <c r="J10" s="5">
        <v>19</v>
      </c>
      <c r="K10" s="6" t="s">
        <v>76</v>
      </c>
      <c r="L10" s="5">
        <v>18</v>
      </c>
      <c r="M10" s="6" t="s">
        <v>159</v>
      </c>
      <c r="N10" s="5">
        <v>10</v>
      </c>
      <c r="O10" s="5">
        <v>12</v>
      </c>
      <c r="P10" s="5">
        <v>9</v>
      </c>
      <c r="Q10" s="5">
        <v>16</v>
      </c>
      <c r="R10" s="5">
        <v>12</v>
      </c>
      <c r="S10" s="5">
        <v>9</v>
      </c>
      <c r="V10" s="30">
        <v>4</v>
      </c>
      <c r="W10" s="22">
        <v>40348060</v>
      </c>
      <c r="X10" s="31" t="str">
        <f>O34</f>
        <v>13217A0C</v>
      </c>
      <c r="Y10" t="str">
        <f t="shared" si="0"/>
        <v>0x13217A0C,</v>
      </c>
      <c r="Z10" s="32" t="s">
        <v>155</v>
      </c>
    </row>
    <row r="11" spans="1:26">
      <c r="A11" s="2" t="s">
        <v>160</v>
      </c>
      <c r="B11" s="3">
        <v>36</v>
      </c>
      <c r="C11" s="3">
        <v>32</v>
      </c>
      <c r="D11" s="3">
        <v>31</v>
      </c>
      <c r="E11" s="5">
        <v>31</v>
      </c>
      <c r="F11" s="5">
        <v>22</v>
      </c>
      <c r="G11" s="5">
        <v>22</v>
      </c>
      <c r="H11" s="5">
        <v>16</v>
      </c>
      <c r="I11" s="5">
        <v>16</v>
      </c>
      <c r="J11" s="5">
        <v>16</v>
      </c>
      <c r="K11" s="5">
        <v>16</v>
      </c>
      <c r="L11" s="5">
        <v>24</v>
      </c>
      <c r="M11" s="5">
        <v>26</v>
      </c>
      <c r="N11" s="5">
        <v>18</v>
      </c>
      <c r="O11" s="6" t="s">
        <v>112</v>
      </c>
      <c r="P11" s="5">
        <v>15</v>
      </c>
      <c r="Q11" s="5">
        <v>22</v>
      </c>
      <c r="R11" s="5">
        <v>22</v>
      </c>
      <c r="S11" s="5">
        <v>22</v>
      </c>
      <c r="V11" s="30"/>
      <c r="W11" s="22">
        <v>40348064</v>
      </c>
      <c r="X11" s="31" t="str">
        <f>O33</f>
        <v>DBEE8195</v>
      </c>
      <c r="Y11" t="str">
        <f t="shared" si="0"/>
        <v>0xDBEE8195,</v>
      </c>
      <c r="Z11" s="32"/>
    </row>
    <row r="12" spans="1:26">
      <c r="A12" s="2" t="s">
        <v>164</v>
      </c>
      <c r="B12" s="3">
        <v>31</v>
      </c>
      <c r="C12" s="3">
        <v>29</v>
      </c>
      <c r="D12" s="3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13217A0C</v>
      </c>
      <c r="Y12" t="str">
        <f t="shared" si="0"/>
        <v>0x13217A0C,</v>
      </c>
      <c r="Z12" s="32" t="s">
        <v>163</v>
      </c>
    </row>
    <row r="13" spans="1:26">
      <c r="A13" s="2" t="s">
        <v>165</v>
      </c>
      <c r="B13" s="3">
        <v>28</v>
      </c>
      <c r="C13" s="3">
        <v>27</v>
      </c>
      <c r="D13" s="3">
        <v>3</v>
      </c>
      <c r="E13" s="7">
        <v>2</v>
      </c>
      <c r="F13" s="7">
        <v>2</v>
      </c>
      <c r="G13" s="7">
        <v>2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DBEEC152</v>
      </c>
      <c r="Y13" t="str">
        <f t="shared" si="0"/>
        <v>0xDBEEC152,</v>
      </c>
      <c r="Z13" s="32"/>
    </row>
    <row r="14" spans="1:26">
      <c r="A14" s="2" t="s">
        <v>167</v>
      </c>
      <c r="B14" s="3">
        <v>26</v>
      </c>
      <c r="C14" s="3">
        <v>24</v>
      </c>
      <c r="D14" s="3">
        <v>3</v>
      </c>
      <c r="E14" s="7" t="s">
        <v>80</v>
      </c>
      <c r="F14" s="7" t="s">
        <v>80</v>
      </c>
      <c r="G14" s="7" t="s">
        <v>80</v>
      </c>
      <c r="H14" s="7" t="s">
        <v>80</v>
      </c>
      <c r="I14" s="7" t="s">
        <v>80</v>
      </c>
      <c r="J14" s="7" t="s">
        <v>80</v>
      </c>
      <c r="K14" s="7" t="s">
        <v>80</v>
      </c>
      <c r="L14" s="7" t="s">
        <v>80</v>
      </c>
      <c r="M14" s="7" t="s">
        <v>80</v>
      </c>
      <c r="N14" s="7" t="s">
        <v>80</v>
      </c>
      <c r="O14" s="7" t="s">
        <v>80</v>
      </c>
      <c r="P14" s="7" t="s">
        <v>80</v>
      </c>
      <c r="Q14" s="7" t="s">
        <v>80</v>
      </c>
      <c r="R14" s="7" t="s">
        <v>80</v>
      </c>
      <c r="S14" s="7" t="s">
        <v>80</v>
      </c>
      <c r="V14" s="30">
        <v>6</v>
      </c>
      <c r="W14" s="22">
        <v>40348060</v>
      </c>
      <c r="X14" s="31" t="str">
        <f>M34</f>
        <v>13217A0C</v>
      </c>
      <c r="Y14" t="str">
        <f t="shared" si="0"/>
        <v>0x13217A0C,</v>
      </c>
      <c r="Z14" s="32" t="s">
        <v>166</v>
      </c>
    </row>
    <row r="15" spans="1:26">
      <c r="A15" s="2" t="s">
        <v>168</v>
      </c>
      <c r="B15" s="3">
        <v>23</v>
      </c>
      <c r="C15" s="3">
        <v>18</v>
      </c>
      <c r="D15" s="3">
        <v>47</v>
      </c>
      <c r="E15" s="4" t="s">
        <v>217</v>
      </c>
      <c r="F15" s="4" t="s">
        <v>217</v>
      </c>
      <c r="G15" s="4" t="s">
        <v>217</v>
      </c>
      <c r="H15" s="4" t="s">
        <v>217</v>
      </c>
      <c r="I15" s="4" t="s">
        <v>217</v>
      </c>
      <c r="J15" s="4" t="s">
        <v>217</v>
      </c>
      <c r="K15" s="4" t="s">
        <v>217</v>
      </c>
      <c r="L15" s="4" t="s">
        <v>217</v>
      </c>
      <c r="M15" s="4" t="s">
        <v>217</v>
      </c>
      <c r="N15" s="4" t="s">
        <v>217</v>
      </c>
      <c r="O15" s="4" t="s">
        <v>217</v>
      </c>
      <c r="P15" s="4" t="s">
        <v>217</v>
      </c>
      <c r="Q15" s="4" t="s">
        <v>217</v>
      </c>
      <c r="R15" s="4" t="s">
        <v>217</v>
      </c>
      <c r="S15" s="4" t="s">
        <v>217</v>
      </c>
      <c r="V15" s="30"/>
      <c r="W15" s="22">
        <v>40348064</v>
      </c>
      <c r="X15" s="31" t="str">
        <f>M33</f>
        <v>DBEF019A</v>
      </c>
      <c r="Y15" t="str">
        <f t="shared" si="0"/>
        <v>0xDBEF019A,</v>
      </c>
      <c r="Z15" s="32"/>
    </row>
    <row r="16" spans="1:26">
      <c r="A16" s="2" t="s">
        <v>170</v>
      </c>
      <c r="B16" s="3">
        <v>17</v>
      </c>
      <c r="C16" s="3">
        <v>12</v>
      </c>
      <c r="D16" s="3">
        <v>42</v>
      </c>
      <c r="E16" s="4" t="s">
        <v>161</v>
      </c>
      <c r="F16" s="4" t="s">
        <v>161</v>
      </c>
      <c r="G16" s="4" t="s">
        <v>161</v>
      </c>
      <c r="H16" s="4" t="s">
        <v>161</v>
      </c>
      <c r="I16" s="4" t="s">
        <v>161</v>
      </c>
      <c r="J16" s="4" t="s">
        <v>161</v>
      </c>
      <c r="K16" s="4" t="s">
        <v>161</v>
      </c>
      <c r="L16" s="4" t="s">
        <v>161</v>
      </c>
      <c r="M16" s="4" t="s">
        <v>161</v>
      </c>
      <c r="N16" s="4" t="s">
        <v>161</v>
      </c>
      <c r="O16" s="4" t="s">
        <v>161</v>
      </c>
      <c r="P16" s="4" t="s">
        <v>161</v>
      </c>
      <c r="Q16" s="4" t="s">
        <v>161</v>
      </c>
      <c r="R16" s="4" t="s">
        <v>161</v>
      </c>
      <c r="S16" s="4" t="s">
        <v>161</v>
      </c>
      <c r="V16" s="30">
        <v>7</v>
      </c>
      <c r="W16" s="22">
        <v>40348060</v>
      </c>
      <c r="X16" s="31" t="str">
        <f>L34</f>
        <v>13217A0C</v>
      </c>
      <c r="Y16" t="str">
        <f t="shared" si="0"/>
        <v>0x13217A0C,</v>
      </c>
      <c r="Z16" s="32" t="s">
        <v>169</v>
      </c>
    </row>
    <row r="17" spans="1:26">
      <c r="A17" s="2" t="s">
        <v>171</v>
      </c>
      <c r="B17" s="3">
        <v>11</v>
      </c>
      <c r="C17" s="3">
        <v>7</v>
      </c>
      <c r="D17" s="3">
        <v>20</v>
      </c>
      <c r="E17" s="4" t="s">
        <v>158</v>
      </c>
      <c r="F17" s="4">
        <v>20</v>
      </c>
      <c r="G17" s="4" t="s">
        <v>158</v>
      </c>
      <c r="H17" s="4">
        <v>20</v>
      </c>
      <c r="I17" s="4" t="s">
        <v>158</v>
      </c>
      <c r="J17" s="4">
        <v>20</v>
      </c>
      <c r="K17" s="4" t="s">
        <v>158</v>
      </c>
      <c r="L17" s="4">
        <v>20</v>
      </c>
      <c r="M17" s="4" t="s">
        <v>158</v>
      </c>
      <c r="N17" s="4">
        <v>20</v>
      </c>
      <c r="O17" s="4" t="s">
        <v>158</v>
      </c>
      <c r="P17" s="4">
        <v>20</v>
      </c>
      <c r="Q17" s="4" t="s">
        <v>158</v>
      </c>
      <c r="R17" s="4">
        <v>20</v>
      </c>
      <c r="S17" s="4" t="s">
        <v>158</v>
      </c>
      <c r="V17" s="30"/>
      <c r="W17" s="22">
        <v>40348064</v>
      </c>
      <c r="X17" s="31" t="str">
        <f>L33</f>
        <v>DBEF0258</v>
      </c>
      <c r="Y17" t="str">
        <f t="shared" si="0"/>
        <v>0xDBEF0258,</v>
      </c>
      <c r="Z17" s="32"/>
    </row>
    <row r="18" spans="1:26">
      <c r="A18" s="2" t="s">
        <v>173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13217A0C</v>
      </c>
      <c r="Y18" t="str">
        <f t="shared" si="0"/>
        <v>0x13217A0C,</v>
      </c>
      <c r="Z18" s="32" t="s">
        <v>172</v>
      </c>
    </row>
    <row r="19" spans="1:26">
      <c r="A19" s="2" t="s">
        <v>174</v>
      </c>
      <c r="B19" s="3">
        <v>2</v>
      </c>
      <c r="C19" s="3">
        <v>0</v>
      </c>
      <c r="D19" s="3">
        <v>3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DBEF41F0</v>
      </c>
      <c r="Y19" t="str">
        <f t="shared" si="0"/>
        <v>0xDBEF41F0,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13217A0C</v>
      </c>
      <c r="Y20" t="str">
        <f t="shared" si="0"/>
        <v>0x13217A0C,</v>
      </c>
      <c r="Z20" s="32" t="s">
        <v>175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DBEF8270</v>
      </c>
      <c r="Y21" t="str">
        <f t="shared" si="0"/>
        <v>0xDBEF8270,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176</v>
      </c>
      <c r="W22" s="22">
        <v>40348060</v>
      </c>
      <c r="X22" s="31" t="str">
        <f>I34</f>
        <v>13217A0C</v>
      </c>
      <c r="Y22" t="str">
        <f t="shared" si="0"/>
        <v>0x13217A0C,</v>
      </c>
      <c r="Z22" s="32" t="s">
        <v>177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DBEF8270</v>
      </c>
      <c r="Y23" t="str">
        <f t="shared" si="0"/>
        <v>0xDBEF8270,</v>
      </c>
      <c r="Z23" s="32"/>
    </row>
    <row r="24" spans="1:26">
      <c r="A24" s="12" t="s">
        <v>178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179</v>
      </c>
      <c r="W24" s="22">
        <v>40348060</v>
      </c>
      <c r="X24" s="31" t="str">
        <f>H34</f>
        <v>13217A0C</v>
      </c>
      <c r="Y24" t="str">
        <f t="shared" si="0"/>
        <v>0x13217A0C,</v>
      </c>
      <c r="Z24" s="32" t="s">
        <v>180</v>
      </c>
    </row>
    <row r="25" spans="1:26">
      <c r="A25" s="12" t="s">
        <v>181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DBEF8470</v>
      </c>
      <c r="Y25" t="str">
        <f t="shared" si="0"/>
        <v>0xDBEF8470,</v>
      </c>
      <c r="Z25" s="32"/>
    </row>
    <row r="26" spans="1:26">
      <c r="A26" s="12" t="s">
        <v>182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183</v>
      </c>
      <c r="W26" s="22">
        <v>40348060</v>
      </c>
      <c r="X26" s="31" t="str">
        <f>G34</f>
        <v>13217A0C</v>
      </c>
      <c r="Y26" t="str">
        <f t="shared" si="0"/>
        <v>0x13217A0C,</v>
      </c>
      <c r="Z26" s="32" t="s">
        <v>184</v>
      </c>
    </row>
    <row r="27" spans="1:26">
      <c r="A27" s="15" t="s">
        <v>185</v>
      </c>
      <c r="V27" s="30"/>
      <c r="W27" s="22">
        <v>40348064</v>
      </c>
      <c r="X27" s="31" t="str">
        <f>G33</f>
        <v>DBEFC356</v>
      </c>
      <c r="Y27" t="str">
        <f t="shared" si="0"/>
        <v>0xDBEFC356,</v>
      </c>
      <c r="Z27" s="32"/>
    </row>
    <row r="28" spans="22:26">
      <c r="V28" s="30" t="s">
        <v>186</v>
      </c>
      <c r="W28" s="22">
        <v>40348060</v>
      </c>
      <c r="X28" s="31" t="str">
        <f>F34</f>
        <v>13217A0C</v>
      </c>
      <c r="Y28" t="str">
        <f t="shared" si="0"/>
        <v>0x13217A0C,</v>
      </c>
      <c r="Z28" s="32" t="s">
        <v>187</v>
      </c>
    </row>
    <row r="29" spans="22:26">
      <c r="V29" s="30"/>
      <c r="W29" s="22">
        <v>40348064</v>
      </c>
      <c r="X29" s="31" t="str">
        <f>F33</f>
        <v>DBEFC4D6</v>
      </c>
      <c r="Y29" t="str">
        <f t="shared" si="0"/>
        <v>0xDBEFC4D6,</v>
      </c>
      <c r="Z29" s="32"/>
    </row>
    <row r="30" spans="22:26">
      <c r="V30" s="30" t="s">
        <v>188</v>
      </c>
      <c r="W30" s="22">
        <v>40348060</v>
      </c>
      <c r="X30" s="31" t="str">
        <f>E34</f>
        <v>13217A0C</v>
      </c>
      <c r="Y30" t="str">
        <f t="shared" si="0"/>
        <v>0x13217A0C,</v>
      </c>
      <c r="Z30" s="32" t="s">
        <v>189</v>
      </c>
    </row>
    <row r="31" spans="1:26">
      <c r="A31" t="s">
        <v>190</v>
      </c>
      <c r="V31" s="30"/>
      <c r="W31" s="22">
        <v>40348064</v>
      </c>
      <c r="X31" s="31" t="str">
        <f>E33</f>
        <v>C1E5C7FF</v>
      </c>
      <c r="Y31" t="str">
        <f t="shared" si="0"/>
        <v>0xC1E5C7FF,</v>
      </c>
      <c r="Z31" s="32"/>
    </row>
    <row r="32" spans="1:26">
      <c r="A32" s="16" t="s">
        <v>191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192</v>
      </c>
      <c r="W32" s="22">
        <v>40348060</v>
      </c>
      <c r="X32" s="31" t="str">
        <f>D34</f>
        <v>1BBEAA0B</v>
      </c>
      <c r="Y32" t="str">
        <f t="shared" si="0"/>
        <v>0x1BBEAA0B,</v>
      </c>
      <c r="Z32" s="32" t="s">
        <v>193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C1E1C7FF</v>
      </c>
      <c r="E33" s="18" t="str">
        <f>DEC2HEX(POWER(2,$C12-32)*E12+POWER(2,$C11-32)*E11+POWER(2,$C10-32)*E10+POWER(2,$C9-32)*E9+POWER(2,$C8-32)*E8+POWER(2,$C7-32)*E7+POWER(2,$C6-32)*E6+POWER(2,$C5-32)*E5+POWER(2,$C4-32)*E4+POWER(2,$C3-32)*E3+POWER(2,$C2-32)*E2)</f>
        <v>C1E5C7FF</v>
      </c>
      <c r="F33" s="18" t="str">
        <f>DEC2HEX(POWER(2,$C12-32)*F12+POWER(2,$C11-32)*F11+POWER(2,$C10-32)*F10+POWER(2,$C9-32)*F9+POWER(2,$C8-32)*F8+POWER(2,$C7-32)*F7+POWER(2,$C6-32)*F6+POWER(2,$C5-32)*F5+POWER(2,$C4-32)*F4+POWER(2,$C3-32)*F3+POWER(2,$C2-32)*F2)</f>
        <v>DBEFC4D6</v>
      </c>
      <c r="G33" s="18" t="str">
        <f>DEC2HEX(POWER(2,$C12-32)*G12+POWER(2,$C11-32)*G11+POWER(2,$C10-32)*G10+POWER(2,$C9-32)*G9+POWER(2,$C8-32)*G8+POWER(2,$C7-32)*G7+POWER(2,$C6-32)*G6+POWER(2,$C5-32)*G5+POWER(2,$C4-32)*G4+POWER(2,$C3-32)*G3+POWER(2,$C2-32)*G2)</f>
        <v>DBEFC356</v>
      </c>
      <c r="H33" s="18" t="str">
        <f>DEC2HEX(POWER(2,$C12-32)*H12+POWER(2,$C11-32)*H11+POWER(2,$C10-32)*H10+POWER(2,$C9-32)*H9+POWER(2,$C8-32)*H8+POWER(2,$C7-32)*H7+POWER(2,$C6-32)*H6+POWER(2,$C5-32)*H5+POWER(2,$C4-32)*H4+POWER(2,$C3-32)*H3+POWER(2,$C2-32)*H2)</f>
        <v>DBEF8470</v>
      </c>
      <c r="I33" s="18" t="str">
        <f>DEC2HEX(POWER(2,$C12-32)*I12+POWER(2,$C11-32)*I11+POWER(2,$C10-32)*I10+POWER(2,$C9-32)*I9+POWER(2,$C8-32)*I8+POWER(2,$C7-32)*I7+POWER(2,$C6-32)*I6+POWER(2,$C5-32)*I5+POWER(2,$C4-32)*I4+POWER(2,$C3-32)*I3+POWER(2,$C2-32)*I2)</f>
        <v>DBEF8270</v>
      </c>
      <c r="J33" s="18" t="str">
        <f>DEC2HEX(POWER(2,$C12-32)*J12+POWER(2,$C11-32)*J11+POWER(2,$C10-32)*J10+POWER(2,$C9-32)*J9+POWER(2,$C8-32)*J8+POWER(2,$C7-32)*J7+POWER(2,$C6-32)*J6+POWER(2,$C5-32)*J5+POWER(2,$C4-32)*J4+POWER(2,$C3-32)*J3+POWER(2,$C2-32)*J2)</f>
        <v>DBEF8270</v>
      </c>
      <c r="K33" s="18" t="str">
        <f>DEC2HEX(POWER(2,$C12-32)*K12+POWER(2,$C11-32)*K11+POWER(2,$C10-32)*K10+POWER(2,$C9-32)*K9+POWER(2,$C8-32)*K8+POWER(2,$C7-32)*K7+POWER(2,$C6-32)*K6+POWER(2,$C5-32)*K5+POWER(2,$C4-32)*K4+POWER(2,$C3-32)*K3+POWER(2,$C2-32)*K2)</f>
        <v>DBEF41F0</v>
      </c>
      <c r="L33" s="18" t="str">
        <f>DEC2HEX(POWER(2,$C12-32)*L12+POWER(2,$C11-32)*L11+POWER(2,$C10-32)*L10+POWER(2,$C9-32)*L9+POWER(2,$C8-32)*L8+POWER(2,$C7-32)*L7+POWER(2,$C6-32)*L6+POWER(2,$C5-32)*L5+POWER(2,$C4-32)*L4+POWER(2,$C3-32)*L3+POWER(2,$C2-32)*L2)</f>
        <v>DBEF0258</v>
      </c>
      <c r="M33" s="18" t="str">
        <f>DEC2HEX(POWER(2,$C12-32)*M12+POWER(2,$C11-32)*M11+POWER(2,$C10-32)*M10+POWER(2,$C9-32)*M9+POWER(2,$C8-32)*M8+POWER(2,$C7-32)*M7+POWER(2,$C6-32)*M6+POWER(2,$C5-32)*M5+POWER(2,$C4-32)*M4+POWER(2,$C3-32)*M3+POWER(2,$C2-32)*M2)</f>
        <v>DBEF019A</v>
      </c>
      <c r="N33" s="18" t="str">
        <f>DEC2HEX(POWER(2,$C12-32)*N12+POWER(2,$C11-32)*N11+POWER(2,$C10-32)*N10+POWER(2,$C9-32)*N9+POWER(2,$C8-32)*N8+POWER(2,$C7-32)*N7+POWER(2,$C6-32)*N6+POWER(2,$C5-32)*N5+POWER(2,$C4-32)*N4+POWER(2,$C3-32)*N3+POWER(2,$C2-32)*N2)</f>
        <v>DBEEC152</v>
      </c>
      <c r="O33" s="18" t="str">
        <f>DEC2HEX(POWER(2,$C12-32)*O12+POWER(2,$C11-32)*O11+POWER(2,$C10-32)*O10+POWER(2,$C9-32)*O9+POWER(2,$C8-32)*O8+POWER(2,$C7-32)*O7+POWER(2,$C6-32)*O6+POWER(2,$C5-32)*O5+POWER(2,$C4-32)*O4+POWER(2,$C3-32)*O3+POWER(2,$C2-32)*O2)</f>
        <v>DBEE8195</v>
      </c>
      <c r="P33" s="18" t="str">
        <f>DEC2HEX(POWER(2,$C12-32)*P12+POWER(2,$C11-32)*P11+POWER(2,$C10-32)*P10+POWER(2,$C9-32)*P9+POWER(2,$C8-32)*P8+POWER(2,$C7-32)*P7+POWER(2,$C6-32)*P6+POWER(2,$C5-32)*P5+POWER(2,$C4-32)*P4+POWER(2,$C3-32)*P3+POWER(2,$C2-32)*P2)</f>
        <v>DBEE812F</v>
      </c>
      <c r="Q33" s="18" t="str">
        <f>DEC2HEX(POWER(2,$C12-32)*Q12+POWER(2,$C11-32)*Q11+POWER(2,$C10-32)*Q10+POWER(2,$C9-32)*Q9+POWER(2,$C8-32)*Q8+POWER(2,$C7-32)*Q7+POWER(2,$C6-32)*Q6+POWER(2,$C5-32)*Q5+POWER(2,$C4-32)*Q4+POWER(2,$C3-32)*Q3+POWER(2,$C2-32)*Q2)</f>
        <v>DBEE4216</v>
      </c>
      <c r="R33" s="18" t="str">
        <f>DEC2HEX(POWER(2,$C12-32)*R12+POWER(2,$C11-32)*R11+POWER(2,$C10-32)*R10+POWER(2,$C9-32)*R9+POWER(2,$C8-32)*R8+POWER(2,$C7-32)*R7+POWER(2,$C6-32)*R6+POWER(2,$C5-32)*R5+POWER(2,$C4-32)*R4+POWER(2,$C3-32)*R3+POWER(2,$C2-32)*R2)</f>
        <v>DBEE4196</v>
      </c>
      <c r="S33" s="18" t="str">
        <f>DEC2HEX(POWER(2,$C12-32)*S12+POWER(2,$C11-32)*S11+POWER(2,$C10-32)*S10+POWER(2,$C9-32)*S9+POWER(2,$C8-32)*S8+POWER(2,$C7-32)*S7+POWER(2,$C6-32)*S6+POWER(2,$C5-32)*S5+POWER(2,$C4-32)*S4+POWER(2,$C3-32)*S3+POWER(2,$C2-32)*S2)</f>
        <v>DBEE4136</v>
      </c>
      <c r="V33" s="29"/>
      <c r="W33" s="22">
        <v>40348064</v>
      </c>
      <c r="X33" s="31" t="str">
        <f>D33</f>
        <v>C1E1C7FF</v>
      </c>
      <c r="Y33" t="str">
        <f t="shared" si="0"/>
        <v>0xC1E1C7FF,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1BBEAA0B</v>
      </c>
      <c r="E34" s="18" t="str">
        <f>DEC2HEX(POWER(2,$C20)*E20+POWER(2,$C19)*E19+POWER(2,$C18)*E18+POWER(2,$C17)*E17+POWER(2,$C16)*E16+POWER(2,$C15)*E15+POWER(2,$C14)*E14+POWER(2,$C13)*E13)</f>
        <v>13217A0C</v>
      </c>
      <c r="F34" s="18" t="str">
        <f>DEC2HEX(POWER(2,$C20)*F20+POWER(2,$C19)*F19+POWER(2,$C18)*F18+POWER(2,$C17)*F17+POWER(2,$C16)*F16+POWER(2,$C15)*F15+POWER(2,$C14)*F14+POWER(2,$C13)*F13)</f>
        <v>13217A0C</v>
      </c>
      <c r="G34" s="18" t="str">
        <f>DEC2HEX(POWER(2,$C20)*G20+POWER(2,$C19)*G19+POWER(2,$C18)*G18+POWER(2,$C17)*G17+POWER(2,$C16)*G16+POWER(2,$C15)*G15+POWER(2,$C14)*G14+POWER(2,$C13)*G13)</f>
        <v>13217A0C</v>
      </c>
      <c r="H34" s="18" t="str">
        <f>DEC2HEX(POWER(2,$C20)*H20+POWER(2,$C19)*H19+POWER(2,$C18)*H18+POWER(2,$C17)*H17+POWER(2,$C16)*H16+POWER(2,$C15)*H15+POWER(2,$C14)*H14+POWER(2,$C13)*H13)</f>
        <v>13217A0C</v>
      </c>
      <c r="I34" s="18" t="str">
        <f>DEC2HEX(POWER(2,$C20)*I20+POWER(2,$C19)*I19+POWER(2,$C18)*I18+POWER(2,$C17)*I17+POWER(2,$C16)*I16+POWER(2,$C15)*I15+POWER(2,$C14)*I14+POWER(2,$C13)*I13)</f>
        <v>13217A0C</v>
      </c>
      <c r="J34" s="18" t="str">
        <f>DEC2HEX(POWER(2,$C20)*J20+POWER(2,$C19)*J19+POWER(2,$C18)*J18+POWER(2,$C17)*J17+POWER(2,$C16)*J16+POWER(2,$C15)*J15+POWER(2,$C14)*J14+POWER(2,$C13)*J13)</f>
        <v>13217A0C</v>
      </c>
      <c r="K34" s="18" t="str">
        <f>DEC2HEX(POWER(2,$C20)*K20+POWER(2,$C19)*K19+POWER(2,$C18)*K18+POWER(2,$C17)*K17+POWER(2,$C16)*K16+POWER(2,$C15)*K15+POWER(2,$C14)*K14+POWER(2,$C13)*K13)</f>
        <v>13217A0C</v>
      </c>
      <c r="L34" s="18" t="str">
        <f>DEC2HEX(POWER(2,$C20)*L20+POWER(2,$C19)*L19+POWER(2,$C18)*L18+POWER(2,$C17)*L17+POWER(2,$C16)*L16+POWER(2,$C15)*L15+POWER(2,$C14)*L14+POWER(2,$C13)*L13)</f>
        <v>13217A0C</v>
      </c>
      <c r="M34" s="18" t="str">
        <f>DEC2HEX(POWER(2,$C20)*M20+POWER(2,$C19)*M19+POWER(2,$C18)*M18+POWER(2,$C17)*M17+POWER(2,$C16)*M16+POWER(2,$C15)*M15+POWER(2,$C14)*M14+POWER(2,$C13)*M13)</f>
        <v>13217A0C</v>
      </c>
      <c r="N34" s="18" t="str">
        <f>DEC2HEX(POWER(2,$C20)*N20+POWER(2,$C19)*N19+POWER(2,$C18)*N18+POWER(2,$C17)*N17+POWER(2,$C16)*N16+POWER(2,$C15)*N15+POWER(2,$C14)*N14+POWER(2,$C13)*N13)</f>
        <v>13217A0C</v>
      </c>
      <c r="O34" s="18" t="str">
        <f>DEC2HEX(POWER(2,$C20)*O20+POWER(2,$C19)*O19+POWER(2,$C18)*O18+POWER(2,$C17)*O17+POWER(2,$C16)*O16+POWER(2,$C15)*O15+POWER(2,$C14)*O14+POWER(2,$C13)*O13)</f>
        <v>13217A0C</v>
      </c>
      <c r="P34" s="18" t="str">
        <f>DEC2HEX(POWER(2,$C20)*P20+POWER(2,$C19)*P19+POWER(2,$C18)*P18+POWER(2,$C17)*P17+POWER(2,$C16)*P16+POWER(2,$C15)*P15+POWER(2,$C14)*P14+POWER(2,$C13)*P13)</f>
        <v>13217A0C</v>
      </c>
      <c r="Q34" s="18" t="str">
        <f>DEC2HEX(POWER(2,$C20)*Q20+POWER(2,$C19)*Q19+POWER(2,$C18)*Q18+POWER(2,$C17)*Q17+POWER(2,$C16)*Q16+POWER(2,$C15)*Q15+POWER(2,$C14)*Q14+POWER(2,$C13)*Q13)</f>
        <v>13217A0C</v>
      </c>
      <c r="R34" s="18" t="str">
        <f>DEC2HEX(POWER(2,$C20)*R20+POWER(2,$C19)*R19+POWER(2,$C18)*R18+POWER(2,$C17)*R17+POWER(2,$C16)*R16+POWER(2,$C15)*R15+POWER(2,$C14)*R14+POWER(2,$C13)*R13)</f>
        <v>13217A0C</v>
      </c>
      <c r="S34" s="18" t="str">
        <f>DEC2HEX(POWER(2,$C20)*S20+POWER(2,$C19)*S19+POWER(2,$C18)*S18+POWER(2,$C17)*S17+POWER(2,$C16)*S16+POWER(2,$C15)*S15+POWER(2,$C14)*S14+POWER(2,$C13)*S13)</f>
        <v>13217A0C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F10" sqref="F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208</v>
      </c>
      <c r="B2" s="3">
        <v>63</v>
      </c>
      <c r="C2" s="3">
        <v>62</v>
      </c>
      <c r="D2" s="3">
        <v>3</v>
      </c>
      <c r="E2" s="4" t="s">
        <v>80</v>
      </c>
      <c r="F2" s="4" t="s">
        <v>80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12217A0C</v>
      </c>
      <c r="Y2" t="str">
        <f t="shared" ref="Y2:Y33" si="0">"0x"&amp;RIGHT("00000000"&amp;X2,8)&amp;","</f>
        <v>0x12217A0C,</v>
      </c>
      <c r="Z2" s="32" t="s">
        <v>142</v>
      </c>
    </row>
    <row r="3" spans="1:26">
      <c r="A3" s="2" t="s">
        <v>209</v>
      </c>
      <c r="B3" s="3">
        <v>61</v>
      </c>
      <c r="C3" s="3">
        <v>57</v>
      </c>
      <c r="D3" s="3">
        <v>0</v>
      </c>
      <c r="E3" s="4" t="s">
        <v>72</v>
      </c>
      <c r="F3" s="4" t="s">
        <v>226</v>
      </c>
      <c r="G3" s="4">
        <v>13</v>
      </c>
      <c r="H3" s="4">
        <v>13</v>
      </c>
      <c r="I3" s="4" t="s">
        <v>226</v>
      </c>
      <c r="J3" s="4" t="s">
        <v>226</v>
      </c>
      <c r="K3" s="4" t="s">
        <v>226</v>
      </c>
      <c r="L3" s="4" t="s">
        <v>226</v>
      </c>
      <c r="M3" s="4" t="s">
        <v>226</v>
      </c>
      <c r="N3" s="4" t="s">
        <v>226</v>
      </c>
      <c r="O3" s="4" t="s">
        <v>226</v>
      </c>
      <c r="P3" s="4" t="s">
        <v>226</v>
      </c>
      <c r="Q3" s="4" t="s">
        <v>226</v>
      </c>
      <c r="R3" s="4" t="s">
        <v>226</v>
      </c>
      <c r="S3" s="4" t="s">
        <v>226</v>
      </c>
      <c r="V3" s="30"/>
      <c r="W3" s="22">
        <v>40348064</v>
      </c>
      <c r="X3" s="31" t="str">
        <f>S33</f>
        <v>DBEE4136</v>
      </c>
      <c r="Y3" t="str">
        <f t="shared" si="0"/>
        <v>0xDBEE4136,</v>
      </c>
      <c r="Z3" s="32"/>
    </row>
    <row r="4" spans="1:26">
      <c r="A4" s="2" t="s">
        <v>210</v>
      </c>
      <c r="B4" s="3">
        <v>56</v>
      </c>
      <c r="C4" s="3">
        <v>56</v>
      </c>
      <c r="D4" s="3">
        <v>1</v>
      </c>
      <c r="E4" s="4" t="s">
        <v>86</v>
      </c>
      <c r="F4" s="4" t="s">
        <v>86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12217A0C</v>
      </c>
      <c r="Y4" t="str">
        <f t="shared" si="0"/>
        <v>0x12217A0C,</v>
      </c>
      <c r="Z4" s="32" t="s">
        <v>146</v>
      </c>
    </row>
    <row r="5" spans="1:26">
      <c r="A5" s="2" t="s">
        <v>211</v>
      </c>
      <c r="B5" s="3">
        <v>55</v>
      </c>
      <c r="C5" s="3">
        <v>53</v>
      </c>
      <c r="D5" s="3">
        <v>7</v>
      </c>
      <c r="E5" s="4" t="s">
        <v>127</v>
      </c>
      <c r="F5" s="4" t="s">
        <v>127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DBEE4196</v>
      </c>
      <c r="Y5" t="str">
        <f t="shared" si="0"/>
        <v>0xDBEE4196,</v>
      </c>
      <c r="Z5" s="32"/>
    </row>
    <row r="6" spans="1:26">
      <c r="A6" s="2" t="s">
        <v>212</v>
      </c>
      <c r="B6" s="3">
        <v>52</v>
      </c>
      <c r="C6" s="3">
        <v>49</v>
      </c>
      <c r="D6" s="3">
        <v>0</v>
      </c>
      <c r="E6" s="4" t="s">
        <v>118</v>
      </c>
      <c r="F6" s="4" t="s">
        <v>127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12217A0C</v>
      </c>
      <c r="Y6" t="str">
        <f t="shared" si="0"/>
        <v>0x12217A0C,</v>
      </c>
      <c r="Z6" s="32" t="s">
        <v>149</v>
      </c>
    </row>
    <row r="7" spans="1:26">
      <c r="A7" s="2" t="s">
        <v>213</v>
      </c>
      <c r="B7" s="3">
        <v>48</v>
      </c>
      <c r="C7" s="3">
        <v>46</v>
      </c>
      <c r="D7" s="3">
        <v>7</v>
      </c>
      <c r="E7" s="4" t="s">
        <v>127</v>
      </c>
      <c r="F7" s="4" t="s">
        <v>127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DBEE4216</v>
      </c>
      <c r="Y7" t="str">
        <f t="shared" si="0"/>
        <v>0xDBEE4216,</v>
      </c>
      <c r="Z7" s="3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 t="s">
        <v>72</v>
      </c>
      <c r="F8" s="4" t="s">
        <v>72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12217A0C</v>
      </c>
      <c r="Y8" t="str">
        <f t="shared" si="0"/>
        <v>0x12217A0C,</v>
      </c>
      <c r="Z8" s="3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 t="s">
        <v>72</v>
      </c>
      <c r="F9" s="4" t="s">
        <v>72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DBEE812F</v>
      </c>
      <c r="Y9" t="str">
        <f t="shared" si="0"/>
        <v>0xDBEE812F,</v>
      </c>
      <c r="Z9" s="32"/>
    </row>
    <row r="10" spans="1:26">
      <c r="A10" s="2" t="s">
        <v>156</v>
      </c>
      <c r="B10" s="3">
        <v>42</v>
      </c>
      <c r="C10" s="3">
        <v>37</v>
      </c>
      <c r="D10" s="3">
        <v>63</v>
      </c>
      <c r="E10" s="5" t="s">
        <v>228</v>
      </c>
      <c r="F10" s="6" t="s">
        <v>203</v>
      </c>
      <c r="G10" s="6" t="s">
        <v>214</v>
      </c>
      <c r="H10" s="5">
        <v>35</v>
      </c>
      <c r="I10" s="6" t="s">
        <v>112</v>
      </c>
      <c r="J10" s="5">
        <v>19</v>
      </c>
      <c r="K10" s="6" t="s">
        <v>194</v>
      </c>
      <c r="L10" s="5">
        <v>18</v>
      </c>
      <c r="M10" s="5">
        <v>13</v>
      </c>
      <c r="N10" s="5">
        <v>10</v>
      </c>
      <c r="O10" s="6" t="s">
        <v>226</v>
      </c>
      <c r="P10" s="5">
        <v>9</v>
      </c>
      <c r="Q10" s="5">
        <v>16</v>
      </c>
      <c r="R10" s="5">
        <v>12</v>
      </c>
      <c r="S10" s="5">
        <v>9</v>
      </c>
      <c r="V10" s="30">
        <v>4</v>
      </c>
      <c r="W10" s="22">
        <v>40348060</v>
      </c>
      <c r="X10" s="31" t="str">
        <f>O34</f>
        <v>12217A0C</v>
      </c>
      <c r="Y10" t="str">
        <f t="shared" si="0"/>
        <v>0x12217A0C,</v>
      </c>
      <c r="Z10" s="32" t="s">
        <v>155</v>
      </c>
    </row>
    <row r="11" spans="1:26">
      <c r="A11" s="2" t="s">
        <v>160</v>
      </c>
      <c r="B11" s="3">
        <v>36</v>
      </c>
      <c r="C11" s="3">
        <v>32</v>
      </c>
      <c r="D11" s="3">
        <v>31</v>
      </c>
      <c r="E11" s="5" t="s">
        <v>229</v>
      </c>
      <c r="F11" s="5" t="s">
        <v>205</v>
      </c>
      <c r="G11" s="5">
        <v>22</v>
      </c>
      <c r="H11" s="5">
        <v>16</v>
      </c>
      <c r="I11" s="5">
        <v>16</v>
      </c>
      <c r="J11" s="5">
        <v>16</v>
      </c>
      <c r="K11" s="5">
        <v>16</v>
      </c>
      <c r="L11" s="5">
        <v>24</v>
      </c>
      <c r="M11" s="5">
        <v>26</v>
      </c>
      <c r="N11" s="5">
        <v>18</v>
      </c>
      <c r="O11" s="5">
        <v>16</v>
      </c>
      <c r="P11" s="5">
        <v>15</v>
      </c>
      <c r="Q11" s="5">
        <v>22</v>
      </c>
      <c r="R11" s="5">
        <v>22</v>
      </c>
      <c r="S11" s="5">
        <v>22</v>
      </c>
      <c r="V11" s="30"/>
      <c r="W11" s="22">
        <v>40348064</v>
      </c>
      <c r="X11" s="31" t="str">
        <f>O33</f>
        <v>DBEE81B0</v>
      </c>
      <c r="Y11" t="str">
        <f t="shared" si="0"/>
        <v>0xDBEE81B0,</v>
      </c>
      <c r="Z11" s="32"/>
    </row>
    <row r="12" spans="1:26">
      <c r="A12" s="2" t="s">
        <v>164</v>
      </c>
      <c r="B12" s="3">
        <v>31</v>
      </c>
      <c r="C12" s="3">
        <v>29</v>
      </c>
      <c r="D12" s="3">
        <v>0</v>
      </c>
      <c r="E12" s="7" t="s">
        <v>72</v>
      </c>
      <c r="F12" s="7" t="s">
        <v>72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12217A0C</v>
      </c>
      <c r="Y12" t="str">
        <f t="shared" si="0"/>
        <v>0x12217A0C,</v>
      </c>
      <c r="Z12" s="32" t="s">
        <v>163</v>
      </c>
    </row>
    <row r="13" spans="1:26">
      <c r="A13" s="2" t="s">
        <v>165</v>
      </c>
      <c r="B13" s="3">
        <v>28</v>
      </c>
      <c r="C13" s="3">
        <v>27</v>
      </c>
      <c r="D13" s="3">
        <v>3</v>
      </c>
      <c r="E13" s="7" t="s">
        <v>118</v>
      </c>
      <c r="F13" s="7" t="s">
        <v>118</v>
      </c>
      <c r="G13" s="7">
        <v>2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DBEEC152</v>
      </c>
      <c r="Y13" t="str">
        <f t="shared" si="0"/>
        <v>0xDBEEC152,</v>
      </c>
      <c r="Z13" s="32"/>
    </row>
    <row r="14" spans="1:26">
      <c r="A14" s="2" t="s">
        <v>167</v>
      </c>
      <c r="B14" s="3">
        <v>26</v>
      </c>
      <c r="C14" s="3">
        <v>24</v>
      </c>
      <c r="D14" s="3" t="s">
        <v>118</v>
      </c>
      <c r="E14" s="7" t="s">
        <v>118</v>
      </c>
      <c r="F14" s="7" t="s">
        <v>118</v>
      </c>
      <c r="G14" s="7">
        <v>2</v>
      </c>
      <c r="H14" s="7" t="s">
        <v>118</v>
      </c>
      <c r="I14" s="7" t="s">
        <v>118</v>
      </c>
      <c r="J14" s="7" t="s">
        <v>118</v>
      </c>
      <c r="K14" s="7">
        <v>2</v>
      </c>
      <c r="L14" s="7" t="s">
        <v>118</v>
      </c>
      <c r="M14" s="7" t="s">
        <v>118</v>
      </c>
      <c r="N14" s="7" t="s">
        <v>118</v>
      </c>
      <c r="O14" s="7">
        <v>2</v>
      </c>
      <c r="P14" s="7" t="s">
        <v>118</v>
      </c>
      <c r="Q14" s="7" t="s">
        <v>118</v>
      </c>
      <c r="R14" s="7" t="s">
        <v>118</v>
      </c>
      <c r="S14" s="7" t="s">
        <v>118</v>
      </c>
      <c r="V14" s="30">
        <v>6</v>
      </c>
      <c r="W14" s="22">
        <v>40348060</v>
      </c>
      <c r="X14" s="31" t="str">
        <f>M34</f>
        <v>12217A0C</v>
      </c>
      <c r="Y14" t="str">
        <f t="shared" si="0"/>
        <v>0x12217A0C,</v>
      </c>
      <c r="Z14" s="32" t="s">
        <v>166</v>
      </c>
    </row>
    <row r="15" spans="1:26">
      <c r="A15" s="2" t="s">
        <v>168</v>
      </c>
      <c r="B15" s="3">
        <v>23</v>
      </c>
      <c r="C15" s="3">
        <v>18</v>
      </c>
      <c r="D15" s="3">
        <v>47</v>
      </c>
      <c r="E15" s="4" t="s">
        <v>217</v>
      </c>
      <c r="F15" s="4" t="s">
        <v>217</v>
      </c>
      <c r="G15" s="4" t="s">
        <v>217</v>
      </c>
      <c r="H15" s="4" t="s">
        <v>217</v>
      </c>
      <c r="I15" s="4" t="s">
        <v>217</v>
      </c>
      <c r="J15" s="4" t="s">
        <v>217</v>
      </c>
      <c r="K15" s="4" t="s">
        <v>217</v>
      </c>
      <c r="L15" s="4" t="s">
        <v>217</v>
      </c>
      <c r="M15" s="4" t="s">
        <v>217</v>
      </c>
      <c r="N15" s="4" t="s">
        <v>217</v>
      </c>
      <c r="O15" s="4" t="s">
        <v>217</v>
      </c>
      <c r="P15" s="4" t="s">
        <v>217</v>
      </c>
      <c r="Q15" s="4" t="s">
        <v>217</v>
      </c>
      <c r="R15" s="4" t="s">
        <v>217</v>
      </c>
      <c r="S15" s="4" t="s">
        <v>217</v>
      </c>
      <c r="V15" s="30"/>
      <c r="W15" s="22">
        <v>40348064</v>
      </c>
      <c r="X15" s="31" t="str">
        <f>M33</f>
        <v>DBEF01BA</v>
      </c>
      <c r="Y15" t="str">
        <f t="shared" si="0"/>
        <v>0xDBEF01BA,</v>
      </c>
      <c r="Z15" s="32"/>
    </row>
    <row r="16" spans="1:26">
      <c r="A16" s="2" t="s">
        <v>170</v>
      </c>
      <c r="B16" s="3">
        <v>17</v>
      </c>
      <c r="C16" s="3">
        <v>12</v>
      </c>
      <c r="D16" s="3">
        <v>42</v>
      </c>
      <c r="E16" s="4" t="s">
        <v>161</v>
      </c>
      <c r="F16" s="4" t="s">
        <v>161</v>
      </c>
      <c r="G16" s="4" t="s">
        <v>161</v>
      </c>
      <c r="H16" s="4" t="s">
        <v>161</v>
      </c>
      <c r="I16" s="4" t="s">
        <v>161</v>
      </c>
      <c r="J16" s="4" t="s">
        <v>161</v>
      </c>
      <c r="K16" s="4" t="s">
        <v>161</v>
      </c>
      <c r="L16" s="4" t="s">
        <v>161</v>
      </c>
      <c r="M16" s="4" t="s">
        <v>161</v>
      </c>
      <c r="N16" s="4" t="s">
        <v>161</v>
      </c>
      <c r="O16" s="4" t="s">
        <v>161</v>
      </c>
      <c r="P16" s="4" t="s">
        <v>161</v>
      </c>
      <c r="Q16" s="4" t="s">
        <v>161</v>
      </c>
      <c r="R16" s="4" t="s">
        <v>161</v>
      </c>
      <c r="S16" s="4" t="s">
        <v>161</v>
      </c>
      <c r="V16" s="30">
        <v>7</v>
      </c>
      <c r="W16" s="22">
        <v>40348060</v>
      </c>
      <c r="X16" s="31" t="str">
        <f>L34</f>
        <v>12217A0C</v>
      </c>
      <c r="Y16" t="str">
        <f t="shared" si="0"/>
        <v>0x12217A0C,</v>
      </c>
      <c r="Z16" s="32" t="s">
        <v>169</v>
      </c>
    </row>
    <row r="17" spans="1:26">
      <c r="A17" s="2" t="s">
        <v>171</v>
      </c>
      <c r="B17" s="3">
        <v>11</v>
      </c>
      <c r="C17" s="3">
        <v>7</v>
      </c>
      <c r="D17" s="3">
        <v>20</v>
      </c>
      <c r="E17" s="4" t="s">
        <v>158</v>
      </c>
      <c r="F17" s="4">
        <v>20</v>
      </c>
      <c r="G17" s="4" t="s">
        <v>158</v>
      </c>
      <c r="H17" s="4">
        <v>20</v>
      </c>
      <c r="I17" s="4" t="s">
        <v>158</v>
      </c>
      <c r="J17" s="4">
        <v>20</v>
      </c>
      <c r="K17" s="4" t="s">
        <v>158</v>
      </c>
      <c r="L17" s="4">
        <v>20</v>
      </c>
      <c r="M17" s="4" t="s">
        <v>158</v>
      </c>
      <c r="N17" s="4">
        <v>20</v>
      </c>
      <c r="O17" s="4" t="s">
        <v>158</v>
      </c>
      <c r="P17" s="4">
        <v>20</v>
      </c>
      <c r="Q17" s="4" t="s">
        <v>158</v>
      </c>
      <c r="R17" s="4">
        <v>20</v>
      </c>
      <c r="S17" s="4" t="s">
        <v>158</v>
      </c>
      <c r="V17" s="30"/>
      <c r="W17" s="22">
        <v>40348064</v>
      </c>
      <c r="X17" s="31" t="str">
        <f>L33</f>
        <v>DBEF0258</v>
      </c>
      <c r="Y17" t="str">
        <f t="shared" si="0"/>
        <v>0xDBEF0258,</v>
      </c>
      <c r="Z17" s="32"/>
    </row>
    <row r="18" spans="1:26">
      <c r="A18" s="2" t="s">
        <v>173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12217A0C</v>
      </c>
      <c r="Y18" t="str">
        <f t="shared" si="0"/>
        <v>0x12217A0C,</v>
      </c>
      <c r="Z18" s="32" t="s">
        <v>172</v>
      </c>
    </row>
    <row r="19" spans="1:26">
      <c r="A19" s="2" t="s">
        <v>174</v>
      </c>
      <c r="B19" s="3">
        <v>2</v>
      </c>
      <c r="C19" s="3">
        <v>0</v>
      </c>
      <c r="D19" s="3">
        <v>3</v>
      </c>
      <c r="E19" s="4" t="s">
        <v>94</v>
      </c>
      <c r="F19" s="4" t="s">
        <v>94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DBEF4210</v>
      </c>
      <c r="Y19" t="str">
        <f t="shared" si="0"/>
        <v>0xDBEF4210,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12217A0C</v>
      </c>
      <c r="Y20" t="str">
        <f t="shared" si="0"/>
        <v>0x12217A0C,</v>
      </c>
      <c r="Z20" s="32" t="s">
        <v>175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DBEF8270</v>
      </c>
      <c r="Y21" t="str">
        <f t="shared" si="0"/>
        <v>0xDBEF8270,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176</v>
      </c>
      <c r="W22" s="22">
        <v>40348060</v>
      </c>
      <c r="X22" s="31" t="str">
        <f>I34</f>
        <v>12217A0C</v>
      </c>
      <c r="Y22" t="str">
        <f t="shared" si="0"/>
        <v>0x12217A0C,</v>
      </c>
      <c r="Z22" s="32" t="s">
        <v>177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DBEF82B0</v>
      </c>
      <c r="Y23" t="str">
        <f t="shared" si="0"/>
        <v>0xDBEF82B0,</v>
      </c>
      <c r="Z23" s="32"/>
    </row>
    <row r="24" spans="1:26">
      <c r="A24" s="12" t="s">
        <v>178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179</v>
      </c>
      <c r="W24" s="22">
        <v>40348060</v>
      </c>
      <c r="X24" s="31" t="str">
        <f>H34</f>
        <v>12217A0C</v>
      </c>
      <c r="Y24" t="str">
        <f t="shared" si="0"/>
        <v>0x12217A0C,</v>
      </c>
      <c r="Z24" s="32" t="s">
        <v>180</v>
      </c>
    </row>
    <row r="25" spans="1:26">
      <c r="A25" s="12" t="s">
        <v>181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DBEF8470</v>
      </c>
      <c r="Y25" t="str">
        <f t="shared" si="0"/>
        <v>0xDBEF8470,</v>
      </c>
      <c r="Z25" s="32"/>
    </row>
    <row r="26" spans="1:26">
      <c r="A26" s="12" t="s">
        <v>182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183</v>
      </c>
      <c r="W26" s="22">
        <v>40348060</v>
      </c>
      <c r="X26" s="31" t="str">
        <f>G34</f>
        <v>12217A0C</v>
      </c>
      <c r="Y26" t="str">
        <f t="shared" si="0"/>
        <v>0x12217A0C,</v>
      </c>
      <c r="Z26" s="32" t="s">
        <v>184</v>
      </c>
    </row>
    <row r="27" spans="1:26">
      <c r="A27" s="15" t="s">
        <v>185</v>
      </c>
      <c r="V27" s="30"/>
      <c r="W27" s="22">
        <v>40348064</v>
      </c>
      <c r="X27" s="31" t="str">
        <f>G33</f>
        <v>DBEFC396</v>
      </c>
      <c r="Y27" t="str">
        <f t="shared" si="0"/>
        <v>0xDBEFC396,</v>
      </c>
      <c r="Z27" s="32"/>
    </row>
    <row r="28" spans="22:26">
      <c r="V28" s="30" t="s">
        <v>186</v>
      </c>
      <c r="W28" s="22">
        <v>40348060</v>
      </c>
      <c r="X28" s="31" t="str">
        <f>F34</f>
        <v>12217A0C</v>
      </c>
      <c r="Y28" t="str">
        <f t="shared" si="0"/>
        <v>0x12217A0C,</v>
      </c>
      <c r="Z28" s="32" t="s">
        <v>187</v>
      </c>
    </row>
    <row r="29" spans="22:26">
      <c r="V29" s="30"/>
      <c r="W29" s="22">
        <v>40348064</v>
      </c>
      <c r="X29" s="31" t="str">
        <f>F33</f>
        <v>DBEFC556</v>
      </c>
      <c r="Y29" t="str">
        <f t="shared" si="0"/>
        <v>0xDBEFC556,</v>
      </c>
      <c r="Z29" s="32"/>
    </row>
    <row r="30" spans="22:26">
      <c r="V30" s="30" t="s">
        <v>188</v>
      </c>
      <c r="W30" s="22">
        <v>40348060</v>
      </c>
      <c r="X30" s="31" t="str">
        <f>E34</f>
        <v>12217A0C</v>
      </c>
      <c r="Y30" t="str">
        <f t="shared" si="0"/>
        <v>0x12217A0C,</v>
      </c>
      <c r="Z30" s="32" t="s">
        <v>189</v>
      </c>
    </row>
    <row r="31" spans="1:26">
      <c r="A31" t="s">
        <v>190</v>
      </c>
      <c r="V31" s="30"/>
      <c r="W31" s="22">
        <v>40348064</v>
      </c>
      <c r="X31" s="31" t="str">
        <f>E33</f>
        <v>C1E5C7FF</v>
      </c>
      <c r="Y31" t="str">
        <f t="shared" si="0"/>
        <v>0xC1E5C7FF,</v>
      </c>
      <c r="Z31" s="32"/>
    </row>
    <row r="32" spans="1:26">
      <c r="A32" s="16" t="s">
        <v>191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192</v>
      </c>
      <c r="W32" s="22">
        <v>40348060</v>
      </c>
      <c r="X32" s="31" t="str">
        <f>D34</f>
        <v>1ABEAA0B</v>
      </c>
      <c r="Y32" t="str">
        <f t="shared" si="0"/>
        <v>0x1ABEAA0B,</v>
      </c>
      <c r="Z32" s="32" t="s">
        <v>193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C1E1C7FF</v>
      </c>
      <c r="E33" s="18" t="str">
        <f>DEC2HEX(POWER(2,$C12-32)*E12+POWER(2,$C11-32)*E11+POWER(2,$C10-32)*E10+POWER(2,$C9-32)*E9+POWER(2,$C8-32)*E8+POWER(2,$C7-32)*E7+POWER(2,$C6-32)*E6+POWER(2,$C5-32)*E5+POWER(2,$C4-32)*E4+POWER(2,$C3-32)*E3+POWER(2,$C2-32)*E2)</f>
        <v>C1E5C7FF</v>
      </c>
      <c r="F33" s="18" t="str">
        <f>DEC2HEX(POWER(2,$C12-32)*F12+POWER(2,$C11-32)*F11+POWER(2,$C10-32)*F10+POWER(2,$C9-32)*F9+POWER(2,$C8-32)*F8+POWER(2,$C7-32)*F7+POWER(2,$C6-32)*F6+POWER(2,$C5-32)*F5+POWER(2,$C4-32)*F4+POWER(2,$C3-32)*F3+POWER(2,$C2-32)*F2)</f>
        <v>DBEFC556</v>
      </c>
      <c r="G33" s="18" t="str">
        <f>DEC2HEX(POWER(2,$C12-32)*G12+POWER(2,$C11-32)*G11+POWER(2,$C10-32)*G10+POWER(2,$C9-32)*G9+POWER(2,$C8-32)*G8+POWER(2,$C7-32)*G7+POWER(2,$C6-32)*G6+POWER(2,$C5-32)*G5+POWER(2,$C4-32)*G4+POWER(2,$C3-32)*G3+POWER(2,$C2-32)*G2)</f>
        <v>DBEFC396</v>
      </c>
      <c r="H33" s="18" t="str">
        <f>DEC2HEX(POWER(2,$C12-32)*H12+POWER(2,$C11-32)*H11+POWER(2,$C10-32)*H10+POWER(2,$C9-32)*H9+POWER(2,$C8-32)*H8+POWER(2,$C7-32)*H7+POWER(2,$C6-32)*H6+POWER(2,$C5-32)*H5+POWER(2,$C4-32)*H4+POWER(2,$C3-32)*H3+POWER(2,$C2-32)*H2)</f>
        <v>DBEF8470</v>
      </c>
      <c r="I33" s="18" t="str">
        <f>DEC2HEX(POWER(2,$C12-32)*I12+POWER(2,$C11-32)*I11+POWER(2,$C10-32)*I10+POWER(2,$C9-32)*I9+POWER(2,$C8-32)*I8+POWER(2,$C7-32)*I7+POWER(2,$C6-32)*I6+POWER(2,$C5-32)*I5+POWER(2,$C4-32)*I4+POWER(2,$C3-32)*I3+POWER(2,$C2-32)*I2)</f>
        <v>DBEF82B0</v>
      </c>
      <c r="J33" s="18" t="str">
        <f>DEC2HEX(POWER(2,$C12-32)*J12+POWER(2,$C11-32)*J11+POWER(2,$C10-32)*J10+POWER(2,$C9-32)*J9+POWER(2,$C8-32)*J8+POWER(2,$C7-32)*J7+POWER(2,$C6-32)*J6+POWER(2,$C5-32)*J5+POWER(2,$C4-32)*J4+POWER(2,$C3-32)*J3+POWER(2,$C2-32)*J2)</f>
        <v>DBEF8270</v>
      </c>
      <c r="K33" s="18" t="str">
        <f>DEC2HEX(POWER(2,$C12-32)*K12+POWER(2,$C11-32)*K11+POWER(2,$C10-32)*K10+POWER(2,$C9-32)*K9+POWER(2,$C8-32)*K8+POWER(2,$C7-32)*K7+POWER(2,$C6-32)*K6+POWER(2,$C5-32)*K5+POWER(2,$C4-32)*K4+POWER(2,$C3-32)*K3+POWER(2,$C2-32)*K2)</f>
        <v>DBEF4210</v>
      </c>
      <c r="L33" s="18" t="str">
        <f>DEC2HEX(POWER(2,$C12-32)*L12+POWER(2,$C11-32)*L11+POWER(2,$C10-32)*L10+POWER(2,$C9-32)*L9+POWER(2,$C8-32)*L8+POWER(2,$C7-32)*L7+POWER(2,$C6-32)*L6+POWER(2,$C5-32)*L5+POWER(2,$C4-32)*L4+POWER(2,$C3-32)*L3+POWER(2,$C2-32)*L2)</f>
        <v>DBEF0258</v>
      </c>
      <c r="M33" s="18" t="str">
        <f>DEC2HEX(POWER(2,$C12-32)*M12+POWER(2,$C11-32)*M11+POWER(2,$C10-32)*M10+POWER(2,$C9-32)*M9+POWER(2,$C8-32)*M8+POWER(2,$C7-32)*M7+POWER(2,$C6-32)*M6+POWER(2,$C5-32)*M5+POWER(2,$C4-32)*M4+POWER(2,$C3-32)*M3+POWER(2,$C2-32)*M2)</f>
        <v>DBEF01BA</v>
      </c>
      <c r="N33" s="18" t="str">
        <f>DEC2HEX(POWER(2,$C12-32)*N12+POWER(2,$C11-32)*N11+POWER(2,$C10-32)*N10+POWER(2,$C9-32)*N9+POWER(2,$C8-32)*N8+POWER(2,$C7-32)*N7+POWER(2,$C6-32)*N6+POWER(2,$C5-32)*N5+POWER(2,$C4-32)*N4+POWER(2,$C3-32)*N3+POWER(2,$C2-32)*N2)</f>
        <v>DBEEC152</v>
      </c>
      <c r="O33" s="18" t="str">
        <f>DEC2HEX(POWER(2,$C12-32)*O12+POWER(2,$C11-32)*O11+POWER(2,$C10-32)*O10+POWER(2,$C9-32)*O9+POWER(2,$C8-32)*O8+POWER(2,$C7-32)*O7+POWER(2,$C6-32)*O6+POWER(2,$C5-32)*O5+POWER(2,$C4-32)*O4+POWER(2,$C3-32)*O3+POWER(2,$C2-32)*O2)</f>
        <v>DBEE81B0</v>
      </c>
      <c r="P33" s="18" t="str">
        <f>DEC2HEX(POWER(2,$C12-32)*P12+POWER(2,$C11-32)*P11+POWER(2,$C10-32)*P10+POWER(2,$C9-32)*P9+POWER(2,$C8-32)*P8+POWER(2,$C7-32)*P7+POWER(2,$C6-32)*P6+POWER(2,$C5-32)*P5+POWER(2,$C4-32)*P4+POWER(2,$C3-32)*P3+POWER(2,$C2-32)*P2)</f>
        <v>DBEE812F</v>
      </c>
      <c r="Q33" s="18" t="str">
        <f>DEC2HEX(POWER(2,$C12-32)*Q12+POWER(2,$C11-32)*Q11+POWER(2,$C10-32)*Q10+POWER(2,$C9-32)*Q9+POWER(2,$C8-32)*Q8+POWER(2,$C7-32)*Q7+POWER(2,$C6-32)*Q6+POWER(2,$C5-32)*Q5+POWER(2,$C4-32)*Q4+POWER(2,$C3-32)*Q3+POWER(2,$C2-32)*Q2)</f>
        <v>DBEE4216</v>
      </c>
      <c r="R33" s="18" t="str">
        <f>DEC2HEX(POWER(2,$C12-32)*R12+POWER(2,$C11-32)*R11+POWER(2,$C10-32)*R10+POWER(2,$C9-32)*R9+POWER(2,$C8-32)*R8+POWER(2,$C7-32)*R7+POWER(2,$C6-32)*R6+POWER(2,$C5-32)*R5+POWER(2,$C4-32)*R4+POWER(2,$C3-32)*R3+POWER(2,$C2-32)*R2)</f>
        <v>DBEE4196</v>
      </c>
      <c r="S33" s="18" t="str">
        <f>DEC2HEX(POWER(2,$C12-32)*S12+POWER(2,$C11-32)*S11+POWER(2,$C10-32)*S10+POWER(2,$C9-32)*S9+POWER(2,$C8-32)*S8+POWER(2,$C7-32)*S7+POWER(2,$C6-32)*S6+POWER(2,$C5-32)*S5+POWER(2,$C4-32)*S4+POWER(2,$C3-32)*S3+POWER(2,$C2-32)*S2)</f>
        <v>DBEE4136</v>
      </c>
      <c r="V33" s="29"/>
      <c r="W33" s="22">
        <v>40348064</v>
      </c>
      <c r="X33" s="31" t="str">
        <f>D33</f>
        <v>C1E1C7FF</v>
      </c>
      <c r="Y33" t="str">
        <f t="shared" si="0"/>
        <v>0xC1E1C7FF,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1ABEAA0B</v>
      </c>
      <c r="E34" s="18" t="str">
        <f>DEC2HEX(POWER(2,$C20)*E20+POWER(2,$C19)*E19+POWER(2,$C18)*E18+POWER(2,$C17)*E17+POWER(2,$C16)*E16+POWER(2,$C15)*E15+POWER(2,$C14)*E14+POWER(2,$C13)*E13)</f>
        <v>12217A0C</v>
      </c>
      <c r="F34" s="18" t="str">
        <f>DEC2HEX(POWER(2,$C20)*F20+POWER(2,$C19)*F19+POWER(2,$C18)*F18+POWER(2,$C17)*F17+POWER(2,$C16)*F16+POWER(2,$C15)*F15+POWER(2,$C14)*F14+POWER(2,$C13)*F13)</f>
        <v>12217A0C</v>
      </c>
      <c r="G34" s="18" t="str">
        <f>DEC2HEX(POWER(2,$C20)*G20+POWER(2,$C19)*G19+POWER(2,$C18)*G18+POWER(2,$C17)*G17+POWER(2,$C16)*G16+POWER(2,$C15)*G15+POWER(2,$C14)*G14+POWER(2,$C13)*G13)</f>
        <v>12217A0C</v>
      </c>
      <c r="H34" s="18" t="str">
        <f>DEC2HEX(POWER(2,$C20)*H20+POWER(2,$C19)*H19+POWER(2,$C18)*H18+POWER(2,$C17)*H17+POWER(2,$C16)*H16+POWER(2,$C15)*H15+POWER(2,$C14)*H14+POWER(2,$C13)*H13)</f>
        <v>12217A0C</v>
      </c>
      <c r="I34" s="18" t="str">
        <f>DEC2HEX(POWER(2,$C20)*I20+POWER(2,$C19)*I19+POWER(2,$C18)*I18+POWER(2,$C17)*I17+POWER(2,$C16)*I16+POWER(2,$C15)*I15+POWER(2,$C14)*I14+POWER(2,$C13)*I13)</f>
        <v>12217A0C</v>
      </c>
      <c r="J34" s="18" t="str">
        <f>DEC2HEX(POWER(2,$C20)*J20+POWER(2,$C19)*J19+POWER(2,$C18)*J18+POWER(2,$C17)*J17+POWER(2,$C16)*J16+POWER(2,$C15)*J15+POWER(2,$C14)*J14+POWER(2,$C13)*J13)</f>
        <v>12217A0C</v>
      </c>
      <c r="K34" s="18" t="str">
        <f>DEC2HEX(POWER(2,$C20)*K20+POWER(2,$C19)*K19+POWER(2,$C18)*K18+POWER(2,$C17)*K17+POWER(2,$C16)*K16+POWER(2,$C15)*K15+POWER(2,$C14)*K14+POWER(2,$C13)*K13)</f>
        <v>12217A0C</v>
      </c>
      <c r="L34" s="18" t="str">
        <f>DEC2HEX(POWER(2,$C20)*L20+POWER(2,$C19)*L19+POWER(2,$C18)*L18+POWER(2,$C17)*L17+POWER(2,$C16)*L16+POWER(2,$C15)*L15+POWER(2,$C14)*L14+POWER(2,$C13)*L13)</f>
        <v>12217A0C</v>
      </c>
      <c r="M34" s="18" t="str">
        <f>DEC2HEX(POWER(2,$C20)*M20+POWER(2,$C19)*M19+POWER(2,$C18)*M18+POWER(2,$C17)*M17+POWER(2,$C16)*M16+POWER(2,$C15)*M15+POWER(2,$C14)*M14+POWER(2,$C13)*M13)</f>
        <v>12217A0C</v>
      </c>
      <c r="N34" s="18" t="str">
        <f>DEC2HEX(POWER(2,$C20)*N20+POWER(2,$C19)*N19+POWER(2,$C18)*N18+POWER(2,$C17)*N17+POWER(2,$C16)*N16+POWER(2,$C15)*N15+POWER(2,$C14)*N14+POWER(2,$C13)*N13)</f>
        <v>12217A0C</v>
      </c>
      <c r="O34" s="18" t="str">
        <f>DEC2HEX(POWER(2,$C20)*O20+POWER(2,$C19)*O19+POWER(2,$C18)*O18+POWER(2,$C17)*O17+POWER(2,$C16)*O16+POWER(2,$C15)*O15+POWER(2,$C14)*O14+POWER(2,$C13)*O13)</f>
        <v>12217A0C</v>
      </c>
      <c r="P34" s="18" t="str">
        <f>DEC2HEX(POWER(2,$C20)*P20+POWER(2,$C19)*P19+POWER(2,$C18)*P18+POWER(2,$C17)*P17+POWER(2,$C16)*P16+POWER(2,$C15)*P15+POWER(2,$C14)*P14+POWER(2,$C13)*P13)</f>
        <v>12217A0C</v>
      </c>
      <c r="Q34" s="18" t="str">
        <f>DEC2HEX(POWER(2,$C20)*Q20+POWER(2,$C19)*Q19+POWER(2,$C18)*Q18+POWER(2,$C17)*Q17+POWER(2,$C16)*Q16+POWER(2,$C15)*Q15+POWER(2,$C14)*Q14+POWER(2,$C13)*Q13)</f>
        <v>12217A0C</v>
      </c>
      <c r="R34" s="18" t="str">
        <f>DEC2HEX(POWER(2,$C20)*R20+POWER(2,$C19)*R19+POWER(2,$C18)*R18+POWER(2,$C17)*R17+POWER(2,$C16)*R16+POWER(2,$C15)*R15+POWER(2,$C14)*R14+POWER(2,$C13)*R13)</f>
        <v>12217A0C</v>
      </c>
      <c r="S34" s="18" t="str">
        <f>DEC2HEX(POWER(2,$C20)*S20+POWER(2,$C19)*S19+POWER(2,$C18)*S18+POWER(2,$C17)*S17+POWER(2,$C16)*S16+POWER(2,$C15)*S15+POWER(2,$C14)*S14+POWER(2,$C13)*S13)</f>
        <v>12217A0C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E10" sqref="E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208</v>
      </c>
      <c r="B2" s="3">
        <v>63</v>
      </c>
      <c r="C2" s="3">
        <v>62</v>
      </c>
      <c r="D2" s="3">
        <v>3</v>
      </c>
      <c r="E2" s="4" t="s">
        <v>80</v>
      </c>
      <c r="F2" s="4" t="s">
        <v>80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11217A0C</v>
      </c>
      <c r="Y2" t="str">
        <f t="shared" ref="Y2:Y33" si="0">"0x"&amp;RIGHT("00000000"&amp;X2,8)&amp;","</f>
        <v>0x11217A0C,</v>
      </c>
      <c r="Z2" s="32" t="s">
        <v>142</v>
      </c>
    </row>
    <row r="3" spans="1:26">
      <c r="A3" s="2" t="s">
        <v>209</v>
      </c>
      <c r="B3" s="3">
        <v>61</v>
      </c>
      <c r="C3" s="3">
        <v>57</v>
      </c>
      <c r="D3" s="3">
        <v>0</v>
      </c>
      <c r="E3" s="4" t="s">
        <v>72</v>
      </c>
      <c r="F3" s="4" t="s">
        <v>226</v>
      </c>
      <c r="G3" s="4">
        <v>13</v>
      </c>
      <c r="H3" s="4">
        <v>13</v>
      </c>
      <c r="I3" s="4" t="s">
        <v>226</v>
      </c>
      <c r="J3" s="4" t="s">
        <v>226</v>
      </c>
      <c r="K3" s="4" t="s">
        <v>226</v>
      </c>
      <c r="L3" s="4" t="s">
        <v>226</v>
      </c>
      <c r="M3" s="4" t="s">
        <v>226</v>
      </c>
      <c r="N3" s="4" t="s">
        <v>226</v>
      </c>
      <c r="O3" s="4" t="s">
        <v>226</v>
      </c>
      <c r="P3" s="4" t="s">
        <v>226</v>
      </c>
      <c r="Q3" s="4" t="s">
        <v>226</v>
      </c>
      <c r="R3" s="4" t="s">
        <v>226</v>
      </c>
      <c r="S3" s="4" t="s">
        <v>226</v>
      </c>
      <c r="V3" s="30"/>
      <c r="W3" s="22">
        <v>40348064</v>
      </c>
      <c r="X3" s="31" t="str">
        <f>S33</f>
        <v>DBEE4136</v>
      </c>
      <c r="Y3" t="str">
        <f t="shared" si="0"/>
        <v>0xDBEE4136,</v>
      </c>
      <c r="Z3" s="32"/>
    </row>
    <row r="4" spans="1:26">
      <c r="A4" s="2" t="s">
        <v>210</v>
      </c>
      <c r="B4" s="3">
        <v>56</v>
      </c>
      <c r="C4" s="3">
        <v>56</v>
      </c>
      <c r="D4" s="3">
        <v>1</v>
      </c>
      <c r="E4" s="4" t="s">
        <v>86</v>
      </c>
      <c r="F4" s="4" t="s">
        <v>86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11217A0C</v>
      </c>
      <c r="Y4" t="str">
        <f t="shared" si="0"/>
        <v>0x11217A0C,</v>
      </c>
      <c r="Z4" s="32" t="s">
        <v>146</v>
      </c>
    </row>
    <row r="5" spans="1:26">
      <c r="A5" s="2" t="s">
        <v>211</v>
      </c>
      <c r="B5" s="3">
        <v>55</v>
      </c>
      <c r="C5" s="3">
        <v>53</v>
      </c>
      <c r="D5" s="3">
        <v>7</v>
      </c>
      <c r="E5" s="4" t="s">
        <v>127</v>
      </c>
      <c r="F5" s="4" t="s">
        <v>127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DBEE4196</v>
      </c>
      <c r="Y5" t="str">
        <f t="shared" si="0"/>
        <v>0xDBEE4196,</v>
      </c>
      <c r="Z5" s="32"/>
    </row>
    <row r="6" spans="1:26">
      <c r="A6" s="2" t="s">
        <v>212</v>
      </c>
      <c r="B6" s="3">
        <v>52</v>
      </c>
      <c r="C6" s="3">
        <v>49</v>
      </c>
      <c r="D6" s="3">
        <v>0</v>
      </c>
      <c r="E6" s="4" t="s">
        <v>118</v>
      </c>
      <c r="F6" s="4" t="s">
        <v>127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11217A0C</v>
      </c>
      <c r="Y6" t="str">
        <f t="shared" si="0"/>
        <v>0x11217A0C,</v>
      </c>
      <c r="Z6" s="32" t="s">
        <v>149</v>
      </c>
    </row>
    <row r="7" spans="1:26">
      <c r="A7" s="2" t="s">
        <v>213</v>
      </c>
      <c r="B7" s="3">
        <v>48</v>
      </c>
      <c r="C7" s="3">
        <v>46</v>
      </c>
      <c r="D7" s="3">
        <v>7</v>
      </c>
      <c r="E7" s="4" t="s">
        <v>127</v>
      </c>
      <c r="F7" s="4" t="s">
        <v>127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DBEE4216</v>
      </c>
      <c r="Y7" t="str">
        <f t="shared" si="0"/>
        <v>0xDBEE4216,</v>
      </c>
      <c r="Z7" s="3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 t="s">
        <v>72</v>
      </c>
      <c r="F8" s="4" t="s">
        <v>72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11217A0C</v>
      </c>
      <c r="Y8" t="str">
        <f t="shared" si="0"/>
        <v>0x11217A0C,</v>
      </c>
      <c r="Z8" s="3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 t="s">
        <v>72</v>
      </c>
      <c r="F9" s="4" t="s">
        <v>72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DBEE812F</v>
      </c>
      <c r="Y9" t="str">
        <f t="shared" si="0"/>
        <v>0xDBEE812F,</v>
      </c>
      <c r="Z9" s="32"/>
    </row>
    <row r="10" spans="1:26">
      <c r="A10" s="2" t="s">
        <v>156</v>
      </c>
      <c r="B10" s="3">
        <v>42</v>
      </c>
      <c r="C10" s="3">
        <v>37</v>
      </c>
      <c r="D10" s="3">
        <v>63</v>
      </c>
      <c r="E10" s="6" t="s">
        <v>224</v>
      </c>
      <c r="F10" s="5" t="s">
        <v>230</v>
      </c>
      <c r="G10" s="6" t="s">
        <v>229</v>
      </c>
      <c r="H10" s="5">
        <v>35</v>
      </c>
      <c r="I10" s="6" t="s">
        <v>161</v>
      </c>
      <c r="J10" s="5">
        <v>19</v>
      </c>
      <c r="K10" s="6" t="s">
        <v>199</v>
      </c>
      <c r="L10" s="5">
        <v>18</v>
      </c>
      <c r="M10" s="5">
        <v>13</v>
      </c>
      <c r="N10" s="5">
        <v>10</v>
      </c>
      <c r="O10" s="6" t="s">
        <v>195</v>
      </c>
      <c r="P10" s="5">
        <v>9</v>
      </c>
      <c r="Q10" s="5">
        <v>16</v>
      </c>
      <c r="R10" s="5">
        <v>12</v>
      </c>
      <c r="S10" s="5">
        <v>9</v>
      </c>
      <c r="V10" s="30">
        <v>4</v>
      </c>
      <c r="W10" s="22">
        <v>40348060</v>
      </c>
      <c r="X10" s="31" t="str">
        <f>O34</f>
        <v>11217A0C</v>
      </c>
      <c r="Y10" t="str">
        <f t="shared" si="0"/>
        <v>0x11217A0C,</v>
      </c>
      <c r="Z10" s="32" t="s">
        <v>155</v>
      </c>
    </row>
    <row r="11" spans="1:26">
      <c r="A11" s="2" t="s">
        <v>160</v>
      </c>
      <c r="B11" s="3">
        <v>36</v>
      </c>
      <c r="C11" s="3">
        <v>32</v>
      </c>
      <c r="D11" s="3">
        <v>31</v>
      </c>
      <c r="E11" s="5" t="s">
        <v>229</v>
      </c>
      <c r="F11" s="5" t="s">
        <v>205</v>
      </c>
      <c r="G11" s="5">
        <v>22</v>
      </c>
      <c r="H11" s="5">
        <v>16</v>
      </c>
      <c r="I11" s="5">
        <v>16</v>
      </c>
      <c r="J11" s="5">
        <v>16</v>
      </c>
      <c r="K11" s="5">
        <v>16</v>
      </c>
      <c r="L11" s="5">
        <v>24</v>
      </c>
      <c r="M11" s="6" t="s">
        <v>214</v>
      </c>
      <c r="N11" s="5">
        <v>18</v>
      </c>
      <c r="O11" s="5">
        <v>16</v>
      </c>
      <c r="P11" s="5">
        <v>15</v>
      </c>
      <c r="Q11" s="5">
        <v>22</v>
      </c>
      <c r="R11" s="5">
        <v>22</v>
      </c>
      <c r="S11" s="5">
        <v>22</v>
      </c>
      <c r="V11" s="30"/>
      <c r="W11" s="22">
        <v>40348064</v>
      </c>
      <c r="X11" s="31" t="str">
        <f>O33</f>
        <v>DBEE81D0</v>
      </c>
      <c r="Y11" t="str">
        <f t="shared" si="0"/>
        <v>0xDBEE81D0,</v>
      </c>
      <c r="Z11" s="32"/>
    </row>
    <row r="12" spans="1:26">
      <c r="A12" s="2" t="s">
        <v>164</v>
      </c>
      <c r="B12" s="3">
        <v>31</v>
      </c>
      <c r="C12" s="3">
        <v>29</v>
      </c>
      <c r="D12" s="3">
        <v>0</v>
      </c>
      <c r="E12" s="7" t="s">
        <v>72</v>
      </c>
      <c r="F12" s="7" t="s">
        <v>72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11217A0C</v>
      </c>
      <c r="Y12" t="str">
        <f t="shared" si="0"/>
        <v>0x11217A0C,</v>
      </c>
      <c r="Z12" s="32" t="s">
        <v>163</v>
      </c>
    </row>
    <row r="13" spans="1:26">
      <c r="A13" s="2" t="s">
        <v>165</v>
      </c>
      <c r="B13" s="3">
        <v>28</v>
      </c>
      <c r="C13" s="3">
        <v>27</v>
      </c>
      <c r="D13" s="3">
        <v>3</v>
      </c>
      <c r="E13" s="7" t="s">
        <v>118</v>
      </c>
      <c r="F13" s="7" t="s">
        <v>118</v>
      </c>
      <c r="G13" s="7">
        <v>2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DBEEC152</v>
      </c>
      <c r="Y13" t="str">
        <f t="shared" si="0"/>
        <v>0xDBEEC152,</v>
      </c>
      <c r="Z13" s="32"/>
    </row>
    <row r="14" spans="1:26">
      <c r="A14" s="2" t="s">
        <v>167</v>
      </c>
      <c r="B14" s="3">
        <v>26</v>
      </c>
      <c r="C14" s="3">
        <v>24</v>
      </c>
      <c r="D14" s="3">
        <v>1</v>
      </c>
      <c r="E14" s="7" t="s">
        <v>86</v>
      </c>
      <c r="F14" s="7" t="s">
        <v>86</v>
      </c>
      <c r="G14" s="7" t="s">
        <v>86</v>
      </c>
      <c r="H14" s="7" t="s">
        <v>86</v>
      </c>
      <c r="I14" s="7" t="s">
        <v>86</v>
      </c>
      <c r="J14" s="7" t="s">
        <v>86</v>
      </c>
      <c r="K14" s="7" t="s">
        <v>86</v>
      </c>
      <c r="L14" s="7" t="s">
        <v>86</v>
      </c>
      <c r="M14" s="7" t="s">
        <v>86</v>
      </c>
      <c r="N14" s="7" t="s">
        <v>86</v>
      </c>
      <c r="O14" s="7" t="s">
        <v>86</v>
      </c>
      <c r="P14" s="7" t="s">
        <v>86</v>
      </c>
      <c r="Q14" s="7" t="s">
        <v>86</v>
      </c>
      <c r="R14" s="7" t="s">
        <v>86</v>
      </c>
      <c r="S14" s="7" t="s">
        <v>86</v>
      </c>
      <c r="V14" s="30">
        <v>6</v>
      </c>
      <c r="W14" s="22">
        <v>40348060</v>
      </c>
      <c r="X14" s="31" t="str">
        <f>M34</f>
        <v>11217A0C</v>
      </c>
      <c r="Y14" t="str">
        <f t="shared" si="0"/>
        <v>0x11217A0C,</v>
      </c>
      <c r="Z14" s="32" t="s">
        <v>166</v>
      </c>
    </row>
    <row r="15" spans="1:26">
      <c r="A15" s="2" t="s">
        <v>168</v>
      </c>
      <c r="B15" s="3">
        <v>23</v>
      </c>
      <c r="C15" s="3">
        <v>18</v>
      </c>
      <c r="D15" s="3">
        <v>47</v>
      </c>
      <c r="E15" s="4" t="s">
        <v>217</v>
      </c>
      <c r="F15" s="4" t="s">
        <v>217</v>
      </c>
      <c r="G15" s="4" t="s">
        <v>217</v>
      </c>
      <c r="H15" s="4" t="s">
        <v>217</v>
      </c>
      <c r="I15" s="4" t="s">
        <v>217</v>
      </c>
      <c r="J15" s="4" t="s">
        <v>217</v>
      </c>
      <c r="K15" s="4" t="s">
        <v>217</v>
      </c>
      <c r="L15" s="4" t="s">
        <v>217</v>
      </c>
      <c r="M15" s="4" t="s">
        <v>217</v>
      </c>
      <c r="N15" s="4" t="s">
        <v>217</v>
      </c>
      <c r="O15" s="4" t="s">
        <v>217</v>
      </c>
      <c r="P15" s="4" t="s">
        <v>217</v>
      </c>
      <c r="Q15" s="4" t="s">
        <v>217</v>
      </c>
      <c r="R15" s="4" t="s">
        <v>217</v>
      </c>
      <c r="S15" s="4" t="s">
        <v>217</v>
      </c>
      <c r="V15" s="30"/>
      <c r="W15" s="22">
        <v>40348064</v>
      </c>
      <c r="X15" s="31" t="str">
        <f>M33</f>
        <v>DBEF01BC</v>
      </c>
      <c r="Y15" t="str">
        <f t="shared" si="0"/>
        <v>0xDBEF01BC,</v>
      </c>
      <c r="Z15" s="32"/>
    </row>
    <row r="16" spans="1:26">
      <c r="A16" s="2" t="s">
        <v>170</v>
      </c>
      <c r="B16" s="3">
        <v>17</v>
      </c>
      <c r="C16" s="3">
        <v>12</v>
      </c>
      <c r="D16" s="3">
        <v>42</v>
      </c>
      <c r="E16" s="4" t="s">
        <v>161</v>
      </c>
      <c r="F16" s="4" t="s">
        <v>161</v>
      </c>
      <c r="G16" s="4" t="s">
        <v>161</v>
      </c>
      <c r="H16" s="4" t="s">
        <v>161</v>
      </c>
      <c r="I16" s="4" t="s">
        <v>161</v>
      </c>
      <c r="J16" s="4" t="s">
        <v>161</v>
      </c>
      <c r="K16" s="4" t="s">
        <v>161</v>
      </c>
      <c r="L16" s="4" t="s">
        <v>161</v>
      </c>
      <c r="M16" s="4" t="s">
        <v>161</v>
      </c>
      <c r="N16" s="4" t="s">
        <v>161</v>
      </c>
      <c r="O16" s="4" t="s">
        <v>161</v>
      </c>
      <c r="P16" s="4" t="s">
        <v>161</v>
      </c>
      <c r="Q16" s="4" t="s">
        <v>161</v>
      </c>
      <c r="R16" s="4" t="s">
        <v>161</v>
      </c>
      <c r="S16" s="4" t="s">
        <v>161</v>
      </c>
      <c r="V16" s="30">
        <v>7</v>
      </c>
      <c r="W16" s="22">
        <v>40348060</v>
      </c>
      <c r="X16" s="31" t="str">
        <f>L34</f>
        <v>11217A0C</v>
      </c>
      <c r="Y16" t="str">
        <f t="shared" si="0"/>
        <v>0x11217A0C,</v>
      </c>
      <c r="Z16" s="32" t="s">
        <v>169</v>
      </c>
    </row>
    <row r="17" spans="1:26">
      <c r="A17" s="2" t="s">
        <v>171</v>
      </c>
      <c r="B17" s="3">
        <v>11</v>
      </c>
      <c r="C17" s="3">
        <v>7</v>
      </c>
      <c r="D17" s="3">
        <v>20</v>
      </c>
      <c r="E17" s="4" t="s">
        <v>158</v>
      </c>
      <c r="F17" s="4">
        <v>20</v>
      </c>
      <c r="G17" s="4" t="s">
        <v>158</v>
      </c>
      <c r="H17" s="4">
        <v>20</v>
      </c>
      <c r="I17" s="4" t="s">
        <v>158</v>
      </c>
      <c r="J17" s="4">
        <v>20</v>
      </c>
      <c r="K17" s="4" t="s">
        <v>158</v>
      </c>
      <c r="L17" s="4">
        <v>20</v>
      </c>
      <c r="M17" s="4" t="s">
        <v>158</v>
      </c>
      <c r="N17" s="4">
        <v>20</v>
      </c>
      <c r="O17" s="4" t="s">
        <v>158</v>
      </c>
      <c r="P17" s="4">
        <v>20</v>
      </c>
      <c r="Q17" s="4" t="s">
        <v>158</v>
      </c>
      <c r="R17" s="4">
        <v>20</v>
      </c>
      <c r="S17" s="4" t="s">
        <v>158</v>
      </c>
      <c r="V17" s="30"/>
      <c r="W17" s="22">
        <v>40348064</v>
      </c>
      <c r="X17" s="31" t="str">
        <f>L33</f>
        <v>DBEF0258</v>
      </c>
      <c r="Y17" t="str">
        <f t="shared" si="0"/>
        <v>0xDBEF0258,</v>
      </c>
      <c r="Z17" s="32"/>
    </row>
    <row r="18" spans="1:26">
      <c r="A18" s="2" t="s">
        <v>173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11217A0C</v>
      </c>
      <c r="Y18" t="str">
        <f t="shared" si="0"/>
        <v>0x11217A0C,</v>
      </c>
      <c r="Z18" s="32" t="s">
        <v>172</v>
      </c>
    </row>
    <row r="19" spans="1:26">
      <c r="A19" s="2" t="s">
        <v>174</v>
      </c>
      <c r="B19" s="3">
        <v>2</v>
      </c>
      <c r="C19" s="3">
        <v>0</v>
      </c>
      <c r="D19" s="3">
        <v>3</v>
      </c>
      <c r="E19" s="4" t="s">
        <v>94</v>
      </c>
      <c r="F19" s="4" t="s">
        <v>94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DBEF4230</v>
      </c>
      <c r="Y19" t="str">
        <f t="shared" si="0"/>
        <v>0xDBEF4230,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11217A0C</v>
      </c>
      <c r="Y20" t="str">
        <f t="shared" si="0"/>
        <v>0x11217A0C,</v>
      </c>
      <c r="Z20" s="32" t="s">
        <v>175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DBEF8270</v>
      </c>
      <c r="Y21" t="str">
        <f t="shared" si="0"/>
        <v>0xDBEF8270,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176</v>
      </c>
      <c r="W22" s="22">
        <v>40348060</v>
      </c>
      <c r="X22" s="31" t="str">
        <f>I34</f>
        <v>11217A0C</v>
      </c>
      <c r="Y22" t="str">
        <f t="shared" si="0"/>
        <v>0x11217A0C,</v>
      </c>
      <c r="Z22" s="32" t="s">
        <v>177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DBEF82F0</v>
      </c>
      <c r="Y23" t="str">
        <f t="shared" si="0"/>
        <v>0xDBEF82F0,</v>
      </c>
      <c r="Z23" s="32"/>
    </row>
    <row r="24" spans="1:26">
      <c r="A24" s="12" t="s">
        <v>178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179</v>
      </c>
      <c r="W24" s="22">
        <v>40348060</v>
      </c>
      <c r="X24" s="31" t="str">
        <f>H34</f>
        <v>11217A0C</v>
      </c>
      <c r="Y24" t="str">
        <f t="shared" si="0"/>
        <v>0x11217A0C,</v>
      </c>
      <c r="Z24" s="32" t="s">
        <v>180</v>
      </c>
    </row>
    <row r="25" spans="1:26">
      <c r="A25" s="12" t="s">
        <v>181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DBEF8470</v>
      </c>
      <c r="Y25" t="str">
        <f t="shared" si="0"/>
        <v>0xDBEF8470,</v>
      </c>
      <c r="Z25" s="32"/>
    </row>
    <row r="26" spans="1:26">
      <c r="A26" s="12" t="s">
        <v>182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183</v>
      </c>
      <c r="W26" s="22">
        <v>40348060</v>
      </c>
      <c r="X26" s="31" t="str">
        <f>G34</f>
        <v>11217A0C</v>
      </c>
      <c r="Y26" t="str">
        <f t="shared" si="0"/>
        <v>0x11217A0C,</v>
      </c>
      <c r="Z26" s="32" t="s">
        <v>184</v>
      </c>
    </row>
    <row r="27" spans="1:26">
      <c r="A27" s="15" t="s">
        <v>185</v>
      </c>
      <c r="V27" s="30"/>
      <c r="W27" s="22">
        <v>40348064</v>
      </c>
      <c r="X27" s="31" t="str">
        <f>G33</f>
        <v>DBEFC3F6</v>
      </c>
      <c r="Y27" t="str">
        <f t="shared" si="0"/>
        <v>0xDBEFC3F6,</v>
      </c>
      <c r="Z27" s="32"/>
    </row>
    <row r="28" spans="22:26">
      <c r="V28" s="30" t="s">
        <v>186</v>
      </c>
      <c r="W28" s="22">
        <v>40348060</v>
      </c>
      <c r="X28" s="31" t="str">
        <f>F34</f>
        <v>11217A0C</v>
      </c>
      <c r="Y28" t="str">
        <f t="shared" si="0"/>
        <v>0x11217A0C,</v>
      </c>
      <c r="Z28" s="32" t="s">
        <v>187</v>
      </c>
    </row>
    <row r="29" spans="22:26">
      <c r="V29" s="30"/>
      <c r="W29" s="22">
        <v>40348064</v>
      </c>
      <c r="X29" s="31" t="str">
        <f>F33</f>
        <v>DBEFC776</v>
      </c>
      <c r="Y29" t="str">
        <f t="shared" si="0"/>
        <v>0xDBEFC776,</v>
      </c>
      <c r="Z29" s="32"/>
    </row>
    <row r="30" spans="22:26">
      <c r="V30" s="30" t="s">
        <v>188</v>
      </c>
      <c r="W30" s="22">
        <v>40348060</v>
      </c>
      <c r="X30" s="31" t="str">
        <f>E34</f>
        <v>11217A0C</v>
      </c>
      <c r="Y30" t="str">
        <f t="shared" si="0"/>
        <v>0x11217A0C,</v>
      </c>
      <c r="Z30" s="32" t="s">
        <v>189</v>
      </c>
    </row>
    <row r="31" spans="1:26">
      <c r="A31" t="s">
        <v>190</v>
      </c>
      <c r="V31" s="30"/>
      <c r="W31" s="22">
        <v>40348064</v>
      </c>
      <c r="X31" s="31" t="str">
        <f>E33</f>
        <v>C1E5C5FF</v>
      </c>
      <c r="Y31" t="str">
        <f t="shared" si="0"/>
        <v>0xC1E5C5FF,</v>
      </c>
      <c r="Z31" s="32"/>
    </row>
    <row r="32" spans="1:26">
      <c r="A32" s="16" t="s">
        <v>191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192</v>
      </c>
      <c r="W32" s="22">
        <v>40348060</v>
      </c>
      <c r="X32" s="31" t="str">
        <f>D34</f>
        <v>19BEAA0B</v>
      </c>
      <c r="Y32" t="str">
        <f t="shared" si="0"/>
        <v>0x19BEAA0B,</v>
      </c>
      <c r="Z32" s="32" t="s">
        <v>193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C1E1C7FF</v>
      </c>
      <c r="E33" s="18" t="str">
        <f>DEC2HEX(POWER(2,$C12-32)*E12+POWER(2,$C11-32)*E11+POWER(2,$C10-32)*E10+POWER(2,$C9-32)*E9+POWER(2,$C8-32)*E8+POWER(2,$C7-32)*E7+POWER(2,$C6-32)*E6+POWER(2,$C5-32)*E5+POWER(2,$C4-32)*E4+POWER(2,$C3-32)*E3+POWER(2,$C2-32)*E2)</f>
        <v>C1E5C5FF</v>
      </c>
      <c r="F33" s="18" t="str">
        <f>DEC2HEX(POWER(2,$C12-32)*F12+POWER(2,$C11-32)*F11+POWER(2,$C10-32)*F10+POWER(2,$C9-32)*F9+POWER(2,$C8-32)*F8+POWER(2,$C7-32)*F7+POWER(2,$C6-32)*F6+POWER(2,$C5-32)*F5+POWER(2,$C4-32)*F4+POWER(2,$C3-32)*F3+POWER(2,$C2-32)*F2)</f>
        <v>DBEFC776</v>
      </c>
      <c r="G33" s="18" t="str">
        <f>DEC2HEX(POWER(2,$C12-32)*G12+POWER(2,$C11-32)*G11+POWER(2,$C10-32)*G10+POWER(2,$C9-32)*G9+POWER(2,$C8-32)*G8+POWER(2,$C7-32)*G7+POWER(2,$C6-32)*G6+POWER(2,$C5-32)*G5+POWER(2,$C4-32)*G4+POWER(2,$C3-32)*G3+POWER(2,$C2-32)*G2)</f>
        <v>DBEFC3F6</v>
      </c>
      <c r="H33" s="18" t="str">
        <f>DEC2HEX(POWER(2,$C12-32)*H12+POWER(2,$C11-32)*H11+POWER(2,$C10-32)*H10+POWER(2,$C9-32)*H9+POWER(2,$C8-32)*H8+POWER(2,$C7-32)*H7+POWER(2,$C6-32)*H6+POWER(2,$C5-32)*H5+POWER(2,$C4-32)*H4+POWER(2,$C3-32)*H3+POWER(2,$C2-32)*H2)</f>
        <v>DBEF8470</v>
      </c>
      <c r="I33" s="18" t="str">
        <f>DEC2HEX(POWER(2,$C12-32)*I12+POWER(2,$C11-32)*I11+POWER(2,$C10-32)*I10+POWER(2,$C9-32)*I9+POWER(2,$C8-32)*I8+POWER(2,$C7-32)*I7+POWER(2,$C6-32)*I6+POWER(2,$C5-32)*I5+POWER(2,$C4-32)*I4+POWER(2,$C3-32)*I3+POWER(2,$C2-32)*I2)</f>
        <v>DBEF82F0</v>
      </c>
      <c r="J33" s="18" t="str">
        <f>DEC2HEX(POWER(2,$C12-32)*J12+POWER(2,$C11-32)*J11+POWER(2,$C10-32)*J10+POWER(2,$C9-32)*J9+POWER(2,$C8-32)*J8+POWER(2,$C7-32)*J7+POWER(2,$C6-32)*J6+POWER(2,$C5-32)*J5+POWER(2,$C4-32)*J4+POWER(2,$C3-32)*J3+POWER(2,$C2-32)*J2)</f>
        <v>DBEF8270</v>
      </c>
      <c r="K33" s="18" t="str">
        <f>DEC2HEX(POWER(2,$C12-32)*K12+POWER(2,$C11-32)*K11+POWER(2,$C10-32)*K10+POWER(2,$C9-32)*K9+POWER(2,$C8-32)*K8+POWER(2,$C7-32)*K7+POWER(2,$C6-32)*K6+POWER(2,$C5-32)*K5+POWER(2,$C4-32)*K4+POWER(2,$C3-32)*K3+POWER(2,$C2-32)*K2)</f>
        <v>DBEF4230</v>
      </c>
      <c r="L33" s="18" t="str">
        <f>DEC2HEX(POWER(2,$C12-32)*L12+POWER(2,$C11-32)*L11+POWER(2,$C10-32)*L10+POWER(2,$C9-32)*L9+POWER(2,$C8-32)*L8+POWER(2,$C7-32)*L7+POWER(2,$C6-32)*L6+POWER(2,$C5-32)*L5+POWER(2,$C4-32)*L4+POWER(2,$C3-32)*L3+POWER(2,$C2-32)*L2)</f>
        <v>DBEF0258</v>
      </c>
      <c r="M33" s="18" t="str">
        <f>DEC2HEX(POWER(2,$C12-32)*M12+POWER(2,$C11-32)*M11+POWER(2,$C10-32)*M10+POWER(2,$C9-32)*M9+POWER(2,$C8-32)*M8+POWER(2,$C7-32)*M7+POWER(2,$C6-32)*M6+POWER(2,$C5-32)*M5+POWER(2,$C4-32)*M4+POWER(2,$C3-32)*M3+POWER(2,$C2-32)*M2)</f>
        <v>DBEF01BC</v>
      </c>
      <c r="N33" s="18" t="str">
        <f>DEC2HEX(POWER(2,$C12-32)*N12+POWER(2,$C11-32)*N11+POWER(2,$C10-32)*N10+POWER(2,$C9-32)*N9+POWER(2,$C8-32)*N8+POWER(2,$C7-32)*N7+POWER(2,$C6-32)*N6+POWER(2,$C5-32)*N5+POWER(2,$C4-32)*N4+POWER(2,$C3-32)*N3+POWER(2,$C2-32)*N2)</f>
        <v>DBEEC152</v>
      </c>
      <c r="O33" s="18" t="str">
        <f>DEC2HEX(POWER(2,$C12-32)*O12+POWER(2,$C11-32)*O11+POWER(2,$C10-32)*O10+POWER(2,$C9-32)*O9+POWER(2,$C8-32)*O8+POWER(2,$C7-32)*O7+POWER(2,$C6-32)*O6+POWER(2,$C5-32)*O5+POWER(2,$C4-32)*O4+POWER(2,$C3-32)*O3+POWER(2,$C2-32)*O2)</f>
        <v>DBEE81D0</v>
      </c>
      <c r="P33" s="18" t="str">
        <f>DEC2HEX(POWER(2,$C12-32)*P12+POWER(2,$C11-32)*P11+POWER(2,$C10-32)*P10+POWER(2,$C9-32)*P9+POWER(2,$C8-32)*P8+POWER(2,$C7-32)*P7+POWER(2,$C6-32)*P6+POWER(2,$C5-32)*P5+POWER(2,$C4-32)*P4+POWER(2,$C3-32)*P3+POWER(2,$C2-32)*P2)</f>
        <v>DBEE812F</v>
      </c>
      <c r="Q33" s="18" t="str">
        <f>DEC2HEX(POWER(2,$C12-32)*Q12+POWER(2,$C11-32)*Q11+POWER(2,$C10-32)*Q10+POWER(2,$C9-32)*Q9+POWER(2,$C8-32)*Q8+POWER(2,$C7-32)*Q7+POWER(2,$C6-32)*Q6+POWER(2,$C5-32)*Q5+POWER(2,$C4-32)*Q4+POWER(2,$C3-32)*Q3+POWER(2,$C2-32)*Q2)</f>
        <v>DBEE4216</v>
      </c>
      <c r="R33" s="18" t="str">
        <f>DEC2HEX(POWER(2,$C12-32)*R12+POWER(2,$C11-32)*R11+POWER(2,$C10-32)*R10+POWER(2,$C9-32)*R9+POWER(2,$C8-32)*R8+POWER(2,$C7-32)*R7+POWER(2,$C6-32)*R6+POWER(2,$C5-32)*R5+POWER(2,$C4-32)*R4+POWER(2,$C3-32)*R3+POWER(2,$C2-32)*R2)</f>
        <v>DBEE4196</v>
      </c>
      <c r="S33" s="18" t="str">
        <f>DEC2HEX(POWER(2,$C12-32)*S12+POWER(2,$C11-32)*S11+POWER(2,$C10-32)*S10+POWER(2,$C9-32)*S9+POWER(2,$C8-32)*S8+POWER(2,$C7-32)*S7+POWER(2,$C6-32)*S6+POWER(2,$C5-32)*S5+POWER(2,$C4-32)*S4+POWER(2,$C3-32)*S3+POWER(2,$C2-32)*S2)</f>
        <v>DBEE4136</v>
      </c>
      <c r="V33" s="29"/>
      <c r="W33" s="22">
        <v>40348064</v>
      </c>
      <c r="X33" s="31" t="str">
        <f>D33</f>
        <v>C1E1C7FF</v>
      </c>
      <c r="Y33" t="str">
        <f t="shared" si="0"/>
        <v>0xC1E1C7FF,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19BEAA0B</v>
      </c>
      <c r="E34" s="18" t="str">
        <f>DEC2HEX(POWER(2,$C20)*E20+POWER(2,$C19)*E19+POWER(2,$C18)*E18+POWER(2,$C17)*E17+POWER(2,$C16)*E16+POWER(2,$C15)*E15+POWER(2,$C14)*E14+POWER(2,$C13)*E13)</f>
        <v>11217A0C</v>
      </c>
      <c r="F34" s="18" t="str">
        <f>DEC2HEX(POWER(2,$C20)*F20+POWER(2,$C19)*F19+POWER(2,$C18)*F18+POWER(2,$C17)*F17+POWER(2,$C16)*F16+POWER(2,$C15)*F15+POWER(2,$C14)*F14+POWER(2,$C13)*F13)</f>
        <v>11217A0C</v>
      </c>
      <c r="G34" s="18" t="str">
        <f>DEC2HEX(POWER(2,$C20)*G20+POWER(2,$C19)*G19+POWER(2,$C18)*G18+POWER(2,$C17)*G17+POWER(2,$C16)*G16+POWER(2,$C15)*G15+POWER(2,$C14)*G14+POWER(2,$C13)*G13)</f>
        <v>11217A0C</v>
      </c>
      <c r="H34" s="18" t="str">
        <f>DEC2HEX(POWER(2,$C20)*H20+POWER(2,$C19)*H19+POWER(2,$C18)*H18+POWER(2,$C17)*H17+POWER(2,$C16)*H16+POWER(2,$C15)*H15+POWER(2,$C14)*H14+POWER(2,$C13)*H13)</f>
        <v>11217A0C</v>
      </c>
      <c r="I34" s="18" t="str">
        <f>DEC2HEX(POWER(2,$C20)*I20+POWER(2,$C19)*I19+POWER(2,$C18)*I18+POWER(2,$C17)*I17+POWER(2,$C16)*I16+POWER(2,$C15)*I15+POWER(2,$C14)*I14+POWER(2,$C13)*I13)</f>
        <v>11217A0C</v>
      </c>
      <c r="J34" s="18" t="str">
        <f>DEC2HEX(POWER(2,$C20)*J20+POWER(2,$C19)*J19+POWER(2,$C18)*J18+POWER(2,$C17)*J17+POWER(2,$C16)*J16+POWER(2,$C15)*J15+POWER(2,$C14)*J14+POWER(2,$C13)*J13)</f>
        <v>11217A0C</v>
      </c>
      <c r="K34" s="18" t="str">
        <f>DEC2HEX(POWER(2,$C20)*K20+POWER(2,$C19)*K19+POWER(2,$C18)*K18+POWER(2,$C17)*K17+POWER(2,$C16)*K16+POWER(2,$C15)*K15+POWER(2,$C14)*K14+POWER(2,$C13)*K13)</f>
        <v>11217A0C</v>
      </c>
      <c r="L34" s="18" t="str">
        <f>DEC2HEX(POWER(2,$C20)*L20+POWER(2,$C19)*L19+POWER(2,$C18)*L18+POWER(2,$C17)*L17+POWER(2,$C16)*L16+POWER(2,$C15)*L15+POWER(2,$C14)*L14+POWER(2,$C13)*L13)</f>
        <v>11217A0C</v>
      </c>
      <c r="M34" s="18" t="str">
        <f>DEC2HEX(POWER(2,$C20)*M20+POWER(2,$C19)*M19+POWER(2,$C18)*M18+POWER(2,$C17)*M17+POWER(2,$C16)*M16+POWER(2,$C15)*M15+POWER(2,$C14)*M14+POWER(2,$C13)*M13)</f>
        <v>11217A0C</v>
      </c>
      <c r="N34" s="18" t="str">
        <f>DEC2HEX(POWER(2,$C20)*N20+POWER(2,$C19)*N19+POWER(2,$C18)*N18+POWER(2,$C17)*N17+POWER(2,$C16)*N16+POWER(2,$C15)*N15+POWER(2,$C14)*N14+POWER(2,$C13)*N13)</f>
        <v>11217A0C</v>
      </c>
      <c r="O34" s="18" t="str">
        <f>DEC2HEX(POWER(2,$C20)*O20+POWER(2,$C19)*O19+POWER(2,$C18)*O18+POWER(2,$C17)*O17+POWER(2,$C16)*O16+POWER(2,$C15)*O15+POWER(2,$C14)*O14+POWER(2,$C13)*O13)</f>
        <v>11217A0C</v>
      </c>
      <c r="P34" s="18" t="str">
        <f>DEC2HEX(POWER(2,$C20)*P20+POWER(2,$C19)*P19+POWER(2,$C18)*P18+POWER(2,$C17)*P17+POWER(2,$C16)*P16+POWER(2,$C15)*P15+POWER(2,$C14)*P14+POWER(2,$C13)*P13)</f>
        <v>11217A0C</v>
      </c>
      <c r="Q34" s="18" t="str">
        <f>DEC2HEX(POWER(2,$C20)*Q20+POWER(2,$C19)*Q19+POWER(2,$C18)*Q18+POWER(2,$C17)*Q17+POWER(2,$C16)*Q16+POWER(2,$C15)*Q15+POWER(2,$C14)*Q14+POWER(2,$C13)*Q13)</f>
        <v>11217A0C</v>
      </c>
      <c r="R34" s="18" t="str">
        <f>DEC2HEX(POWER(2,$C20)*R20+POWER(2,$C19)*R19+POWER(2,$C18)*R18+POWER(2,$C17)*R17+POWER(2,$C16)*R16+POWER(2,$C15)*R15+POWER(2,$C14)*R14+POWER(2,$C13)*R13)</f>
        <v>11217A0C</v>
      </c>
      <c r="S34" s="18" t="str">
        <f>DEC2HEX(POWER(2,$C20)*S20+POWER(2,$C19)*S19+POWER(2,$C18)*S18+POWER(2,$C17)*S17+POWER(2,$C16)*S16+POWER(2,$C15)*S15+POWER(2,$C14)*S14+POWER(2,$C13)*S13)</f>
        <v>11217A0C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H24" sqref="H24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208</v>
      </c>
      <c r="B2" s="3">
        <v>63</v>
      </c>
      <c r="C2" s="3">
        <v>62</v>
      </c>
      <c r="D2" s="3">
        <v>3</v>
      </c>
      <c r="E2" s="4" t="s">
        <v>80</v>
      </c>
      <c r="F2" s="4" t="s">
        <v>80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13217A0C</v>
      </c>
      <c r="Y2" t="str">
        <f t="shared" ref="Y2:Y33" si="0">"0x"&amp;RIGHT("00000000"&amp;X2,8)&amp;","</f>
        <v>0x13217A0C,</v>
      </c>
      <c r="Z2" s="32" t="s">
        <v>142</v>
      </c>
    </row>
    <row r="3" spans="1:26">
      <c r="A3" s="2" t="s">
        <v>209</v>
      </c>
      <c r="B3" s="3">
        <v>61</v>
      </c>
      <c r="C3" s="3">
        <v>57</v>
      </c>
      <c r="D3" s="3">
        <v>0</v>
      </c>
      <c r="E3" s="4" t="s">
        <v>72</v>
      </c>
      <c r="F3" s="4" t="s">
        <v>226</v>
      </c>
      <c r="G3" s="4">
        <v>13</v>
      </c>
      <c r="H3" s="4">
        <v>13</v>
      </c>
      <c r="I3" s="4" t="s">
        <v>226</v>
      </c>
      <c r="J3" s="4" t="s">
        <v>226</v>
      </c>
      <c r="K3" s="4" t="s">
        <v>226</v>
      </c>
      <c r="L3" s="4" t="s">
        <v>226</v>
      </c>
      <c r="M3" s="4" t="s">
        <v>226</v>
      </c>
      <c r="N3" s="4" t="s">
        <v>226</v>
      </c>
      <c r="O3" s="4" t="s">
        <v>226</v>
      </c>
      <c r="P3" s="4" t="s">
        <v>226</v>
      </c>
      <c r="Q3" s="4" t="s">
        <v>226</v>
      </c>
      <c r="R3" s="4" t="s">
        <v>226</v>
      </c>
      <c r="S3" s="4" t="s">
        <v>226</v>
      </c>
      <c r="V3" s="30"/>
      <c r="W3" s="22">
        <v>40348064</v>
      </c>
      <c r="X3" s="31" t="str">
        <f>S33</f>
        <v>DBEE4136</v>
      </c>
      <c r="Y3" t="str">
        <f t="shared" si="0"/>
        <v>0xDBEE4136,</v>
      </c>
      <c r="Z3" s="32"/>
    </row>
    <row r="4" spans="1:26">
      <c r="A4" s="2" t="s">
        <v>210</v>
      </c>
      <c r="B4" s="3">
        <v>56</v>
      </c>
      <c r="C4" s="3">
        <v>56</v>
      </c>
      <c r="D4" s="3">
        <v>1</v>
      </c>
      <c r="E4" s="4" t="s">
        <v>86</v>
      </c>
      <c r="F4" s="4" t="s">
        <v>86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13217A0C</v>
      </c>
      <c r="Y4" t="str">
        <f t="shared" si="0"/>
        <v>0x13217A0C,</v>
      </c>
      <c r="Z4" s="32" t="s">
        <v>146</v>
      </c>
    </row>
    <row r="5" spans="1:26">
      <c r="A5" s="2" t="s">
        <v>211</v>
      </c>
      <c r="B5" s="3">
        <v>55</v>
      </c>
      <c r="C5" s="3">
        <v>53</v>
      </c>
      <c r="D5" s="3">
        <v>7</v>
      </c>
      <c r="E5" s="4" t="s">
        <v>127</v>
      </c>
      <c r="F5" s="4" t="s">
        <v>127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DBEE4196</v>
      </c>
      <c r="Y5" t="str">
        <f t="shared" si="0"/>
        <v>0xDBEE4196,</v>
      </c>
      <c r="Z5" s="32"/>
    </row>
    <row r="6" spans="1:26">
      <c r="A6" s="2" t="s">
        <v>212</v>
      </c>
      <c r="B6" s="3">
        <v>52</v>
      </c>
      <c r="C6" s="3">
        <v>49</v>
      </c>
      <c r="D6" s="3">
        <v>0</v>
      </c>
      <c r="E6" s="4" t="s">
        <v>118</v>
      </c>
      <c r="F6" s="4" t="s">
        <v>127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13217A0C</v>
      </c>
      <c r="Y6" t="str">
        <f t="shared" si="0"/>
        <v>0x13217A0C,</v>
      </c>
      <c r="Z6" s="32" t="s">
        <v>149</v>
      </c>
    </row>
    <row r="7" spans="1:26">
      <c r="A7" s="2" t="s">
        <v>213</v>
      </c>
      <c r="B7" s="3">
        <v>48</v>
      </c>
      <c r="C7" s="3">
        <v>46</v>
      </c>
      <c r="D7" s="3">
        <v>7</v>
      </c>
      <c r="E7" s="4" t="s">
        <v>127</v>
      </c>
      <c r="F7" s="4" t="s">
        <v>127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DBEE4216</v>
      </c>
      <c r="Y7" t="str">
        <f t="shared" si="0"/>
        <v>0xDBEE4216,</v>
      </c>
      <c r="Z7" s="3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 t="s">
        <v>72</v>
      </c>
      <c r="F8" s="4" t="s">
        <v>72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13217A0C</v>
      </c>
      <c r="Y8" t="str">
        <f t="shared" si="0"/>
        <v>0x13217A0C,</v>
      </c>
      <c r="Z8" s="3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 t="s">
        <v>72</v>
      </c>
      <c r="F9" s="4" t="s">
        <v>72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DBEE812F</v>
      </c>
      <c r="Y9" t="str">
        <f t="shared" si="0"/>
        <v>0xDBEE812F,</v>
      </c>
      <c r="Z9" s="32"/>
    </row>
    <row r="10" ht="15.75" spans="1:26">
      <c r="A10" s="2" t="s">
        <v>156</v>
      </c>
      <c r="B10" s="3">
        <v>42</v>
      </c>
      <c r="C10" s="3">
        <v>37</v>
      </c>
      <c r="D10" s="3">
        <v>63</v>
      </c>
      <c r="E10" s="5" t="s">
        <v>228</v>
      </c>
      <c r="F10" s="34" t="s">
        <v>219</v>
      </c>
      <c r="G10" s="6" t="s">
        <v>206</v>
      </c>
      <c r="H10" s="5">
        <v>35</v>
      </c>
      <c r="I10" s="6" t="s">
        <v>158</v>
      </c>
      <c r="J10" s="5">
        <v>19</v>
      </c>
      <c r="K10" s="6" t="s">
        <v>194</v>
      </c>
      <c r="L10" s="5">
        <v>18</v>
      </c>
      <c r="M10" s="5">
        <v>13</v>
      </c>
      <c r="N10" s="5">
        <v>10</v>
      </c>
      <c r="O10" s="6" t="s">
        <v>226</v>
      </c>
      <c r="P10" s="5">
        <v>9</v>
      </c>
      <c r="Q10" s="5">
        <v>16</v>
      </c>
      <c r="R10" s="5">
        <v>12</v>
      </c>
      <c r="S10" s="5">
        <v>9</v>
      </c>
      <c r="V10" s="30">
        <v>4</v>
      </c>
      <c r="W10" s="22">
        <v>40348060</v>
      </c>
      <c r="X10" s="31" t="str">
        <f>O34</f>
        <v>13217A0C</v>
      </c>
      <c r="Y10" t="str">
        <f t="shared" si="0"/>
        <v>0x13217A0C,</v>
      </c>
      <c r="Z10" s="32" t="s">
        <v>155</v>
      </c>
    </row>
    <row r="11" spans="1:26">
      <c r="A11" s="2" t="s">
        <v>160</v>
      </c>
      <c r="B11" s="3">
        <v>36</v>
      </c>
      <c r="C11" s="3">
        <v>32</v>
      </c>
      <c r="D11" s="3">
        <v>31</v>
      </c>
      <c r="E11" s="5" t="s">
        <v>229</v>
      </c>
      <c r="F11" s="5" t="s">
        <v>205</v>
      </c>
      <c r="G11" s="5">
        <v>22</v>
      </c>
      <c r="H11" s="5">
        <v>16</v>
      </c>
      <c r="I11" s="5">
        <v>16</v>
      </c>
      <c r="J11" s="5">
        <v>16</v>
      </c>
      <c r="K11" s="5">
        <v>16</v>
      </c>
      <c r="L11" s="5">
        <v>24</v>
      </c>
      <c r="M11" s="5">
        <v>26</v>
      </c>
      <c r="N11" s="5">
        <v>18</v>
      </c>
      <c r="O11" s="6" t="s">
        <v>216</v>
      </c>
      <c r="P11" s="5">
        <v>15</v>
      </c>
      <c r="Q11" s="5">
        <v>22</v>
      </c>
      <c r="R11" s="5">
        <v>22</v>
      </c>
      <c r="S11" s="5">
        <v>22</v>
      </c>
      <c r="V11" s="30"/>
      <c r="W11" s="22">
        <v>40348064</v>
      </c>
      <c r="X11" s="31" t="str">
        <f>O33</f>
        <v>DBEE81B3</v>
      </c>
      <c r="Y11" t="str">
        <f t="shared" si="0"/>
        <v>0xDBEE81B3,</v>
      </c>
      <c r="Z11" s="32"/>
    </row>
    <row r="12" spans="1:26">
      <c r="A12" s="2" t="s">
        <v>164</v>
      </c>
      <c r="B12" s="3">
        <v>31</v>
      </c>
      <c r="C12" s="3">
        <v>29</v>
      </c>
      <c r="D12" s="3">
        <v>0</v>
      </c>
      <c r="E12" s="7" t="s">
        <v>72</v>
      </c>
      <c r="F12" s="7" t="s">
        <v>72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13217A0C</v>
      </c>
      <c r="Y12" t="str">
        <f t="shared" si="0"/>
        <v>0x13217A0C,</v>
      </c>
      <c r="Z12" s="32" t="s">
        <v>163</v>
      </c>
    </row>
    <row r="13" spans="1:26">
      <c r="A13" s="2" t="s">
        <v>165</v>
      </c>
      <c r="B13" s="3">
        <v>28</v>
      </c>
      <c r="C13" s="3">
        <v>27</v>
      </c>
      <c r="D13" s="3">
        <v>3</v>
      </c>
      <c r="E13" s="7" t="s">
        <v>118</v>
      </c>
      <c r="F13" s="7" t="s">
        <v>118</v>
      </c>
      <c r="G13" s="7">
        <v>2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DBEEC152</v>
      </c>
      <c r="Y13" t="str">
        <f t="shared" si="0"/>
        <v>0xDBEEC152,</v>
      </c>
      <c r="Z13" s="32"/>
    </row>
    <row r="14" spans="1:26">
      <c r="A14" s="2" t="s">
        <v>167</v>
      </c>
      <c r="B14" s="3">
        <v>26</v>
      </c>
      <c r="C14" s="3">
        <v>24</v>
      </c>
      <c r="D14" s="3">
        <v>3</v>
      </c>
      <c r="E14" s="7" t="s">
        <v>80</v>
      </c>
      <c r="F14" s="7" t="s">
        <v>80</v>
      </c>
      <c r="G14" s="7" t="s">
        <v>80</v>
      </c>
      <c r="H14" s="7" t="s">
        <v>80</v>
      </c>
      <c r="I14" s="7" t="s">
        <v>80</v>
      </c>
      <c r="J14" s="7" t="s">
        <v>80</v>
      </c>
      <c r="K14" s="7" t="s">
        <v>80</v>
      </c>
      <c r="L14" s="7" t="s">
        <v>80</v>
      </c>
      <c r="M14" s="7" t="s">
        <v>80</v>
      </c>
      <c r="N14" s="7" t="s">
        <v>80</v>
      </c>
      <c r="O14" s="7" t="s">
        <v>80</v>
      </c>
      <c r="P14" s="7" t="s">
        <v>80</v>
      </c>
      <c r="Q14" s="7" t="s">
        <v>80</v>
      </c>
      <c r="R14" s="7" t="s">
        <v>80</v>
      </c>
      <c r="S14" s="7" t="s">
        <v>80</v>
      </c>
      <c r="V14" s="30">
        <v>6</v>
      </c>
      <c r="W14" s="22">
        <v>40348060</v>
      </c>
      <c r="X14" s="31" t="str">
        <f>M34</f>
        <v>13217A0C</v>
      </c>
      <c r="Y14" t="str">
        <f t="shared" si="0"/>
        <v>0x13217A0C,</v>
      </c>
      <c r="Z14" s="32" t="s">
        <v>166</v>
      </c>
    </row>
    <row r="15" spans="1:26">
      <c r="A15" s="2" t="s">
        <v>168</v>
      </c>
      <c r="B15" s="3">
        <v>23</v>
      </c>
      <c r="C15" s="3">
        <v>18</v>
      </c>
      <c r="D15" s="3">
        <v>47</v>
      </c>
      <c r="E15" s="4" t="s">
        <v>217</v>
      </c>
      <c r="F15" s="4" t="s">
        <v>217</v>
      </c>
      <c r="G15" s="4" t="s">
        <v>217</v>
      </c>
      <c r="H15" s="4" t="s">
        <v>217</v>
      </c>
      <c r="I15" s="4" t="s">
        <v>217</v>
      </c>
      <c r="J15" s="4" t="s">
        <v>217</v>
      </c>
      <c r="K15" s="4" t="s">
        <v>217</v>
      </c>
      <c r="L15" s="4" t="s">
        <v>217</v>
      </c>
      <c r="M15" s="4" t="s">
        <v>217</v>
      </c>
      <c r="N15" s="4" t="s">
        <v>217</v>
      </c>
      <c r="O15" s="4" t="s">
        <v>217</v>
      </c>
      <c r="P15" s="4" t="s">
        <v>217</v>
      </c>
      <c r="Q15" s="4" t="s">
        <v>217</v>
      </c>
      <c r="R15" s="4" t="s">
        <v>217</v>
      </c>
      <c r="S15" s="4" t="s">
        <v>217</v>
      </c>
      <c r="V15" s="30"/>
      <c r="W15" s="22">
        <v>40348064</v>
      </c>
      <c r="X15" s="31" t="str">
        <f>M33</f>
        <v>DBEF01BA</v>
      </c>
      <c r="Y15" t="str">
        <f t="shared" si="0"/>
        <v>0xDBEF01BA,</v>
      </c>
      <c r="Z15" s="32"/>
    </row>
    <row r="16" spans="1:26">
      <c r="A16" s="2" t="s">
        <v>170</v>
      </c>
      <c r="B16" s="3">
        <v>17</v>
      </c>
      <c r="C16" s="3">
        <v>12</v>
      </c>
      <c r="D16" s="3">
        <v>42</v>
      </c>
      <c r="E16" s="4" t="s">
        <v>161</v>
      </c>
      <c r="F16" s="4" t="s">
        <v>161</v>
      </c>
      <c r="G16" s="4" t="s">
        <v>161</v>
      </c>
      <c r="H16" s="4" t="s">
        <v>161</v>
      </c>
      <c r="I16" s="4" t="s">
        <v>161</v>
      </c>
      <c r="J16" s="4" t="s">
        <v>161</v>
      </c>
      <c r="K16" s="4" t="s">
        <v>161</v>
      </c>
      <c r="L16" s="4" t="s">
        <v>161</v>
      </c>
      <c r="M16" s="4" t="s">
        <v>161</v>
      </c>
      <c r="N16" s="4" t="s">
        <v>161</v>
      </c>
      <c r="O16" s="4" t="s">
        <v>161</v>
      </c>
      <c r="P16" s="4" t="s">
        <v>161</v>
      </c>
      <c r="Q16" s="4" t="s">
        <v>161</v>
      </c>
      <c r="R16" s="4" t="s">
        <v>161</v>
      </c>
      <c r="S16" s="4" t="s">
        <v>161</v>
      </c>
      <c r="V16" s="30">
        <v>7</v>
      </c>
      <c r="W16" s="22">
        <v>40348060</v>
      </c>
      <c r="X16" s="31" t="str">
        <f>L34</f>
        <v>13217A0C</v>
      </c>
      <c r="Y16" t="str">
        <f t="shared" si="0"/>
        <v>0x13217A0C,</v>
      </c>
      <c r="Z16" s="32" t="s">
        <v>169</v>
      </c>
    </row>
    <row r="17" spans="1:26">
      <c r="A17" s="2" t="s">
        <v>171</v>
      </c>
      <c r="B17" s="3">
        <v>11</v>
      </c>
      <c r="C17" s="3">
        <v>7</v>
      </c>
      <c r="D17" s="3">
        <v>20</v>
      </c>
      <c r="E17" s="4" t="s">
        <v>158</v>
      </c>
      <c r="F17" s="4">
        <v>20</v>
      </c>
      <c r="G17" s="4" t="s">
        <v>158</v>
      </c>
      <c r="H17" s="4">
        <v>20</v>
      </c>
      <c r="I17" s="4" t="s">
        <v>158</v>
      </c>
      <c r="J17" s="4">
        <v>20</v>
      </c>
      <c r="K17" s="4" t="s">
        <v>158</v>
      </c>
      <c r="L17" s="4">
        <v>20</v>
      </c>
      <c r="M17" s="4" t="s">
        <v>158</v>
      </c>
      <c r="N17" s="4">
        <v>20</v>
      </c>
      <c r="O17" s="4" t="s">
        <v>158</v>
      </c>
      <c r="P17" s="4">
        <v>20</v>
      </c>
      <c r="Q17" s="4" t="s">
        <v>158</v>
      </c>
      <c r="R17" s="4">
        <v>20</v>
      </c>
      <c r="S17" s="4" t="s">
        <v>158</v>
      </c>
      <c r="V17" s="30"/>
      <c r="W17" s="22">
        <v>40348064</v>
      </c>
      <c r="X17" s="31" t="str">
        <f>L33</f>
        <v>DBEF0258</v>
      </c>
      <c r="Y17" t="str">
        <f t="shared" si="0"/>
        <v>0xDBEF0258,</v>
      </c>
      <c r="Z17" s="32"/>
    </row>
    <row r="18" spans="1:26">
      <c r="A18" s="2" t="s">
        <v>173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13217A0C</v>
      </c>
      <c r="Y18" t="str">
        <f t="shared" si="0"/>
        <v>0x13217A0C,</v>
      </c>
      <c r="Z18" s="32" t="s">
        <v>172</v>
      </c>
    </row>
    <row r="19" spans="1:26">
      <c r="A19" s="2" t="s">
        <v>174</v>
      </c>
      <c r="B19" s="3">
        <v>2</v>
      </c>
      <c r="C19" s="3">
        <v>0</v>
      </c>
      <c r="D19" s="3">
        <v>3</v>
      </c>
      <c r="E19" s="4" t="s">
        <v>94</v>
      </c>
      <c r="F19" s="4" t="s">
        <v>94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DBEF4210</v>
      </c>
      <c r="Y19" t="str">
        <f t="shared" si="0"/>
        <v>0xDBEF4210,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13217A0C</v>
      </c>
      <c r="Y20" t="str">
        <f t="shared" si="0"/>
        <v>0x13217A0C,</v>
      </c>
      <c r="Z20" s="32" t="s">
        <v>175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DBEF8270</v>
      </c>
      <c r="Y21" t="str">
        <f t="shared" si="0"/>
        <v>0xDBEF8270,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176</v>
      </c>
      <c r="W22" s="22">
        <v>40348060</v>
      </c>
      <c r="X22" s="31" t="str">
        <f>I34</f>
        <v>13217A0C</v>
      </c>
      <c r="Y22" t="str">
        <f t="shared" si="0"/>
        <v>0x13217A0C,</v>
      </c>
      <c r="Z22" s="32" t="s">
        <v>177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DBEF8290</v>
      </c>
      <c r="Y23" t="str">
        <f t="shared" si="0"/>
        <v>0xDBEF8290,</v>
      </c>
      <c r="Z23" s="32"/>
    </row>
    <row r="24" spans="1:26">
      <c r="A24" s="12" t="s">
        <v>178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179</v>
      </c>
      <c r="W24" s="22">
        <v>40348060</v>
      </c>
      <c r="X24" s="31" t="str">
        <f>H34</f>
        <v>13217A0C</v>
      </c>
      <c r="Y24" t="str">
        <f t="shared" si="0"/>
        <v>0x13217A0C,</v>
      </c>
      <c r="Z24" s="32" t="s">
        <v>180</v>
      </c>
    </row>
    <row r="25" spans="1:26">
      <c r="A25" s="12" t="s">
        <v>181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DBEF8470</v>
      </c>
      <c r="Y25" t="str">
        <f t="shared" si="0"/>
        <v>0xDBEF8470,</v>
      </c>
      <c r="Z25" s="32"/>
    </row>
    <row r="26" spans="1:26">
      <c r="A26" s="12" t="s">
        <v>182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183</v>
      </c>
      <c r="W26" s="22">
        <v>40348060</v>
      </c>
      <c r="X26" s="31" t="str">
        <f>G34</f>
        <v>13217A0C</v>
      </c>
      <c r="Y26" t="str">
        <f t="shared" si="0"/>
        <v>0x13217A0C,</v>
      </c>
      <c r="Z26" s="32" t="s">
        <v>184</v>
      </c>
    </row>
    <row r="27" spans="1:26">
      <c r="A27" s="15" t="s">
        <v>185</v>
      </c>
      <c r="V27" s="30"/>
      <c r="W27" s="22">
        <v>40348064</v>
      </c>
      <c r="X27" s="31" t="str">
        <f>G33</f>
        <v>DBEFC376</v>
      </c>
      <c r="Y27" t="str">
        <f t="shared" si="0"/>
        <v>0xDBEFC376,</v>
      </c>
      <c r="Z27" s="32"/>
    </row>
    <row r="28" spans="22:26">
      <c r="V28" s="30" t="s">
        <v>186</v>
      </c>
      <c r="W28" s="22">
        <v>40348060</v>
      </c>
      <c r="X28" s="31" t="str">
        <f>F34</f>
        <v>13217A0C</v>
      </c>
      <c r="Y28" t="str">
        <f t="shared" si="0"/>
        <v>0x13217A0C,</v>
      </c>
      <c r="Z28" s="32" t="s">
        <v>187</v>
      </c>
    </row>
    <row r="29" spans="22:26">
      <c r="V29" s="30"/>
      <c r="W29" s="22">
        <v>40348064</v>
      </c>
      <c r="X29" s="31" t="str">
        <f>F33</f>
        <v>DBEFC516</v>
      </c>
      <c r="Y29" t="str">
        <f t="shared" si="0"/>
        <v>0xDBEFC516,</v>
      </c>
      <c r="Z29" s="32"/>
    </row>
    <row r="30" spans="22:26">
      <c r="V30" s="30" t="s">
        <v>188</v>
      </c>
      <c r="W30" s="22">
        <v>40348060</v>
      </c>
      <c r="X30" s="31" t="str">
        <f>E34</f>
        <v>13217A0C</v>
      </c>
      <c r="Y30" t="str">
        <f t="shared" si="0"/>
        <v>0x13217A0C,</v>
      </c>
      <c r="Z30" s="32" t="s">
        <v>189</v>
      </c>
    </row>
    <row r="31" spans="1:26">
      <c r="A31" t="s">
        <v>190</v>
      </c>
      <c r="V31" s="30"/>
      <c r="W31" s="22">
        <v>40348064</v>
      </c>
      <c r="X31" s="31" t="str">
        <f>E33</f>
        <v>C1E5C7FF</v>
      </c>
      <c r="Y31" t="str">
        <f t="shared" si="0"/>
        <v>0xC1E5C7FF,</v>
      </c>
      <c r="Z31" s="32"/>
    </row>
    <row r="32" spans="1:26">
      <c r="A32" s="16" t="s">
        <v>191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192</v>
      </c>
      <c r="W32" s="22">
        <v>40348060</v>
      </c>
      <c r="X32" s="31" t="str">
        <f>D34</f>
        <v>1BBEAA0B</v>
      </c>
      <c r="Y32" t="str">
        <f t="shared" si="0"/>
        <v>0x1BBEAA0B,</v>
      </c>
      <c r="Z32" s="32" t="s">
        <v>193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C1E1C7FF</v>
      </c>
      <c r="E33" s="18" t="str">
        <f>DEC2HEX(POWER(2,$C12-32)*E12+POWER(2,$C11-32)*E11+POWER(2,$C10-32)*E10+POWER(2,$C9-32)*E9+POWER(2,$C8-32)*E8+POWER(2,$C7-32)*E7+POWER(2,$C6-32)*E6+POWER(2,$C5-32)*E5+POWER(2,$C4-32)*E4+POWER(2,$C3-32)*E3+POWER(2,$C2-32)*E2)</f>
        <v>C1E5C7FF</v>
      </c>
      <c r="F33" s="18" t="str">
        <f>DEC2HEX(POWER(2,$C12-32)*F12+POWER(2,$C11-32)*F11+POWER(2,$C10-32)*F10+POWER(2,$C9-32)*F9+POWER(2,$C8-32)*F8+POWER(2,$C7-32)*F7+POWER(2,$C6-32)*F6+POWER(2,$C5-32)*F5+POWER(2,$C4-32)*F4+POWER(2,$C3-32)*F3+POWER(2,$C2-32)*F2)</f>
        <v>DBEFC516</v>
      </c>
      <c r="G33" s="18" t="str">
        <f>DEC2HEX(POWER(2,$C12-32)*G12+POWER(2,$C11-32)*G11+POWER(2,$C10-32)*G10+POWER(2,$C9-32)*G9+POWER(2,$C8-32)*G8+POWER(2,$C7-32)*G7+POWER(2,$C6-32)*G6+POWER(2,$C5-32)*G5+POWER(2,$C4-32)*G4+POWER(2,$C3-32)*G3+POWER(2,$C2-32)*G2)</f>
        <v>DBEFC376</v>
      </c>
      <c r="H33" s="18" t="str">
        <f>DEC2HEX(POWER(2,$C12-32)*H12+POWER(2,$C11-32)*H11+POWER(2,$C10-32)*H10+POWER(2,$C9-32)*H9+POWER(2,$C8-32)*H8+POWER(2,$C7-32)*H7+POWER(2,$C6-32)*H6+POWER(2,$C5-32)*H5+POWER(2,$C4-32)*H4+POWER(2,$C3-32)*H3+POWER(2,$C2-32)*H2)</f>
        <v>DBEF8470</v>
      </c>
      <c r="I33" s="18" t="str">
        <f>DEC2HEX(POWER(2,$C12-32)*I12+POWER(2,$C11-32)*I11+POWER(2,$C10-32)*I10+POWER(2,$C9-32)*I9+POWER(2,$C8-32)*I8+POWER(2,$C7-32)*I7+POWER(2,$C6-32)*I6+POWER(2,$C5-32)*I5+POWER(2,$C4-32)*I4+POWER(2,$C3-32)*I3+POWER(2,$C2-32)*I2)</f>
        <v>DBEF8290</v>
      </c>
      <c r="J33" s="18" t="str">
        <f>DEC2HEX(POWER(2,$C12-32)*J12+POWER(2,$C11-32)*J11+POWER(2,$C10-32)*J10+POWER(2,$C9-32)*J9+POWER(2,$C8-32)*J8+POWER(2,$C7-32)*J7+POWER(2,$C6-32)*J6+POWER(2,$C5-32)*J5+POWER(2,$C4-32)*J4+POWER(2,$C3-32)*J3+POWER(2,$C2-32)*J2)</f>
        <v>DBEF8270</v>
      </c>
      <c r="K33" s="18" t="str">
        <f>DEC2HEX(POWER(2,$C12-32)*K12+POWER(2,$C11-32)*K11+POWER(2,$C10-32)*K10+POWER(2,$C9-32)*K9+POWER(2,$C8-32)*K8+POWER(2,$C7-32)*K7+POWER(2,$C6-32)*K6+POWER(2,$C5-32)*K5+POWER(2,$C4-32)*K4+POWER(2,$C3-32)*K3+POWER(2,$C2-32)*K2)</f>
        <v>DBEF4210</v>
      </c>
      <c r="L33" s="18" t="str">
        <f>DEC2HEX(POWER(2,$C12-32)*L12+POWER(2,$C11-32)*L11+POWER(2,$C10-32)*L10+POWER(2,$C9-32)*L9+POWER(2,$C8-32)*L8+POWER(2,$C7-32)*L7+POWER(2,$C6-32)*L6+POWER(2,$C5-32)*L5+POWER(2,$C4-32)*L4+POWER(2,$C3-32)*L3+POWER(2,$C2-32)*L2)</f>
        <v>DBEF0258</v>
      </c>
      <c r="M33" s="18" t="str">
        <f>DEC2HEX(POWER(2,$C12-32)*M12+POWER(2,$C11-32)*M11+POWER(2,$C10-32)*M10+POWER(2,$C9-32)*M9+POWER(2,$C8-32)*M8+POWER(2,$C7-32)*M7+POWER(2,$C6-32)*M6+POWER(2,$C5-32)*M5+POWER(2,$C4-32)*M4+POWER(2,$C3-32)*M3+POWER(2,$C2-32)*M2)</f>
        <v>DBEF01BA</v>
      </c>
      <c r="N33" s="18" t="str">
        <f>DEC2HEX(POWER(2,$C12-32)*N12+POWER(2,$C11-32)*N11+POWER(2,$C10-32)*N10+POWER(2,$C9-32)*N9+POWER(2,$C8-32)*N8+POWER(2,$C7-32)*N7+POWER(2,$C6-32)*N6+POWER(2,$C5-32)*N5+POWER(2,$C4-32)*N4+POWER(2,$C3-32)*N3+POWER(2,$C2-32)*N2)</f>
        <v>DBEEC152</v>
      </c>
      <c r="O33" s="18" t="str">
        <f>DEC2HEX(POWER(2,$C12-32)*O12+POWER(2,$C11-32)*O11+POWER(2,$C10-32)*O10+POWER(2,$C9-32)*O9+POWER(2,$C8-32)*O8+POWER(2,$C7-32)*O7+POWER(2,$C6-32)*O6+POWER(2,$C5-32)*O5+POWER(2,$C4-32)*O4+POWER(2,$C3-32)*O3+POWER(2,$C2-32)*O2)</f>
        <v>DBEE81B3</v>
      </c>
      <c r="P33" s="18" t="str">
        <f>DEC2HEX(POWER(2,$C12-32)*P12+POWER(2,$C11-32)*P11+POWER(2,$C10-32)*P10+POWER(2,$C9-32)*P9+POWER(2,$C8-32)*P8+POWER(2,$C7-32)*P7+POWER(2,$C6-32)*P6+POWER(2,$C5-32)*P5+POWER(2,$C4-32)*P4+POWER(2,$C3-32)*P3+POWER(2,$C2-32)*P2)</f>
        <v>DBEE812F</v>
      </c>
      <c r="Q33" s="18" t="str">
        <f>DEC2HEX(POWER(2,$C12-32)*Q12+POWER(2,$C11-32)*Q11+POWER(2,$C10-32)*Q10+POWER(2,$C9-32)*Q9+POWER(2,$C8-32)*Q8+POWER(2,$C7-32)*Q7+POWER(2,$C6-32)*Q6+POWER(2,$C5-32)*Q5+POWER(2,$C4-32)*Q4+POWER(2,$C3-32)*Q3+POWER(2,$C2-32)*Q2)</f>
        <v>DBEE4216</v>
      </c>
      <c r="R33" s="18" t="str">
        <f>DEC2HEX(POWER(2,$C12-32)*R12+POWER(2,$C11-32)*R11+POWER(2,$C10-32)*R10+POWER(2,$C9-32)*R9+POWER(2,$C8-32)*R8+POWER(2,$C7-32)*R7+POWER(2,$C6-32)*R6+POWER(2,$C5-32)*R5+POWER(2,$C4-32)*R4+POWER(2,$C3-32)*R3+POWER(2,$C2-32)*R2)</f>
        <v>DBEE4196</v>
      </c>
      <c r="S33" s="18" t="str">
        <f>DEC2HEX(POWER(2,$C12-32)*S12+POWER(2,$C11-32)*S11+POWER(2,$C10-32)*S10+POWER(2,$C9-32)*S9+POWER(2,$C8-32)*S8+POWER(2,$C7-32)*S7+POWER(2,$C6-32)*S6+POWER(2,$C5-32)*S5+POWER(2,$C4-32)*S4+POWER(2,$C3-32)*S3+POWER(2,$C2-32)*S2)</f>
        <v>DBEE4136</v>
      </c>
      <c r="V33" s="29"/>
      <c r="W33" s="22">
        <v>40348064</v>
      </c>
      <c r="X33" s="31" t="str">
        <f>D33</f>
        <v>C1E1C7FF</v>
      </c>
      <c r="Y33" t="str">
        <f t="shared" si="0"/>
        <v>0xC1E1C7FF,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1BBEAA0B</v>
      </c>
      <c r="E34" s="18" t="str">
        <f>DEC2HEX(POWER(2,$C20)*E20+POWER(2,$C19)*E19+POWER(2,$C18)*E18+POWER(2,$C17)*E17+POWER(2,$C16)*E16+POWER(2,$C15)*E15+POWER(2,$C14)*E14+POWER(2,$C13)*E13)</f>
        <v>13217A0C</v>
      </c>
      <c r="F34" s="18" t="str">
        <f>DEC2HEX(POWER(2,$C20)*F20+POWER(2,$C19)*F19+POWER(2,$C18)*F18+POWER(2,$C17)*F17+POWER(2,$C16)*F16+POWER(2,$C15)*F15+POWER(2,$C14)*F14+POWER(2,$C13)*F13)</f>
        <v>13217A0C</v>
      </c>
      <c r="G34" s="18" t="str">
        <f>DEC2HEX(POWER(2,$C20)*G20+POWER(2,$C19)*G19+POWER(2,$C18)*G18+POWER(2,$C17)*G17+POWER(2,$C16)*G16+POWER(2,$C15)*G15+POWER(2,$C14)*G14+POWER(2,$C13)*G13)</f>
        <v>13217A0C</v>
      </c>
      <c r="H34" s="18" t="str">
        <f>DEC2HEX(POWER(2,$C20)*H20+POWER(2,$C19)*H19+POWER(2,$C18)*H18+POWER(2,$C17)*H17+POWER(2,$C16)*H16+POWER(2,$C15)*H15+POWER(2,$C14)*H14+POWER(2,$C13)*H13)</f>
        <v>13217A0C</v>
      </c>
      <c r="I34" s="18" t="str">
        <f>DEC2HEX(POWER(2,$C20)*I20+POWER(2,$C19)*I19+POWER(2,$C18)*I18+POWER(2,$C17)*I17+POWER(2,$C16)*I16+POWER(2,$C15)*I15+POWER(2,$C14)*I14+POWER(2,$C13)*I13)</f>
        <v>13217A0C</v>
      </c>
      <c r="J34" s="18" t="str">
        <f>DEC2HEX(POWER(2,$C20)*J20+POWER(2,$C19)*J19+POWER(2,$C18)*J18+POWER(2,$C17)*J17+POWER(2,$C16)*J16+POWER(2,$C15)*J15+POWER(2,$C14)*J14+POWER(2,$C13)*J13)</f>
        <v>13217A0C</v>
      </c>
      <c r="K34" s="18" t="str">
        <f>DEC2HEX(POWER(2,$C20)*K20+POWER(2,$C19)*K19+POWER(2,$C18)*K18+POWER(2,$C17)*K17+POWER(2,$C16)*K16+POWER(2,$C15)*K15+POWER(2,$C14)*K14+POWER(2,$C13)*K13)</f>
        <v>13217A0C</v>
      </c>
      <c r="L34" s="18" t="str">
        <f>DEC2HEX(POWER(2,$C20)*L20+POWER(2,$C19)*L19+POWER(2,$C18)*L18+POWER(2,$C17)*L17+POWER(2,$C16)*L16+POWER(2,$C15)*L15+POWER(2,$C14)*L14+POWER(2,$C13)*L13)</f>
        <v>13217A0C</v>
      </c>
      <c r="M34" s="18" t="str">
        <f>DEC2HEX(POWER(2,$C20)*M20+POWER(2,$C19)*M19+POWER(2,$C18)*M18+POWER(2,$C17)*M17+POWER(2,$C16)*M16+POWER(2,$C15)*M15+POWER(2,$C14)*M14+POWER(2,$C13)*M13)</f>
        <v>13217A0C</v>
      </c>
      <c r="N34" s="18" t="str">
        <f>DEC2HEX(POWER(2,$C20)*N20+POWER(2,$C19)*N19+POWER(2,$C18)*N18+POWER(2,$C17)*N17+POWER(2,$C16)*N16+POWER(2,$C15)*N15+POWER(2,$C14)*N14+POWER(2,$C13)*N13)</f>
        <v>13217A0C</v>
      </c>
      <c r="O34" s="18" t="str">
        <f>DEC2HEX(POWER(2,$C20)*O20+POWER(2,$C19)*O19+POWER(2,$C18)*O18+POWER(2,$C17)*O17+POWER(2,$C16)*O16+POWER(2,$C15)*O15+POWER(2,$C14)*O14+POWER(2,$C13)*O13)</f>
        <v>13217A0C</v>
      </c>
      <c r="P34" s="18" t="str">
        <f>DEC2HEX(POWER(2,$C20)*P20+POWER(2,$C19)*P19+POWER(2,$C18)*P18+POWER(2,$C17)*P17+POWER(2,$C16)*P16+POWER(2,$C15)*P15+POWER(2,$C14)*P14+POWER(2,$C13)*P13)</f>
        <v>13217A0C</v>
      </c>
      <c r="Q34" s="18" t="str">
        <f>DEC2HEX(POWER(2,$C20)*Q20+POWER(2,$C19)*Q19+POWER(2,$C18)*Q18+POWER(2,$C17)*Q17+POWER(2,$C16)*Q16+POWER(2,$C15)*Q15+POWER(2,$C14)*Q14+POWER(2,$C13)*Q13)</f>
        <v>13217A0C</v>
      </c>
      <c r="R34" s="18" t="str">
        <f>DEC2HEX(POWER(2,$C20)*R20+POWER(2,$C19)*R19+POWER(2,$C18)*R18+POWER(2,$C17)*R17+POWER(2,$C16)*R16+POWER(2,$C15)*R15+POWER(2,$C14)*R14+POWER(2,$C13)*R13)</f>
        <v>13217A0C</v>
      </c>
      <c r="S34" s="18" t="str">
        <f>DEC2HEX(POWER(2,$C20)*S20+POWER(2,$C19)*S19+POWER(2,$C18)*S18+POWER(2,$C17)*S17+POWER(2,$C16)*S16+POWER(2,$C15)*S15+POWER(2,$C14)*S14+POWER(2,$C13)*S13)</f>
        <v>13217A0C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F10" sqref="F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208</v>
      </c>
      <c r="B2" s="3">
        <v>63</v>
      </c>
      <c r="C2" s="3">
        <v>62</v>
      </c>
      <c r="D2" s="3">
        <v>3</v>
      </c>
      <c r="E2" s="4" t="s">
        <v>80</v>
      </c>
      <c r="F2" s="4" t="s">
        <v>80</v>
      </c>
      <c r="G2" s="4" t="s">
        <v>80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12217A0C</v>
      </c>
      <c r="Y2" t="str">
        <f t="shared" ref="Y2:Y33" si="0">"0x"&amp;RIGHT("00000000"&amp;X2,8)&amp;","</f>
        <v>0x12217A0C,</v>
      </c>
      <c r="Z2" s="32" t="s">
        <v>142</v>
      </c>
    </row>
    <row r="3" spans="1:26">
      <c r="A3" s="2" t="s">
        <v>209</v>
      </c>
      <c r="B3" s="3">
        <v>61</v>
      </c>
      <c r="C3" s="3">
        <v>57</v>
      </c>
      <c r="D3" s="3">
        <v>0</v>
      </c>
      <c r="E3" s="4" t="s">
        <v>72</v>
      </c>
      <c r="F3" s="4" t="s">
        <v>197</v>
      </c>
      <c r="G3" s="4" t="s">
        <v>197</v>
      </c>
      <c r="H3" s="4" t="s">
        <v>197</v>
      </c>
      <c r="I3" s="4" t="s">
        <v>197</v>
      </c>
      <c r="J3" s="4" t="s">
        <v>197</v>
      </c>
      <c r="K3" s="4" t="s">
        <v>197</v>
      </c>
      <c r="L3" s="4" t="s">
        <v>197</v>
      </c>
      <c r="M3" s="4" t="s">
        <v>197</v>
      </c>
      <c r="N3" s="4" t="s">
        <v>197</v>
      </c>
      <c r="O3" s="4" t="s">
        <v>197</v>
      </c>
      <c r="P3" s="4" t="s">
        <v>197</v>
      </c>
      <c r="Q3" s="4" t="s">
        <v>197</v>
      </c>
      <c r="R3" s="4" t="s">
        <v>197</v>
      </c>
      <c r="S3" s="4" t="s">
        <v>197</v>
      </c>
      <c r="V3" s="30"/>
      <c r="W3" s="22">
        <v>40348064</v>
      </c>
      <c r="X3" s="31" t="str">
        <f>S33</f>
        <v>CBEE4136</v>
      </c>
      <c r="Y3" t="str">
        <f t="shared" si="0"/>
        <v>0xCBEE4136,</v>
      </c>
      <c r="Z3" s="32"/>
    </row>
    <row r="4" spans="1:26">
      <c r="A4" s="2" t="s">
        <v>210</v>
      </c>
      <c r="B4" s="3">
        <v>56</v>
      </c>
      <c r="C4" s="3">
        <v>56</v>
      </c>
      <c r="D4" s="3">
        <v>1</v>
      </c>
      <c r="E4" s="4" t="s">
        <v>86</v>
      </c>
      <c r="F4" s="4" t="s">
        <v>86</v>
      </c>
      <c r="G4" s="4" t="s">
        <v>86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12217A0C</v>
      </c>
      <c r="Y4" t="str">
        <f t="shared" si="0"/>
        <v>0x12217A0C,</v>
      </c>
      <c r="Z4" s="32" t="s">
        <v>146</v>
      </c>
    </row>
    <row r="5" spans="1:26">
      <c r="A5" s="2" t="s">
        <v>211</v>
      </c>
      <c r="B5" s="3">
        <v>55</v>
      </c>
      <c r="C5" s="3">
        <v>53</v>
      </c>
      <c r="D5" s="3">
        <v>7</v>
      </c>
      <c r="E5" s="4" t="s">
        <v>127</v>
      </c>
      <c r="F5" s="4" t="s">
        <v>127</v>
      </c>
      <c r="G5" s="4" t="s">
        <v>127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CBEE4196</v>
      </c>
      <c r="Y5" t="str">
        <f t="shared" si="0"/>
        <v>0xCBEE4196,</v>
      </c>
      <c r="Z5" s="32"/>
    </row>
    <row r="6" spans="1:26">
      <c r="A6" s="2" t="s">
        <v>212</v>
      </c>
      <c r="B6" s="3">
        <v>52</v>
      </c>
      <c r="C6" s="3">
        <v>49</v>
      </c>
      <c r="D6" s="3">
        <v>0</v>
      </c>
      <c r="E6" s="4" t="s">
        <v>72</v>
      </c>
      <c r="F6" s="4" t="s">
        <v>127</v>
      </c>
      <c r="G6" s="4" t="s">
        <v>127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12217A0C</v>
      </c>
      <c r="Y6" t="str">
        <f t="shared" si="0"/>
        <v>0x12217A0C,</v>
      </c>
      <c r="Z6" s="32" t="s">
        <v>149</v>
      </c>
    </row>
    <row r="7" spans="1:26">
      <c r="A7" s="2" t="s">
        <v>213</v>
      </c>
      <c r="B7" s="3">
        <v>48</v>
      </c>
      <c r="C7" s="3">
        <v>46</v>
      </c>
      <c r="D7" s="3">
        <v>7</v>
      </c>
      <c r="E7" s="4" t="s">
        <v>127</v>
      </c>
      <c r="F7" s="4" t="s">
        <v>127</v>
      </c>
      <c r="G7" s="4" t="s">
        <v>127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CBEE4216</v>
      </c>
      <c r="Y7" t="str">
        <f t="shared" si="0"/>
        <v>0xCBEE4216,</v>
      </c>
      <c r="Z7" s="3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 t="s">
        <v>72</v>
      </c>
      <c r="F8" s="4" t="s">
        <v>72</v>
      </c>
      <c r="G8" s="4" t="s">
        <v>72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12217A0C</v>
      </c>
      <c r="Y8" t="str">
        <f t="shared" si="0"/>
        <v>0x12217A0C,</v>
      </c>
      <c r="Z8" s="3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 t="s">
        <v>72</v>
      </c>
      <c r="F9" s="4" t="s">
        <v>72</v>
      </c>
      <c r="G9" s="4" t="s">
        <v>72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CBEE812F</v>
      </c>
      <c r="Y9" t="str">
        <f t="shared" si="0"/>
        <v>0xCBEE812F,</v>
      </c>
      <c r="Z9" s="32"/>
    </row>
    <row r="10" spans="1:26">
      <c r="A10" s="2" t="s">
        <v>156</v>
      </c>
      <c r="B10" s="3">
        <v>42</v>
      </c>
      <c r="C10" s="3">
        <v>37</v>
      </c>
      <c r="D10" s="3">
        <v>63</v>
      </c>
      <c r="E10" s="5" t="s">
        <v>228</v>
      </c>
      <c r="F10" s="6" t="s">
        <v>219</v>
      </c>
      <c r="G10" s="6" t="s">
        <v>206</v>
      </c>
      <c r="H10" s="5">
        <v>35</v>
      </c>
      <c r="I10" s="6" t="s">
        <v>215</v>
      </c>
      <c r="J10" s="5">
        <v>19</v>
      </c>
      <c r="K10" s="6" t="s">
        <v>194</v>
      </c>
      <c r="L10" s="5">
        <v>18</v>
      </c>
      <c r="M10" s="6" t="s">
        <v>198</v>
      </c>
      <c r="N10" s="5">
        <v>10</v>
      </c>
      <c r="O10" s="5">
        <v>12</v>
      </c>
      <c r="P10" s="5">
        <v>9</v>
      </c>
      <c r="Q10" s="5">
        <v>16</v>
      </c>
      <c r="R10" s="5">
        <v>12</v>
      </c>
      <c r="S10" s="5">
        <v>9</v>
      </c>
      <c r="V10" s="30">
        <v>4</v>
      </c>
      <c r="W10" s="22">
        <v>40348060</v>
      </c>
      <c r="X10" s="31" t="str">
        <f>O34</f>
        <v>12217A0C</v>
      </c>
      <c r="Y10" t="str">
        <f t="shared" si="0"/>
        <v>0x12217A0C,</v>
      </c>
      <c r="Z10" s="32" t="s">
        <v>155</v>
      </c>
    </row>
    <row r="11" spans="1:26">
      <c r="A11" s="2" t="s">
        <v>160</v>
      </c>
      <c r="B11" s="3">
        <v>36</v>
      </c>
      <c r="C11" s="3">
        <v>32</v>
      </c>
      <c r="D11" s="3">
        <v>31</v>
      </c>
      <c r="E11" s="5" t="s">
        <v>229</v>
      </c>
      <c r="F11" s="5" t="s">
        <v>205</v>
      </c>
      <c r="G11" s="5" t="s">
        <v>205</v>
      </c>
      <c r="H11" s="5">
        <v>16</v>
      </c>
      <c r="I11" s="5">
        <v>16</v>
      </c>
      <c r="J11" s="5">
        <v>16</v>
      </c>
      <c r="K11" s="5">
        <v>16</v>
      </c>
      <c r="L11" s="5">
        <v>24</v>
      </c>
      <c r="M11" s="6" t="s">
        <v>207</v>
      </c>
      <c r="N11" s="5">
        <v>18</v>
      </c>
      <c r="O11" s="6" t="s">
        <v>195</v>
      </c>
      <c r="P11" s="5">
        <v>15</v>
      </c>
      <c r="Q11" s="5">
        <v>22</v>
      </c>
      <c r="R11" s="5">
        <v>22</v>
      </c>
      <c r="S11" s="5">
        <v>22</v>
      </c>
      <c r="V11" s="30"/>
      <c r="W11" s="22">
        <v>40348064</v>
      </c>
      <c r="X11" s="31" t="str">
        <f>O33</f>
        <v>CBEE818E</v>
      </c>
      <c r="Y11" t="str">
        <f t="shared" si="0"/>
        <v>0xCBEE818E,</v>
      </c>
      <c r="Z11" s="32"/>
    </row>
    <row r="12" spans="1:26">
      <c r="A12" s="2" t="s">
        <v>164</v>
      </c>
      <c r="B12" s="3">
        <v>31</v>
      </c>
      <c r="C12" s="3">
        <v>29</v>
      </c>
      <c r="D12" s="3">
        <v>2</v>
      </c>
      <c r="E12" s="7" t="s">
        <v>118</v>
      </c>
      <c r="F12" s="7" t="s">
        <v>72</v>
      </c>
      <c r="G12" s="7" t="s">
        <v>72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12217A0C</v>
      </c>
      <c r="Y12" t="str">
        <f t="shared" si="0"/>
        <v>0x12217A0C,</v>
      </c>
      <c r="Z12" s="32" t="s">
        <v>163</v>
      </c>
    </row>
    <row r="13" spans="1:26">
      <c r="A13" s="2" t="s">
        <v>165</v>
      </c>
      <c r="B13" s="3">
        <v>28</v>
      </c>
      <c r="C13" s="3">
        <v>27</v>
      </c>
      <c r="D13" s="3">
        <v>3</v>
      </c>
      <c r="E13" s="7" t="s">
        <v>80</v>
      </c>
      <c r="F13" s="7" t="s">
        <v>118</v>
      </c>
      <c r="G13" s="7" t="s">
        <v>118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CBEEC152</v>
      </c>
      <c r="Y13" t="str">
        <f t="shared" si="0"/>
        <v>0xCBEEC152,</v>
      </c>
      <c r="Z13" s="32"/>
    </row>
    <row r="14" spans="1:26">
      <c r="A14" s="2" t="s">
        <v>167</v>
      </c>
      <c r="B14" s="3">
        <v>26</v>
      </c>
      <c r="C14" s="3">
        <v>24</v>
      </c>
      <c r="D14" s="3" t="s">
        <v>118</v>
      </c>
      <c r="E14" s="7" t="s">
        <v>118</v>
      </c>
      <c r="F14" s="7" t="s">
        <v>118</v>
      </c>
      <c r="G14" s="7">
        <v>2</v>
      </c>
      <c r="H14" s="7" t="s">
        <v>118</v>
      </c>
      <c r="I14" s="7" t="s">
        <v>118</v>
      </c>
      <c r="J14" s="3" t="s">
        <v>118</v>
      </c>
      <c r="K14" s="7">
        <v>2</v>
      </c>
      <c r="L14" s="7" t="s">
        <v>118</v>
      </c>
      <c r="M14" s="7" t="s">
        <v>118</v>
      </c>
      <c r="N14" s="7" t="s">
        <v>118</v>
      </c>
      <c r="O14" s="7">
        <v>2</v>
      </c>
      <c r="P14" s="3" t="s">
        <v>118</v>
      </c>
      <c r="Q14" s="7" t="s">
        <v>118</v>
      </c>
      <c r="R14" s="7" t="s">
        <v>118</v>
      </c>
      <c r="S14" s="7" t="s">
        <v>118</v>
      </c>
      <c r="V14" s="30">
        <v>6</v>
      </c>
      <c r="W14" s="22">
        <v>40348060</v>
      </c>
      <c r="X14" s="31" t="str">
        <f>M34</f>
        <v>12217A0C</v>
      </c>
      <c r="Y14" t="str">
        <f t="shared" si="0"/>
        <v>0x12217A0C,</v>
      </c>
      <c r="Z14" s="32" t="s">
        <v>166</v>
      </c>
    </row>
    <row r="15" spans="1:26">
      <c r="A15" s="2" t="s">
        <v>168</v>
      </c>
      <c r="B15" s="3">
        <v>23</v>
      </c>
      <c r="C15" s="3">
        <v>18</v>
      </c>
      <c r="D15" s="3">
        <v>55</v>
      </c>
      <c r="E15" s="4" t="s">
        <v>162</v>
      </c>
      <c r="F15" s="4" t="s">
        <v>217</v>
      </c>
      <c r="G15" s="4" t="s">
        <v>217</v>
      </c>
      <c r="H15" s="4" t="s">
        <v>217</v>
      </c>
      <c r="I15" s="4" t="s">
        <v>217</v>
      </c>
      <c r="J15" s="4" t="s">
        <v>217</v>
      </c>
      <c r="K15" s="4" t="s">
        <v>217</v>
      </c>
      <c r="L15" s="4" t="s">
        <v>217</v>
      </c>
      <c r="M15" s="4" t="s">
        <v>217</v>
      </c>
      <c r="N15" s="4" t="s">
        <v>217</v>
      </c>
      <c r="O15" s="4" t="s">
        <v>217</v>
      </c>
      <c r="P15" s="4" t="s">
        <v>217</v>
      </c>
      <c r="Q15" s="4" t="s">
        <v>217</v>
      </c>
      <c r="R15" s="4" t="s">
        <v>217</v>
      </c>
      <c r="S15" s="4" t="s">
        <v>217</v>
      </c>
      <c r="V15" s="30"/>
      <c r="W15" s="22">
        <v>40348064</v>
      </c>
      <c r="X15" s="31" t="str">
        <f>M33</f>
        <v>CBEF017A</v>
      </c>
      <c r="Y15" t="str">
        <f t="shared" si="0"/>
        <v>0xCBEF017A,</v>
      </c>
      <c r="Z15" s="32"/>
    </row>
    <row r="16" spans="1:26">
      <c r="A16" s="2" t="s">
        <v>170</v>
      </c>
      <c r="B16" s="3">
        <v>17</v>
      </c>
      <c r="C16" s="3">
        <v>12</v>
      </c>
      <c r="D16" s="3">
        <v>45</v>
      </c>
      <c r="E16" s="4" t="s">
        <v>229</v>
      </c>
      <c r="F16" s="4" t="s">
        <v>161</v>
      </c>
      <c r="G16" s="4" t="s">
        <v>161</v>
      </c>
      <c r="H16" s="4" t="s">
        <v>161</v>
      </c>
      <c r="I16" s="4" t="s">
        <v>161</v>
      </c>
      <c r="J16" s="4" t="s">
        <v>161</v>
      </c>
      <c r="K16" s="4" t="s">
        <v>161</v>
      </c>
      <c r="L16" s="4" t="s">
        <v>161</v>
      </c>
      <c r="M16" s="4" t="s">
        <v>161</v>
      </c>
      <c r="N16" s="4" t="s">
        <v>161</v>
      </c>
      <c r="O16" s="4" t="s">
        <v>161</v>
      </c>
      <c r="P16" s="4" t="s">
        <v>161</v>
      </c>
      <c r="Q16" s="4" t="s">
        <v>161</v>
      </c>
      <c r="R16" s="4" t="s">
        <v>161</v>
      </c>
      <c r="S16" s="4" t="s">
        <v>161</v>
      </c>
      <c r="V16" s="30">
        <v>7</v>
      </c>
      <c r="W16" s="22">
        <v>40348060</v>
      </c>
      <c r="X16" s="31" t="str">
        <f>L34</f>
        <v>12217A0C</v>
      </c>
      <c r="Y16" t="str">
        <f t="shared" si="0"/>
        <v>0x12217A0C,</v>
      </c>
      <c r="Z16" s="32" t="s">
        <v>169</v>
      </c>
    </row>
    <row r="17" spans="1:26">
      <c r="A17" s="2" t="s">
        <v>171</v>
      </c>
      <c r="B17" s="3">
        <v>11</v>
      </c>
      <c r="C17" s="3">
        <v>7</v>
      </c>
      <c r="D17" s="3">
        <v>20</v>
      </c>
      <c r="E17" s="4" t="s">
        <v>158</v>
      </c>
      <c r="F17" s="4">
        <v>20</v>
      </c>
      <c r="G17" s="4" t="s">
        <v>158</v>
      </c>
      <c r="H17" s="4">
        <v>20</v>
      </c>
      <c r="I17" s="4" t="s">
        <v>158</v>
      </c>
      <c r="J17" s="4">
        <v>20</v>
      </c>
      <c r="K17" s="4" t="s">
        <v>158</v>
      </c>
      <c r="L17" s="4">
        <v>20</v>
      </c>
      <c r="M17" s="4" t="s">
        <v>158</v>
      </c>
      <c r="N17" s="4">
        <v>20</v>
      </c>
      <c r="O17" s="4" t="s">
        <v>158</v>
      </c>
      <c r="P17" s="4">
        <v>20</v>
      </c>
      <c r="Q17" s="4" t="s">
        <v>158</v>
      </c>
      <c r="R17" s="4">
        <v>20</v>
      </c>
      <c r="S17" s="4" t="s">
        <v>158</v>
      </c>
      <c r="V17" s="30"/>
      <c r="W17" s="22">
        <v>40348064</v>
      </c>
      <c r="X17" s="31" t="str">
        <f>L33</f>
        <v>CBEF0258</v>
      </c>
      <c r="Y17" t="str">
        <f t="shared" si="0"/>
        <v>0xCBEF0258,</v>
      </c>
      <c r="Z17" s="32"/>
    </row>
    <row r="18" spans="1:26">
      <c r="A18" s="2" t="s">
        <v>173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12217A0C</v>
      </c>
      <c r="Y18" t="str">
        <f t="shared" si="0"/>
        <v>0x12217A0C,</v>
      </c>
      <c r="Z18" s="32" t="s">
        <v>172</v>
      </c>
    </row>
    <row r="19" spans="1:26">
      <c r="A19" s="2" t="s">
        <v>174</v>
      </c>
      <c r="B19" s="3">
        <v>2</v>
      </c>
      <c r="C19" s="3">
        <v>0</v>
      </c>
      <c r="D19" s="3">
        <v>6</v>
      </c>
      <c r="E19" s="4" t="s">
        <v>94</v>
      </c>
      <c r="F19" s="4" t="s">
        <v>94</v>
      </c>
      <c r="G19" s="4" t="s">
        <v>94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CBEF4210</v>
      </c>
      <c r="Y19" t="str">
        <f t="shared" si="0"/>
        <v>0xCBEF4210,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12217A0C</v>
      </c>
      <c r="Y20" t="str">
        <f t="shared" si="0"/>
        <v>0x12217A0C,</v>
      </c>
      <c r="Z20" s="32" t="s">
        <v>175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CBEF8270</v>
      </c>
      <c r="Y21" t="str">
        <f t="shared" si="0"/>
        <v>0xCBEF8270,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176</v>
      </c>
      <c r="W22" s="22">
        <v>40348060</v>
      </c>
      <c r="X22" s="31" t="str">
        <f>I34</f>
        <v>12217A0C</v>
      </c>
      <c r="Y22" t="str">
        <f t="shared" si="0"/>
        <v>0x12217A0C,</v>
      </c>
      <c r="Z22" s="32" t="s">
        <v>177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CBEF8250</v>
      </c>
      <c r="Y23" t="str">
        <f t="shared" si="0"/>
        <v>0xCBEF8250,</v>
      </c>
      <c r="Z23" s="32"/>
    </row>
    <row r="24" spans="1:26">
      <c r="A24" s="12" t="s">
        <v>178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179</v>
      </c>
      <c r="W24" s="22">
        <v>40348060</v>
      </c>
      <c r="X24" s="31" t="str">
        <f>H34</f>
        <v>12217A0C</v>
      </c>
      <c r="Y24" t="str">
        <f t="shared" si="0"/>
        <v>0x12217A0C,</v>
      </c>
      <c r="Z24" s="32" t="s">
        <v>180</v>
      </c>
    </row>
    <row r="25" spans="1:26">
      <c r="A25" s="12" t="s">
        <v>181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CBEF8470</v>
      </c>
      <c r="Y25" t="str">
        <f t="shared" si="0"/>
        <v>0xCBEF8470,</v>
      </c>
      <c r="Z25" s="32"/>
    </row>
    <row r="26" spans="1:26">
      <c r="A26" s="12" t="s">
        <v>182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183</v>
      </c>
      <c r="W26" s="22">
        <v>40348060</v>
      </c>
      <c r="X26" s="31" t="str">
        <f>G34</f>
        <v>12217A0C</v>
      </c>
      <c r="Y26" t="str">
        <f t="shared" si="0"/>
        <v>0x12217A0C,</v>
      </c>
      <c r="Z26" s="32" t="s">
        <v>184</v>
      </c>
    </row>
    <row r="27" spans="1:26">
      <c r="A27" s="15" t="s">
        <v>185</v>
      </c>
      <c r="V27" s="30"/>
      <c r="W27" s="22">
        <v>40348064</v>
      </c>
      <c r="X27" s="31" t="str">
        <f>G33</f>
        <v>CBEFC376</v>
      </c>
      <c r="Y27" t="str">
        <f t="shared" si="0"/>
        <v>0xCBEFC376,</v>
      </c>
      <c r="Z27" s="32"/>
    </row>
    <row r="28" spans="22:26">
      <c r="V28" s="30" t="s">
        <v>186</v>
      </c>
      <c r="W28" s="22">
        <v>40348060</v>
      </c>
      <c r="X28" s="31" t="str">
        <f>F34</f>
        <v>12217A0C</v>
      </c>
      <c r="Y28" t="str">
        <f t="shared" si="0"/>
        <v>0x12217A0C,</v>
      </c>
      <c r="Z28" s="32" t="s">
        <v>187</v>
      </c>
    </row>
    <row r="29" spans="22:26">
      <c r="V29" s="30"/>
      <c r="W29" s="22">
        <v>40348064</v>
      </c>
      <c r="X29" s="31" t="str">
        <f>F33</f>
        <v>CBEFC516</v>
      </c>
      <c r="Y29" t="str">
        <f t="shared" si="0"/>
        <v>0xCBEFC516,</v>
      </c>
      <c r="Z29" s="32"/>
    </row>
    <row r="30" spans="22:26">
      <c r="V30" s="30" t="s">
        <v>188</v>
      </c>
      <c r="W30" s="22">
        <v>40348060</v>
      </c>
      <c r="X30" s="31" t="str">
        <f>E34</f>
        <v>1A61FA0C</v>
      </c>
      <c r="Y30" t="str">
        <f t="shared" si="0"/>
        <v>0x1A61FA0C,</v>
      </c>
      <c r="Z30" s="32" t="s">
        <v>189</v>
      </c>
    </row>
    <row r="31" spans="1:26">
      <c r="A31" t="s">
        <v>190</v>
      </c>
      <c r="V31" s="30"/>
      <c r="W31" s="22">
        <v>40348064</v>
      </c>
      <c r="X31" s="31" t="str">
        <f>E33</f>
        <v>C1E1C7FF</v>
      </c>
      <c r="Y31" t="str">
        <f t="shared" si="0"/>
        <v>0xC1E1C7FF,</v>
      </c>
      <c r="Z31" s="32"/>
    </row>
    <row r="32" spans="1:26">
      <c r="A32" s="16" t="s">
        <v>191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192</v>
      </c>
      <c r="W32" s="22">
        <v>40348060</v>
      </c>
      <c r="X32" s="31" t="str">
        <f>D34</f>
        <v>5ADEDA0E</v>
      </c>
      <c r="Y32" t="str">
        <f t="shared" si="0"/>
        <v>0x5ADEDA0E,</v>
      </c>
      <c r="Z32" s="32" t="s">
        <v>193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C1E1C7FF</v>
      </c>
      <c r="E33" s="18" t="str">
        <f>DEC2HEX(POWER(2,$C12-32)*E12+POWER(2,$C11-32)*E11+POWER(2,$C10-32)*E10+POWER(2,$C9-32)*E9+POWER(2,$C8-32)*E8+POWER(2,$C7-32)*E7+POWER(2,$C6-32)*E6+POWER(2,$C5-32)*E5+POWER(2,$C4-32)*E4+POWER(2,$C3-32)*E3+POWER(2,$C2-32)*E2)</f>
        <v>C1E1C7FF</v>
      </c>
      <c r="F33" s="18" t="str">
        <f>DEC2HEX(POWER(2,$C12-32)*F12+POWER(2,$C11-32)*F11+POWER(2,$C10-32)*F10+POWER(2,$C9-32)*F9+POWER(2,$C8-32)*F8+POWER(2,$C7-32)*F7+POWER(2,$C6-32)*F6+POWER(2,$C5-32)*F5+POWER(2,$C4-32)*F4+POWER(2,$C3-32)*F3+POWER(2,$C2-32)*F2)</f>
        <v>CBEFC516</v>
      </c>
      <c r="G33" s="18" t="str">
        <f>DEC2HEX(POWER(2,$C12-32)*G12+POWER(2,$C11-32)*G11+POWER(2,$C10-32)*G10+POWER(2,$C9-32)*G9+POWER(2,$C8-32)*G8+POWER(2,$C7-32)*G7+POWER(2,$C6-32)*G6+POWER(2,$C5-32)*G5+POWER(2,$C4-32)*G4+POWER(2,$C3-32)*G3+POWER(2,$C2-32)*G2)</f>
        <v>CBEFC376</v>
      </c>
      <c r="H33" s="18" t="str">
        <f>DEC2HEX(POWER(2,$C12-32)*H12+POWER(2,$C11-32)*H11+POWER(2,$C10-32)*H10+POWER(2,$C9-32)*H9+POWER(2,$C8-32)*H8+POWER(2,$C7-32)*H7+POWER(2,$C6-32)*H6+POWER(2,$C5-32)*H5+POWER(2,$C4-32)*H4+POWER(2,$C3-32)*H3+POWER(2,$C2-32)*H2)</f>
        <v>CBEF8470</v>
      </c>
      <c r="I33" s="18" t="str">
        <f>DEC2HEX(POWER(2,$C12-32)*I12+POWER(2,$C11-32)*I11+POWER(2,$C10-32)*I10+POWER(2,$C9-32)*I9+POWER(2,$C8-32)*I8+POWER(2,$C7-32)*I7+POWER(2,$C6-32)*I6+POWER(2,$C5-32)*I5+POWER(2,$C4-32)*I4+POWER(2,$C3-32)*I3+POWER(2,$C2-32)*I2)</f>
        <v>CBEF8250</v>
      </c>
      <c r="J33" s="18" t="str">
        <f>DEC2HEX(POWER(2,$C12-32)*J12+POWER(2,$C11-32)*J11+POWER(2,$C10-32)*J10+POWER(2,$C9-32)*J9+POWER(2,$C8-32)*J8+POWER(2,$C7-32)*J7+POWER(2,$C6-32)*J6+POWER(2,$C5-32)*J5+POWER(2,$C4-32)*J4+POWER(2,$C3-32)*J3+POWER(2,$C2-32)*J2)</f>
        <v>CBEF8270</v>
      </c>
      <c r="K33" s="18" t="str">
        <f>DEC2HEX(POWER(2,$C12-32)*K12+POWER(2,$C11-32)*K11+POWER(2,$C10-32)*K10+POWER(2,$C9-32)*K9+POWER(2,$C8-32)*K8+POWER(2,$C7-32)*K7+POWER(2,$C6-32)*K6+POWER(2,$C5-32)*K5+POWER(2,$C4-32)*K4+POWER(2,$C3-32)*K3+POWER(2,$C2-32)*K2)</f>
        <v>CBEF4210</v>
      </c>
      <c r="L33" s="18" t="str">
        <f>DEC2HEX(POWER(2,$C12-32)*L12+POWER(2,$C11-32)*L11+POWER(2,$C10-32)*L10+POWER(2,$C9-32)*L9+POWER(2,$C8-32)*L8+POWER(2,$C7-32)*L7+POWER(2,$C6-32)*L6+POWER(2,$C5-32)*L5+POWER(2,$C4-32)*L4+POWER(2,$C3-32)*L3+POWER(2,$C2-32)*L2)</f>
        <v>CBEF0258</v>
      </c>
      <c r="M33" s="18" t="str">
        <f>DEC2HEX(POWER(2,$C12-32)*M12+POWER(2,$C11-32)*M11+POWER(2,$C10-32)*M10+POWER(2,$C9-32)*M9+POWER(2,$C8-32)*M8+POWER(2,$C7-32)*M7+POWER(2,$C6-32)*M6+POWER(2,$C5-32)*M5+POWER(2,$C4-32)*M4+POWER(2,$C3-32)*M3+POWER(2,$C2-32)*M2)</f>
        <v>CBEF017A</v>
      </c>
      <c r="N33" s="18" t="str">
        <f>DEC2HEX(POWER(2,$C12-32)*N12+POWER(2,$C11-32)*N11+POWER(2,$C10-32)*N10+POWER(2,$C9-32)*N9+POWER(2,$C8-32)*N8+POWER(2,$C7-32)*N7+POWER(2,$C6-32)*N6+POWER(2,$C5-32)*N5+POWER(2,$C4-32)*N4+POWER(2,$C3-32)*N3+POWER(2,$C2-32)*N2)</f>
        <v>CBEEC152</v>
      </c>
      <c r="O33" s="18" t="str">
        <f>DEC2HEX(POWER(2,$C12-32)*O12+POWER(2,$C11-32)*O11+POWER(2,$C10-32)*O10+POWER(2,$C9-32)*O9+POWER(2,$C8-32)*O8+POWER(2,$C7-32)*O7+POWER(2,$C6-32)*O6+POWER(2,$C5-32)*O5+POWER(2,$C4-32)*O4+POWER(2,$C3-32)*O3+POWER(2,$C2-32)*O2)</f>
        <v>CBEE818E</v>
      </c>
      <c r="P33" s="18" t="str">
        <f>DEC2HEX(POWER(2,$C12-32)*P12+POWER(2,$C11-32)*P11+POWER(2,$C10-32)*P10+POWER(2,$C9-32)*P9+POWER(2,$C8-32)*P8+POWER(2,$C7-32)*P7+POWER(2,$C6-32)*P6+POWER(2,$C5-32)*P5+POWER(2,$C4-32)*P4+POWER(2,$C3-32)*P3+POWER(2,$C2-32)*P2)</f>
        <v>CBEE812F</v>
      </c>
      <c r="Q33" s="18" t="str">
        <f>DEC2HEX(POWER(2,$C12-32)*Q12+POWER(2,$C11-32)*Q11+POWER(2,$C10-32)*Q10+POWER(2,$C9-32)*Q9+POWER(2,$C8-32)*Q8+POWER(2,$C7-32)*Q7+POWER(2,$C6-32)*Q6+POWER(2,$C5-32)*Q5+POWER(2,$C4-32)*Q4+POWER(2,$C3-32)*Q3+POWER(2,$C2-32)*Q2)</f>
        <v>CBEE4216</v>
      </c>
      <c r="R33" s="18" t="str">
        <f>DEC2HEX(POWER(2,$C12-32)*R12+POWER(2,$C11-32)*R11+POWER(2,$C10-32)*R10+POWER(2,$C9-32)*R9+POWER(2,$C8-32)*R8+POWER(2,$C7-32)*R7+POWER(2,$C6-32)*R6+POWER(2,$C5-32)*R5+POWER(2,$C4-32)*R4+POWER(2,$C3-32)*R3+POWER(2,$C2-32)*R2)</f>
        <v>CBEE4196</v>
      </c>
      <c r="S33" s="18" t="str">
        <f>DEC2HEX(POWER(2,$C12-32)*S12+POWER(2,$C11-32)*S11+POWER(2,$C10-32)*S10+POWER(2,$C9-32)*S9+POWER(2,$C8-32)*S8+POWER(2,$C7-32)*S7+POWER(2,$C6-32)*S6+POWER(2,$C5-32)*S5+POWER(2,$C4-32)*S4+POWER(2,$C3-32)*S3+POWER(2,$C2-32)*S2)</f>
        <v>CBEE4136</v>
      </c>
      <c r="V33" s="29"/>
      <c r="W33" s="22">
        <v>40348064</v>
      </c>
      <c r="X33" s="31" t="str">
        <f>D33</f>
        <v>C1E1C7FF</v>
      </c>
      <c r="Y33" t="str">
        <f t="shared" si="0"/>
        <v>0xC1E1C7FF,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5ADEDA0E</v>
      </c>
      <c r="E34" s="18" t="str">
        <f>DEC2HEX(POWER(2,$C20)*E20+POWER(2,$C19)*E19+POWER(2,$C18)*E18+POWER(2,$C17)*E17+POWER(2,$C16)*E16+POWER(2,$C15)*E15+POWER(2,$C14)*E14+POWER(2,$C13)*E13)</f>
        <v>1A61FA0C</v>
      </c>
      <c r="F34" s="18" t="str">
        <f>DEC2HEX(POWER(2,$C20)*F20+POWER(2,$C19)*F19+POWER(2,$C18)*F18+POWER(2,$C17)*F17+POWER(2,$C16)*F16+POWER(2,$C15)*F15+POWER(2,$C14)*F14+POWER(2,$C13)*F13)</f>
        <v>12217A0C</v>
      </c>
      <c r="G34" s="18" t="str">
        <f>DEC2HEX(POWER(2,$C20)*G20+POWER(2,$C19)*G19+POWER(2,$C18)*G18+POWER(2,$C17)*G17+POWER(2,$C16)*G16+POWER(2,$C15)*G15+POWER(2,$C14)*G14+POWER(2,$C13)*G13)</f>
        <v>12217A0C</v>
      </c>
      <c r="H34" s="18" t="str">
        <f>DEC2HEX(POWER(2,$C20)*H20+POWER(2,$C19)*H19+POWER(2,$C18)*H18+POWER(2,$C17)*H17+POWER(2,$C16)*H16+POWER(2,$C15)*H15+POWER(2,$C14)*H14+POWER(2,$C13)*H13)</f>
        <v>12217A0C</v>
      </c>
      <c r="I34" s="18" t="str">
        <f>DEC2HEX(POWER(2,$C20)*I20+POWER(2,$C19)*I19+POWER(2,$C18)*I18+POWER(2,$C17)*I17+POWER(2,$C16)*I16+POWER(2,$C15)*I15+POWER(2,$C14)*I14+POWER(2,$C13)*I13)</f>
        <v>12217A0C</v>
      </c>
      <c r="J34" s="18" t="str">
        <f>DEC2HEX(POWER(2,$C20)*J20+POWER(2,$C19)*J19+POWER(2,$C18)*J18+POWER(2,$C17)*J17+POWER(2,$C16)*J16+POWER(2,$C15)*J15+POWER(2,$C14)*J14+POWER(2,$C13)*J13)</f>
        <v>12217A0C</v>
      </c>
      <c r="K34" s="18" t="str">
        <f>DEC2HEX(POWER(2,$C20)*K20+POWER(2,$C19)*K19+POWER(2,$C18)*K18+POWER(2,$C17)*K17+POWER(2,$C16)*K16+POWER(2,$C15)*K15+POWER(2,$C14)*K14+POWER(2,$C13)*K13)</f>
        <v>12217A0C</v>
      </c>
      <c r="L34" s="18" t="str">
        <f>DEC2HEX(POWER(2,$C20)*L20+POWER(2,$C19)*L19+POWER(2,$C18)*L18+POWER(2,$C17)*L17+POWER(2,$C16)*L16+POWER(2,$C15)*L15+POWER(2,$C14)*L14+POWER(2,$C13)*L13)</f>
        <v>12217A0C</v>
      </c>
      <c r="M34" s="18" t="str">
        <f>DEC2HEX(POWER(2,$C20)*M20+POWER(2,$C19)*M19+POWER(2,$C18)*M18+POWER(2,$C17)*M17+POWER(2,$C16)*M16+POWER(2,$C15)*M15+POWER(2,$C14)*M14+POWER(2,$C13)*M13)</f>
        <v>12217A0C</v>
      </c>
      <c r="N34" s="18" t="str">
        <f>DEC2HEX(POWER(2,$C20)*N20+POWER(2,$C19)*N19+POWER(2,$C18)*N18+POWER(2,$C17)*N17+POWER(2,$C16)*N16+POWER(2,$C15)*N15+POWER(2,$C14)*N14+POWER(2,$C13)*N13)</f>
        <v>12217A0C</v>
      </c>
      <c r="O34" s="18" t="str">
        <f>DEC2HEX(POWER(2,$C20)*O20+POWER(2,$C19)*O19+POWER(2,$C18)*O18+POWER(2,$C17)*O17+POWER(2,$C16)*O16+POWER(2,$C15)*O15+POWER(2,$C14)*O14+POWER(2,$C13)*O13)</f>
        <v>12217A0C</v>
      </c>
      <c r="P34" s="18" t="str">
        <f>DEC2HEX(POWER(2,$C20)*P20+POWER(2,$C19)*P19+POWER(2,$C18)*P18+POWER(2,$C17)*P17+POWER(2,$C16)*P16+POWER(2,$C15)*P15+POWER(2,$C14)*P14+POWER(2,$C13)*P13)</f>
        <v>12217A0C</v>
      </c>
      <c r="Q34" s="18" t="str">
        <f>DEC2HEX(POWER(2,$C20)*Q20+POWER(2,$C19)*Q19+POWER(2,$C18)*Q18+POWER(2,$C17)*Q17+POWER(2,$C16)*Q16+POWER(2,$C15)*Q15+POWER(2,$C14)*Q14+POWER(2,$C13)*Q13)</f>
        <v>12217A0C</v>
      </c>
      <c r="R34" s="18" t="str">
        <f>DEC2HEX(POWER(2,$C20)*R20+POWER(2,$C19)*R19+POWER(2,$C18)*R18+POWER(2,$C17)*R17+POWER(2,$C16)*R16+POWER(2,$C15)*R15+POWER(2,$C14)*R14+POWER(2,$C13)*R13)</f>
        <v>12217A0C</v>
      </c>
      <c r="S34" s="18" t="str">
        <f>DEC2HEX(POWER(2,$C20)*S20+POWER(2,$C19)*S19+POWER(2,$C18)*S18+POWER(2,$C17)*S17+POWER(2,$C16)*S16+POWER(2,$C15)*S15+POWER(2,$C14)*S14+POWER(2,$C13)*S13)</f>
        <v>12217A0C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F10" sqref="F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208</v>
      </c>
      <c r="B2" s="3">
        <v>63</v>
      </c>
      <c r="C2" s="3">
        <v>62</v>
      </c>
      <c r="D2" s="3">
        <v>3</v>
      </c>
      <c r="E2" s="4" t="s">
        <v>80</v>
      </c>
      <c r="F2" s="4" t="s">
        <v>80</v>
      </c>
      <c r="G2" s="4" t="s">
        <v>80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11217A0C</v>
      </c>
      <c r="Y2" t="str">
        <f t="shared" ref="Y2:Y33" si="0">"0x"&amp;RIGHT("00000000"&amp;X2,8)&amp;","</f>
        <v>0x11217A0C,</v>
      </c>
      <c r="Z2" s="32" t="s">
        <v>142</v>
      </c>
    </row>
    <row r="3" spans="1:26">
      <c r="A3" s="2" t="s">
        <v>209</v>
      </c>
      <c r="B3" s="3">
        <v>61</v>
      </c>
      <c r="C3" s="3">
        <v>57</v>
      </c>
      <c r="D3" s="3">
        <v>0</v>
      </c>
      <c r="E3" s="4" t="s">
        <v>72</v>
      </c>
      <c r="F3" s="4" t="s">
        <v>197</v>
      </c>
      <c r="G3" s="4" t="s">
        <v>197</v>
      </c>
      <c r="H3" s="4" t="s">
        <v>197</v>
      </c>
      <c r="I3" s="4" t="s">
        <v>197</v>
      </c>
      <c r="J3" s="4" t="s">
        <v>197</v>
      </c>
      <c r="K3" s="4" t="s">
        <v>197</v>
      </c>
      <c r="L3" s="4" t="s">
        <v>197</v>
      </c>
      <c r="M3" s="4" t="s">
        <v>197</v>
      </c>
      <c r="N3" s="4" t="s">
        <v>197</v>
      </c>
      <c r="O3" s="4" t="s">
        <v>197</v>
      </c>
      <c r="P3" s="4" t="s">
        <v>197</v>
      </c>
      <c r="Q3" s="4" t="s">
        <v>197</v>
      </c>
      <c r="R3" s="4" t="s">
        <v>197</v>
      </c>
      <c r="S3" s="4" t="s">
        <v>197</v>
      </c>
      <c r="V3" s="30"/>
      <c r="W3" s="22">
        <v>40348064</v>
      </c>
      <c r="X3" s="31" t="str">
        <f>S33</f>
        <v>CBEE4136</v>
      </c>
      <c r="Y3" t="str">
        <f t="shared" si="0"/>
        <v>0xCBEE4136,</v>
      </c>
      <c r="Z3" s="32"/>
    </row>
    <row r="4" spans="1:26">
      <c r="A4" s="2" t="s">
        <v>210</v>
      </c>
      <c r="B4" s="3">
        <v>56</v>
      </c>
      <c r="C4" s="3">
        <v>56</v>
      </c>
      <c r="D4" s="3">
        <v>1</v>
      </c>
      <c r="E4" s="4" t="s">
        <v>86</v>
      </c>
      <c r="F4" s="4" t="s">
        <v>86</v>
      </c>
      <c r="G4" s="4" t="s">
        <v>86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11217A0C</v>
      </c>
      <c r="Y4" t="str">
        <f t="shared" si="0"/>
        <v>0x11217A0C,</v>
      </c>
      <c r="Z4" s="32" t="s">
        <v>146</v>
      </c>
    </row>
    <row r="5" spans="1:26">
      <c r="A5" s="2" t="s">
        <v>211</v>
      </c>
      <c r="B5" s="3">
        <v>55</v>
      </c>
      <c r="C5" s="3">
        <v>53</v>
      </c>
      <c r="D5" s="3">
        <v>7</v>
      </c>
      <c r="E5" s="4" t="s">
        <v>127</v>
      </c>
      <c r="F5" s="4" t="s">
        <v>127</v>
      </c>
      <c r="G5" s="4" t="s">
        <v>127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CBEE4196</v>
      </c>
      <c r="Y5" t="str">
        <f t="shared" si="0"/>
        <v>0xCBEE4196,</v>
      </c>
      <c r="Z5" s="32"/>
    </row>
    <row r="6" spans="1:26">
      <c r="A6" s="2" t="s">
        <v>212</v>
      </c>
      <c r="B6" s="3">
        <v>52</v>
      </c>
      <c r="C6" s="3">
        <v>49</v>
      </c>
      <c r="D6" s="3">
        <v>0</v>
      </c>
      <c r="E6" s="4" t="s">
        <v>72</v>
      </c>
      <c r="F6" s="4" t="s">
        <v>127</v>
      </c>
      <c r="G6" s="4" t="s">
        <v>127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11217A0C</v>
      </c>
      <c r="Y6" t="str">
        <f t="shared" si="0"/>
        <v>0x11217A0C,</v>
      </c>
      <c r="Z6" s="32" t="s">
        <v>149</v>
      </c>
    </row>
    <row r="7" spans="1:26">
      <c r="A7" s="2" t="s">
        <v>213</v>
      </c>
      <c r="B7" s="3">
        <v>48</v>
      </c>
      <c r="C7" s="3">
        <v>46</v>
      </c>
      <c r="D7" s="3">
        <v>7</v>
      </c>
      <c r="E7" s="4" t="s">
        <v>127</v>
      </c>
      <c r="F7" s="4" t="s">
        <v>127</v>
      </c>
      <c r="G7" s="4" t="s">
        <v>127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CBEE4216</v>
      </c>
      <c r="Y7" t="str">
        <f t="shared" si="0"/>
        <v>0xCBEE4216,</v>
      </c>
      <c r="Z7" s="3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 t="s">
        <v>72</v>
      </c>
      <c r="F8" s="4" t="s">
        <v>72</v>
      </c>
      <c r="G8" s="4" t="s">
        <v>72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11217A0C</v>
      </c>
      <c r="Y8" t="str">
        <f t="shared" si="0"/>
        <v>0x11217A0C,</v>
      </c>
      <c r="Z8" s="3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 t="s">
        <v>72</v>
      </c>
      <c r="F9" s="4" t="s">
        <v>72</v>
      </c>
      <c r="G9" s="4" t="s">
        <v>72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CBEE812F</v>
      </c>
      <c r="Y9" t="str">
        <f t="shared" si="0"/>
        <v>0xCBEE812F,</v>
      </c>
      <c r="Z9" s="32"/>
    </row>
    <row r="10" spans="1:26">
      <c r="A10" s="2" t="s">
        <v>156</v>
      </c>
      <c r="B10" s="3">
        <v>42</v>
      </c>
      <c r="C10" s="3">
        <v>37</v>
      </c>
      <c r="D10" s="3">
        <v>63</v>
      </c>
      <c r="E10" s="5" t="s">
        <v>228</v>
      </c>
      <c r="F10" s="6" t="s">
        <v>223</v>
      </c>
      <c r="G10" s="6" t="s">
        <v>114</v>
      </c>
      <c r="H10" s="5">
        <v>35</v>
      </c>
      <c r="I10" s="6" t="s">
        <v>158</v>
      </c>
      <c r="J10" s="5">
        <v>19</v>
      </c>
      <c r="K10" s="6" t="s">
        <v>76</v>
      </c>
      <c r="L10" s="5">
        <v>18</v>
      </c>
      <c r="M10" s="6" t="s">
        <v>159</v>
      </c>
      <c r="N10" s="5">
        <v>10</v>
      </c>
      <c r="O10" s="5">
        <v>12</v>
      </c>
      <c r="P10" s="5">
        <v>9</v>
      </c>
      <c r="Q10" s="5">
        <v>16</v>
      </c>
      <c r="R10" s="5">
        <v>12</v>
      </c>
      <c r="S10" s="5">
        <v>9</v>
      </c>
      <c r="V10" s="30">
        <v>4</v>
      </c>
      <c r="W10" s="22">
        <v>40348060</v>
      </c>
      <c r="X10" s="31" t="str">
        <f>O34</f>
        <v>11217A0C</v>
      </c>
      <c r="Y10" t="str">
        <f t="shared" si="0"/>
        <v>0x11217A0C,</v>
      </c>
      <c r="Z10" s="32" t="s">
        <v>155</v>
      </c>
    </row>
    <row r="11" spans="1:26">
      <c r="A11" s="2" t="s">
        <v>160</v>
      </c>
      <c r="B11" s="3">
        <v>36</v>
      </c>
      <c r="C11" s="3">
        <v>32</v>
      </c>
      <c r="D11" s="3">
        <v>31</v>
      </c>
      <c r="E11" s="5" t="s">
        <v>229</v>
      </c>
      <c r="F11" s="5" t="s">
        <v>205</v>
      </c>
      <c r="G11" s="5" t="s">
        <v>205</v>
      </c>
      <c r="H11" s="5">
        <v>16</v>
      </c>
      <c r="I11" s="5">
        <v>16</v>
      </c>
      <c r="J11" s="5">
        <v>16</v>
      </c>
      <c r="K11" s="5">
        <v>16</v>
      </c>
      <c r="L11" s="5">
        <v>24</v>
      </c>
      <c r="M11" s="5">
        <v>26</v>
      </c>
      <c r="N11" s="5">
        <v>18</v>
      </c>
      <c r="O11" s="5">
        <v>16</v>
      </c>
      <c r="P11" s="5">
        <v>15</v>
      </c>
      <c r="Q11" s="5">
        <v>22</v>
      </c>
      <c r="R11" s="5">
        <v>22</v>
      </c>
      <c r="S11" s="5">
        <v>22</v>
      </c>
      <c r="V11" s="30"/>
      <c r="W11" s="22">
        <v>40348064</v>
      </c>
      <c r="X11" s="31" t="str">
        <f>O33</f>
        <v>CBEE8190</v>
      </c>
      <c r="Y11" t="str">
        <f t="shared" si="0"/>
        <v>0xCBEE8190,</v>
      </c>
      <c r="Z11" s="32"/>
    </row>
    <row r="12" spans="1:26">
      <c r="A12" s="2" t="s">
        <v>164</v>
      </c>
      <c r="B12" s="3">
        <v>31</v>
      </c>
      <c r="C12" s="3">
        <v>29</v>
      </c>
      <c r="D12" s="3">
        <v>2</v>
      </c>
      <c r="E12" s="7" t="s">
        <v>118</v>
      </c>
      <c r="F12" s="7" t="s">
        <v>72</v>
      </c>
      <c r="G12" s="7" t="s">
        <v>72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11217A0C</v>
      </c>
      <c r="Y12" t="str">
        <f t="shared" si="0"/>
        <v>0x11217A0C,</v>
      </c>
      <c r="Z12" s="32" t="s">
        <v>163</v>
      </c>
    </row>
    <row r="13" spans="1:26">
      <c r="A13" s="2" t="s">
        <v>165</v>
      </c>
      <c r="B13" s="3">
        <v>28</v>
      </c>
      <c r="C13" s="3">
        <v>27</v>
      </c>
      <c r="D13" s="3">
        <v>3</v>
      </c>
      <c r="E13" s="7" t="s">
        <v>80</v>
      </c>
      <c r="F13" s="7" t="s">
        <v>118</v>
      </c>
      <c r="G13" s="7" t="s">
        <v>118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CBEEC152</v>
      </c>
      <c r="Y13" t="str">
        <f t="shared" si="0"/>
        <v>0xCBEEC152,</v>
      </c>
      <c r="Z13" s="32"/>
    </row>
    <row r="14" spans="1:26">
      <c r="A14" s="2" t="s">
        <v>167</v>
      </c>
      <c r="B14" s="3">
        <v>26</v>
      </c>
      <c r="C14" s="3">
        <v>24</v>
      </c>
      <c r="D14" s="3">
        <v>1</v>
      </c>
      <c r="E14" s="7" t="s">
        <v>86</v>
      </c>
      <c r="F14" s="7" t="s">
        <v>86</v>
      </c>
      <c r="G14" s="7" t="s">
        <v>86</v>
      </c>
      <c r="H14" s="7" t="s">
        <v>86</v>
      </c>
      <c r="I14" s="7" t="s">
        <v>86</v>
      </c>
      <c r="J14" s="7" t="s">
        <v>86</v>
      </c>
      <c r="K14" s="7" t="s">
        <v>86</v>
      </c>
      <c r="L14" s="7" t="s">
        <v>86</v>
      </c>
      <c r="M14" s="7" t="s">
        <v>86</v>
      </c>
      <c r="N14" s="7" t="s">
        <v>86</v>
      </c>
      <c r="O14" s="7" t="s">
        <v>86</v>
      </c>
      <c r="P14" s="7" t="s">
        <v>86</v>
      </c>
      <c r="Q14" s="7" t="s">
        <v>86</v>
      </c>
      <c r="R14" s="7" t="s">
        <v>86</v>
      </c>
      <c r="S14" s="7" t="s">
        <v>86</v>
      </c>
      <c r="V14" s="30">
        <v>6</v>
      </c>
      <c r="W14" s="22">
        <v>40348060</v>
      </c>
      <c r="X14" s="31" t="str">
        <f>M34</f>
        <v>11217A0C</v>
      </c>
      <c r="Y14" t="str">
        <f t="shared" si="0"/>
        <v>0x11217A0C,</v>
      </c>
      <c r="Z14" s="32" t="s">
        <v>166</v>
      </c>
    </row>
    <row r="15" spans="1:26">
      <c r="A15" s="2" t="s">
        <v>168</v>
      </c>
      <c r="B15" s="3">
        <v>23</v>
      </c>
      <c r="C15" s="3">
        <v>18</v>
      </c>
      <c r="D15" s="3">
        <v>55</v>
      </c>
      <c r="E15" s="4" t="s">
        <v>162</v>
      </c>
      <c r="F15" s="4" t="s">
        <v>217</v>
      </c>
      <c r="G15" s="4" t="s">
        <v>217</v>
      </c>
      <c r="H15" s="4" t="s">
        <v>217</v>
      </c>
      <c r="I15" s="4" t="s">
        <v>217</v>
      </c>
      <c r="J15" s="4" t="s">
        <v>217</v>
      </c>
      <c r="K15" s="4" t="s">
        <v>217</v>
      </c>
      <c r="L15" s="4" t="s">
        <v>217</v>
      </c>
      <c r="M15" s="4" t="s">
        <v>217</v>
      </c>
      <c r="N15" s="4" t="s">
        <v>217</v>
      </c>
      <c r="O15" s="4" t="s">
        <v>217</v>
      </c>
      <c r="P15" s="4" t="s">
        <v>217</v>
      </c>
      <c r="Q15" s="4" t="s">
        <v>217</v>
      </c>
      <c r="R15" s="4" t="s">
        <v>217</v>
      </c>
      <c r="S15" s="4" t="s">
        <v>217</v>
      </c>
      <c r="V15" s="30"/>
      <c r="W15" s="22">
        <v>40348064</v>
      </c>
      <c r="X15" s="31" t="str">
        <f>M33</f>
        <v>CBEF019A</v>
      </c>
      <c r="Y15" t="str">
        <f t="shared" si="0"/>
        <v>0xCBEF019A,</v>
      </c>
      <c r="Z15" s="32"/>
    </row>
    <row r="16" spans="1:26">
      <c r="A16" s="2" t="s">
        <v>170</v>
      </c>
      <c r="B16" s="3">
        <v>17</v>
      </c>
      <c r="C16" s="3">
        <v>12</v>
      </c>
      <c r="D16" s="3">
        <v>45</v>
      </c>
      <c r="E16" s="4" t="s">
        <v>229</v>
      </c>
      <c r="F16" s="4" t="s">
        <v>161</v>
      </c>
      <c r="G16" s="4" t="s">
        <v>161</v>
      </c>
      <c r="H16" s="4" t="s">
        <v>161</v>
      </c>
      <c r="I16" s="4" t="s">
        <v>161</v>
      </c>
      <c r="J16" s="4" t="s">
        <v>161</v>
      </c>
      <c r="K16" s="4" t="s">
        <v>161</v>
      </c>
      <c r="L16" s="4" t="s">
        <v>161</v>
      </c>
      <c r="M16" s="4" t="s">
        <v>161</v>
      </c>
      <c r="N16" s="4" t="s">
        <v>161</v>
      </c>
      <c r="O16" s="4" t="s">
        <v>161</v>
      </c>
      <c r="P16" s="4" t="s">
        <v>161</v>
      </c>
      <c r="Q16" s="4" t="s">
        <v>161</v>
      </c>
      <c r="R16" s="4" t="s">
        <v>161</v>
      </c>
      <c r="S16" s="4" t="s">
        <v>161</v>
      </c>
      <c r="V16" s="30">
        <v>7</v>
      </c>
      <c r="W16" s="22">
        <v>40348060</v>
      </c>
      <c r="X16" s="31" t="str">
        <f>L34</f>
        <v>11217A0C</v>
      </c>
      <c r="Y16" t="str">
        <f t="shared" si="0"/>
        <v>0x11217A0C,</v>
      </c>
      <c r="Z16" s="32" t="s">
        <v>169</v>
      </c>
    </row>
    <row r="17" spans="1:26">
      <c r="A17" s="2" t="s">
        <v>171</v>
      </c>
      <c r="B17" s="3">
        <v>11</v>
      </c>
      <c r="C17" s="3">
        <v>7</v>
      </c>
      <c r="D17" s="3">
        <v>20</v>
      </c>
      <c r="E17" s="4" t="s">
        <v>158</v>
      </c>
      <c r="F17" s="4">
        <v>20</v>
      </c>
      <c r="G17" s="4" t="s">
        <v>158</v>
      </c>
      <c r="H17" s="4">
        <v>20</v>
      </c>
      <c r="I17" s="4" t="s">
        <v>158</v>
      </c>
      <c r="J17" s="4">
        <v>20</v>
      </c>
      <c r="K17" s="4" t="s">
        <v>158</v>
      </c>
      <c r="L17" s="4">
        <v>20</v>
      </c>
      <c r="M17" s="4" t="s">
        <v>158</v>
      </c>
      <c r="N17" s="4">
        <v>20</v>
      </c>
      <c r="O17" s="4" t="s">
        <v>158</v>
      </c>
      <c r="P17" s="4">
        <v>20</v>
      </c>
      <c r="Q17" s="4" t="s">
        <v>158</v>
      </c>
      <c r="R17" s="4">
        <v>20</v>
      </c>
      <c r="S17" s="4" t="s">
        <v>158</v>
      </c>
      <c r="V17" s="30"/>
      <c r="W17" s="22">
        <v>40348064</v>
      </c>
      <c r="X17" s="31" t="str">
        <f>L33</f>
        <v>CBEF0258</v>
      </c>
      <c r="Y17" t="str">
        <f t="shared" si="0"/>
        <v>0xCBEF0258,</v>
      </c>
      <c r="Z17" s="32"/>
    </row>
    <row r="18" spans="1:26">
      <c r="A18" s="2" t="s">
        <v>173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11217A0C</v>
      </c>
      <c r="Y18" t="str">
        <f t="shared" si="0"/>
        <v>0x11217A0C,</v>
      </c>
      <c r="Z18" s="32" t="s">
        <v>172</v>
      </c>
    </row>
    <row r="19" spans="1:26">
      <c r="A19" s="2" t="s">
        <v>174</v>
      </c>
      <c r="B19" s="3">
        <v>2</v>
      </c>
      <c r="C19" s="3">
        <v>0</v>
      </c>
      <c r="D19" s="3">
        <v>6</v>
      </c>
      <c r="E19" s="4" t="s">
        <v>94</v>
      </c>
      <c r="F19" s="4" t="s">
        <v>94</v>
      </c>
      <c r="G19" s="4" t="s">
        <v>94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CBEF41F0</v>
      </c>
      <c r="Y19" t="str">
        <f t="shared" si="0"/>
        <v>0xCBEF41F0,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11217A0C</v>
      </c>
      <c r="Y20" t="str">
        <f t="shared" si="0"/>
        <v>0x11217A0C,</v>
      </c>
      <c r="Z20" s="32" t="s">
        <v>175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CBEF8270</v>
      </c>
      <c r="Y21" t="str">
        <f t="shared" si="0"/>
        <v>0xCBEF8270,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176</v>
      </c>
      <c r="W22" s="22">
        <v>40348060</v>
      </c>
      <c r="X22" s="31" t="str">
        <f>I34</f>
        <v>11217A0C</v>
      </c>
      <c r="Y22" t="str">
        <f t="shared" si="0"/>
        <v>0x11217A0C,</v>
      </c>
      <c r="Z22" s="32" t="s">
        <v>177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CBEF8290</v>
      </c>
      <c r="Y23" t="str">
        <f t="shared" si="0"/>
        <v>0xCBEF8290,</v>
      </c>
      <c r="Z23" s="32"/>
    </row>
    <row r="24" spans="1:26">
      <c r="A24" s="12" t="s">
        <v>178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179</v>
      </c>
      <c r="W24" s="22">
        <v>40348060</v>
      </c>
      <c r="X24" s="31" t="str">
        <f>H34</f>
        <v>11217A0C</v>
      </c>
      <c r="Y24" t="str">
        <f t="shared" si="0"/>
        <v>0x11217A0C,</v>
      </c>
      <c r="Z24" s="32" t="s">
        <v>180</v>
      </c>
    </row>
    <row r="25" spans="1:26">
      <c r="A25" s="12" t="s">
        <v>181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CBEF8470</v>
      </c>
      <c r="Y25" t="str">
        <f t="shared" si="0"/>
        <v>0xCBEF8470,</v>
      </c>
      <c r="Z25" s="32"/>
    </row>
    <row r="26" spans="1:26">
      <c r="A26" s="12" t="s">
        <v>182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183</v>
      </c>
      <c r="W26" s="22">
        <v>40348060</v>
      </c>
      <c r="X26" s="31" t="str">
        <f>G34</f>
        <v>11217A0C</v>
      </c>
      <c r="Y26" t="str">
        <f t="shared" si="0"/>
        <v>0x11217A0C,</v>
      </c>
      <c r="Z26" s="32" t="s">
        <v>184</v>
      </c>
    </row>
    <row r="27" spans="1:26">
      <c r="A27" s="15" t="s">
        <v>185</v>
      </c>
      <c r="V27" s="30"/>
      <c r="W27" s="22">
        <v>40348064</v>
      </c>
      <c r="X27" s="31" t="str">
        <f>G33</f>
        <v>CBEFC3B6</v>
      </c>
      <c r="Y27" t="str">
        <f t="shared" si="0"/>
        <v>0xCBEFC3B6,</v>
      </c>
      <c r="Z27" s="32"/>
    </row>
    <row r="28" spans="22:26">
      <c r="V28" s="30" t="s">
        <v>186</v>
      </c>
      <c r="W28" s="22">
        <v>40348060</v>
      </c>
      <c r="X28" s="31" t="str">
        <f>F34</f>
        <v>11217A0C</v>
      </c>
      <c r="Y28" t="str">
        <f t="shared" si="0"/>
        <v>0x11217A0C,</v>
      </c>
      <c r="Z28" s="32" t="s">
        <v>187</v>
      </c>
    </row>
    <row r="29" spans="22:26">
      <c r="V29" s="30"/>
      <c r="W29" s="22">
        <v>40348064</v>
      </c>
      <c r="X29" s="31" t="str">
        <f>F33</f>
        <v>CBEFC536</v>
      </c>
      <c r="Y29" t="str">
        <f t="shared" si="0"/>
        <v>0xCBEFC536,</v>
      </c>
      <c r="Z29" s="32"/>
    </row>
    <row r="30" spans="22:26">
      <c r="V30" s="30" t="s">
        <v>188</v>
      </c>
      <c r="W30" s="22">
        <v>40348060</v>
      </c>
      <c r="X30" s="31" t="str">
        <f>E34</f>
        <v>1961FA0C</v>
      </c>
      <c r="Y30" t="str">
        <f t="shared" si="0"/>
        <v>0x1961FA0C,</v>
      </c>
      <c r="Z30" s="32" t="s">
        <v>189</v>
      </c>
    </row>
    <row r="31" spans="1:26">
      <c r="A31" t="s">
        <v>190</v>
      </c>
      <c r="V31" s="30"/>
      <c r="W31" s="22">
        <v>40348064</v>
      </c>
      <c r="X31" s="31" t="str">
        <f>E33</f>
        <v>C1E1C7FF</v>
      </c>
      <c r="Y31" t="str">
        <f t="shared" si="0"/>
        <v>0xC1E1C7FF,</v>
      </c>
      <c r="Z31" s="32"/>
    </row>
    <row r="32" spans="1:26">
      <c r="A32" s="16" t="s">
        <v>191</v>
      </c>
      <c r="B32" s="16"/>
      <c r="C32" s="16"/>
      <c r="D32" s="17">
        <v>22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192</v>
      </c>
      <c r="W32" s="22">
        <v>40348060</v>
      </c>
      <c r="X32" s="31" t="str">
        <f>D34</f>
        <v>59DEDA0E</v>
      </c>
      <c r="Y32" t="str">
        <f t="shared" si="0"/>
        <v>0x59DEDA0E,</v>
      </c>
      <c r="Z32" s="32" t="s">
        <v>193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C1E1C7FF</v>
      </c>
      <c r="E33" s="18" t="str">
        <f>DEC2HEX(POWER(2,$C12-32)*E12+POWER(2,$C11-32)*E11+POWER(2,$C10-32)*E10+POWER(2,$C9-32)*E9+POWER(2,$C8-32)*E8+POWER(2,$C7-32)*E7+POWER(2,$C6-32)*E6+POWER(2,$C5-32)*E5+POWER(2,$C4-32)*E4+POWER(2,$C3-32)*E3+POWER(2,$C2-32)*E2)</f>
        <v>C1E1C7FF</v>
      </c>
      <c r="F33" s="18" t="str">
        <f>DEC2HEX(POWER(2,$C12-32)*F12+POWER(2,$C11-32)*F11+POWER(2,$C10-32)*F10+POWER(2,$C9-32)*F9+POWER(2,$C8-32)*F8+POWER(2,$C7-32)*F7+POWER(2,$C6-32)*F6+POWER(2,$C5-32)*F5+POWER(2,$C4-32)*F4+POWER(2,$C3-32)*F3+POWER(2,$C2-32)*F2)</f>
        <v>CBEFC536</v>
      </c>
      <c r="G33" s="18" t="str">
        <f>DEC2HEX(POWER(2,$C12-32)*G12+POWER(2,$C11-32)*G11+POWER(2,$C10-32)*G10+POWER(2,$C9-32)*G9+POWER(2,$C8-32)*G8+POWER(2,$C7-32)*G7+POWER(2,$C6-32)*G6+POWER(2,$C5-32)*G5+POWER(2,$C4-32)*G4+POWER(2,$C3-32)*G3+POWER(2,$C2-32)*G2)</f>
        <v>CBEFC3B6</v>
      </c>
      <c r="H33" s="18" t="str">
        <f>DEC2HEX(POWER(2,$C12-32)*H12+POWER(2,$C11-32)*H11+POWER(2,$C10-32)*H10+POWER(2,$C9-32)*H9+POWER(2,$C8-32)*H8+POWER(2,$C7-32)*H7+POWER(2,$C6-32)*H6+POWER(2,$C5-32)*H5+POWER(2,$C4-32)*H4+POWER(2,$C3-32)*H3+POWER(2,$C2-32)*H2)</f>
        <v>CBEF8470</v>
      </c>
      <c r="I33" s="18" t="str">
        <f>DEC2HEX(POWER(2,$C12-32)*I12+POWER(2,$C11-32)*I11+POWER(2,$C10-32)*I10+POWER(2,$C9-32)*I9+POWER(2,$C8-32)*I8+POWER(2,$C7-32)*I7+POWER(2,$C6-32)*I6+POWER(2,$C5-32)*I5+POWER(2,$C4-32)*I4+POWER(2,$C3-32)*I3+POWER(2,$C2-32)*I2)</f>
        <v>CBEF8290</v>
      </c>
      <c r="J33" s="18" t="str">
        <f>DEC2HEX(POWER(2,$C12-32)*J12+POWER(2,$C11-32)*J11+POWER(2,$C10-32)*J10+POWER(2,$C9-32)*J9+POWER(2,$C8-32)*J8+POWER(2,$C7-32)*J7+POWER(2,$C6-32)*J6+POWER(2,$C5-32)*J5+POWER(2,$C4-32)*J4+POWER(2,$C3-32)*J3+POWER(2,$C2-32)*J2)</f>
        <v>CBEF8270</v>
      </c>
      <c r="K33" s="18" t="str">
        <f>DEC2HEX(POWER(2,$C12-32)*K12+POWER(2,$C11-32)*K11+POWER(2,$C10-32)*K10+POWER(2,$C9-32)*K9+POWER(2,$C8-32)*K8+POWER(2,$C7-32)*K7+POWER(2,$C6-32)*K6+POWER(2,$C5-32)*K5+POWER(2,$C4-32)*K4+POWER(2,$C3-32)*K3+POWER(2,$C2-32)*K2)</f>
        <v>CBEF41F0</v>
      </c>
      <c r="L33" s="18" t="str">
        <f>DEC2HEX(POWER(2,$C12-32)*L12+POWER(2,$C11-32)*L11+POWER(2,$C10-32)*L10+POWER(2,$C9-32)*L9+POWER(2,$C8-32)*L8+POWER(2,$C7-32)*L7+POWER(2,$C6-32)*L6+POWER(2,$C5-32)*L5+POWER(2,$C4-32)*L4+POWER(2,$C3-32)*L3+POWER(2,$C2-32)*L2)</f>
        <v>CBEF0258</v>
      </c>
      <c r="M33" s="18" t="str">
        <f>DEC2HEX(POWER(2,$C12-32)*M12+POWER(2,$C11-32)*M11+POWER(2,$C10-32)*M10+POWER(2,$C9-32)*M9+POWER(2,$C8-32)*M8+POWER(2,$C7-32)*M7+POWER(2,$C6-32)*M6+POWER(2,$C5-32)*M5+POWER(2,$C4-32)*M4+POWER(2,$C3-32)*M3+POWER(2,$C2-32)*M2)</f>
        <v>CBEF019A</v>
      </c>
      <c r="N33" s="18" t="str">
        <f>DEC2HEX(POWER(2,$C12-32)*N12+POWER(2,$C11-32)*N11+POWER(2,$C10-32)*N10+POWER(2,$C9-32)*N9+POWER(2,$C8-32)*N8+POWER(2,$C7-32)*N7+POWER(2,$C6-32)*N6+POWER(2,$C5-32)*N5+POWER(2,$C4-32)*N4+POWER(2,$C3-32)*N3+POWER(2,$C2-32)*N2)</f>
        <v>CBEEC152</v>
      </c>
      <c r="O33" s="18" t="str">
        <f>DEC2HEX(POWER(2,$C12-32)*O12+POWER(2,$C11-32)*O11+POWER(2,$C10-32)*O10+POWER(2,$C9-32)*O9+POWER(2,$C8-32)*O8+POWER(2,$C7-32)*O7+POWER(2,$C6-32)*O6+POWER(2,$C5-32)*O5+POWER(2,$C4-32)*O4+POWER(2,$C3-32)*O3+POWER(2,$C2-32)*O2)</f>
        <v>CBEE8190</v>
      </c>
      <c r="P33" s="18" t="str">
        <f>DEC2HEX(POWER(2,$C12-32)*P12+POWER(2,$C11-32)*P11+POWER(2,$C10-32)*P10+POWER(2,$C9-32)*P9+POWER(2,$C8-32)*P8+POWER(2,$C7-32)*P7+POWER(2,$C6-32)*P6+POWER(2,$C5-32)*P5+POWER(2,$C4-32)*P4+POWER(2,$C3-32)*P3+POWER(2,$C2-32)*P2)</f>
        <v>CBEE812F</v>
      </c>
      <c r="Q33" s="18" t="str">
        <f>DEC2HEX(POWER(2,$C12-32)*Q12+POWER(2,$C11-32)*Q11+POWER(2,$C10-32)*Q10+POWER(2,$C9-32)*Q9+POWER(2,$C8-32)*Q8+POWER(2,$C7-32)*Q7+POWER(2,$C6-32)*Q6+POWER(2,$C5-32)*Q5+POWER(2,$C4-32)*Q4+POWER(2,$C3-32)*Q3+POWER(2,$C2-32)*Q2)</f>
        <v>CBEE4216</v>
      </c>
      <c r="R33" s="18" t="str">
        <f>DEC2HEX(POWER(2,$C12-32)*R12+POWER(2,$C11-32)*R11+POWER(2,$C10-32)*R10+POWER(2,$C9-32)*R9+POWER(2,$C8-32)*R8+POWER(2,$C7-32)*R7+POWER(2,$C6-32)*R6+POWER(2,$C5-32)*R5+POWER(2,$C4-32)*R4+POWER(2,$C3-32)*R3+POWER(2,$C2-32)*R2)</f>
        <v>CBEE4196</v>
      </c>
      <c r="S33" s="18" t="str">
        <f>DEC2HEX(POWER(2,$C12-32)*S12+POWER(2,$C11-32)*S11+POWER(2,$C10-32)*S10+POWER(2,$C9-32)*S9+POWER(2,$C8-32)*S8+POWER(2,$C7-32)*S7+POWER(2,$C6-32)*S6+POWER(2,$C5-32)*S5+POWER(2,$C4-32)*S4+POWER(2,$C3-32)*S3+POWER(2,$C2-32)*S2)</f>
        <v>CBEE4136</v>
      </c>
      <c r="V33" s="29"/>
      <c r="W33" s="22">
        <v>40348064</v>
      </c>
      <c r="X33" s="31" t="str">
        <f>D33</f>
        <v>C1E1C7FF</v>
      </c>
      <c r="Y33" t="str">
        <f t="shared" si="0"/>
        <v>0xC1E1C7FF,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59DEDA0E</v>
      </c>
      <c r="E34" s="18" t="str">
        <f>DEC2HEX(POWER(2,$C20)*E20+POWER(2,$C19)*E19+POWER(2,$C18)*E18+POWER(2,$C17)*E17+POWER(2,$C16)*E16+POWER(2,$C15)*E15+POWER(2,$C14)*E14+POWER(2,$C13)*E13)</f>
        <v>1961FA0C</v>
      </c>
      <c r="F34" s="18" t="str">
        <f>DEC2HEX(POWER(2,$C20)*F20+POWER(2,$C19)*F19+POWER(2,$C18)*F18+POWER(2,$C17)*F17+POWER(2,$C16)*F16+POWER(2,$C15)*F15+POWER(2,$C14)*F14+POWER(2,$C13)*F13)</f>
        <v>11217A0C</v>
      </c>
      <c r="G34" s="18" t="str">
        <f>DEC2HEX(POWER(2,$C20)*G20+POWER(2,$C19)*G19+POWER(2,$C18)*G18+POWER(2,$C17)*G17+POWER(2,$C16)*G16+POWER(2,$C15)*G15+POWER(2,$C14)*G14+POWER(2,$C13)*G13)</f>
        <v>11217A0C</v>
      </c>
      <c r="H34" s="18" t="str">
        <f>DEC2HEX(POWER(2,$C20)*H20+POWER(2,$C19)*H19+POWER(2,$C18)*H18+POWER(2,$C17)*H17+POWER(2,$C16)*H16+POWER(2,$C15)*H15+POWER(2,$C14)*H14+POWER(2,$C13)*H13)</f>
        <v>11217A0C</v>
      </c>
      <c r="I34" s="18" t="str">
        <f>DEC2HEX(POWER(2,$C20)*I20+POWER(2,$C19)*I19+POWER(2,$C18)*I18+POWER(2,$C17)*I17+POWER(2,$C16)*I16+POWER(2,$C15)*I15+POWER(2,$C14)*I14+POWER(2,$C13)*I13)</f>
        <v>11217A0C</v>
      </c>
      <c r="J34" s="18" t="str">
        <f>DEC2HEX(POWER(2,$C20)*J20+POWER(2,$C19)*J19+POWER(2,$C18)*J18+POWER(2,$C17)*J17+POWER(2,$C16)*J16+POWER(2,$C15)*J15+POWER(2,$C14)*J14+POWER(2,$C13)*J13)</f>
        <v>11217A0C</v>
      </c>
      <c r="K34" s="18" t="str">
        <f>DEC2HEX(POWER(2,$C20)*K20+POWER(2,$C19)*K19+POWER(2,$C18)*K18+POWER(2,$C17)*K17+POWER(2,$C16)*K16+POWER(2,$C15)*K15+POWER(2,$C14)*K14+POWER(2,$C13)*K13)</f>
        <v>11217A0C</v>
      </c>
      <c r="L34" s="18" t="str">
        <f>DEC2HEX(POWER(2,$C20)*L20+POWER(2,$C19)*L19+POWER(2,$C18)*L18+POWER(2,$C17)*L17+POWER(2,$C16)*L16+POWER(2,$C15)*L15+POWER(2,$C14)*L14+POWER(2,$C13)*L13)</f>
        <v>11217A0C</v>
      </c>
      <c r="M34" s="18" t="str">
        <f>DEC2HEX(POWER(2,$C20)*M20+POWER(2,$C19)*M19+POWER(2,$C18)*M18+POWER(2,$C17)*M17+POWER(2,$C16)*M16+POWER(2,$C15)*M15+POWER(2,$C14)*M14+POWER(2,$C13)*M13)</f>
        <v>11217A0C</v>
      </c>
      <c r="N34" s="18" t="str">
        <f>DEC2HEX(POWER(2,$C20)*N20+POWER(2,$C19)*N19+POWER(2,$C18)*N18+POWER(2,$C17)*N17+POWER(2,$C16)*N16+POWER(2,$C15)*N15+POWER(2,$C14)*N14+POWER(2,$C13)*N13)</f>
        <v>11217A0C</v>
      </c>
      <c r="O34" s="18" t="str">
        <f>DEC2HEX(POWER(2,$C20)*O20+POWER(2,$C19)*O19+POWER(2,$C18)*O18+POWER(2,$C17)*O17+POWER(2,$C16)*O16+POWER(2,$C15)*O15+POWER(2,$C14)*O14+POWER(2,$C13)*O13)</f>
        <v>11217A0C</v>
      </c>
      <c r="P34" s="18" t="str">
        <f>DEC2HEX(POWER(2,$C20)*P20+POWER(2,$C19)*P19+POWER(2,$C18)*P18+POWER(2,$C17)*P17+POWER(2,$C16)*P16+POWER(2,$C15)*P15+POWER(2,$C14)*P14+POWER(2,$C13)*P13)</f>
        <v>11217A0C</v>
      </c>
      <c r="Q34" s="18" t="str">
        <f>DEC2HEX(POWER(2,$C20)*Q20+POWER(2,$C19)*Q19+POWER(2,$C18)*Q18+POWER(2,$C17)*Q17+POWER(2,$C16)*Q16+POWER(2,$C15)*Q15+POWER(2,$C14)*Q14+POWER(2,$C13)*Q13)</f>
        <v>11217A0C</v>
      </c>
      <c r="R34" s="18" t="str">
        <f>DEC2HEX(POWER(2,$C20)*R20+POWER(2,$C19)*R19+POWER(2,$C18)*R18+POWER(2,$C17)*R17+POWER(2,$C16)*R16+POWER(2,$C15)*R15+POWER(2,$C14)*R14+POWER(2,$C13)*R13)</f>
        <v>11217A0C</v>
      </c>
      <c r="S34" s="18" t="str">
        <f>DEC2HEX(POWER(2,$C20)*S20+POWER(2,$C19)*S19+POWER(2,$C18)*S18+POWER(2,$C17)*S17+POWER(2,$C16)*S16+POWER(2,$C15)*S15+POWER(2,$C14)*S14+POWER(2,$C13)*S13)</f>
        <v>11217A0C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H26" sqref="H26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208</v>
      </c>
      <c r="B2" s="3">
        <v>63</v>
      </c>
      <c r="C2" s="3">
        <v>62</v>
      </c>
      <c r="D2" s="3">
        <v>3</v>
      </c>
      <c r="E2" s="4" t="s">
        <v>80</v>
      </c>
      <c r="F2" s="4" t="s">
        <v>80</v>
      </c>
      <c r="G2" s="4" t="s">
        <v>80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13217A0C</v>
      </c>
      <c r="Y2" t="str">
        <f t="shared" ref="Y2:Y33" si="0">"0x"&amp;RIGHT("00000000"&amp;X2,8)&amp;","</f>
        <v>0x13217A0C,</v>
      </c>
      <c r="Z2" s="32" t="s">
        <v>142</v>
      </c>
    </row>
    <row r="3" spans="1:26">
      <c r="A3" s="2" t="s">
        <v>209</v>
      </c>
      <c r="B3" s="3">
        <v>61</v>
      </c>
      <c r="C3" s="3">
        <v>57</v>
      </c>
      <c r="D3" s="3">
        <v>0</v>
      </c>
      <c r="E3" s="4" t="s">
        <v>72</v>
      </c>
      <c r="F3" s="4" t="s">
        <v>197</v>
      </c>
      <c r="G3" s="4" t="s">
        <v>197</v>
      </c>
      <c r="H3" s="4" t="s">
        <v>197</v>
      </c>
      <c r="I3" s="4" t="s">
        <v>197</v>
      </c>
      <c r="J3" s="4" t="s">
        <v>197</v>
      </c>
      <c r="K3" s="4" t="s">
        <v>197</v>
      </c>
      <c r="L3" s="4" t="s">
        <v>197</v>
      </c>
      <c r="M3" s="4" t="s">
        <v>197</v>
      </c>
      <c r="N3" s="4" t="s">
        <v>197</v>
      </c>
      <c r="O3" s="4" t="s">
        <v>197</v>
      </c>
      <c r="P3" s="4" t="s">
        <v>197</v>
      </c>
      <c r="Q3" s="4" t="s">
        <v>197</v>
      </c>
      <c r="R3" s="4" t="s">
        <v>197</v>
      </c>
      <c r="S3" s="4" t="s">
        <v>197</v>
      </c>
      <c r="V3" s="30"/>
      <c r="W3" s="22">
        <v>40348064</v>
      </c>
      <c r="X3" s="31" t="str">
        <f>S33</f>
        <v>CBEE4136</v>
      </c>
      <c r="Y3" t="str">
        <f t="shared" si="0"/>
        <v>0xCBEE4136,</v>
      </c>
      <c r="Z3" s="32"/>
    </row>
    <row r="4" spans="1:26">
      <c r="A4" s="2" t="s">
        <v>210</v>
      </c>
      <c r="B4" s="3">
        <v>56</v>
      </c>
      <c r="C4" s="3">
        <v>56</v>
      </c>
      <c r="D4" s="3">
        <v>1</v>
      </c>
      <c r="E4" s="4" t="s">
        <v>86</v>
      </c>
      <c r="F4" s="4" t="s">
        <v>86</v>
      </c>
      <c r="G4" s="4" t="s">
        <v>86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13217A0C</v>
      </c>
      <c r="Y4" t="str">
        <f t="shared" si="0"/>
        <v>0x13217A0C,</v>
      </c>
      <c r="Z4" s="32" t="s">
        <v>146</v>
      </c>
    </row>
    <row r="5" spans="1:26">
      <c r="A5" s="2" t="s">
        <v>211</v>
      </c>
      <c r="B5" s="3">
        <v>55</v>
      </c>
      <c r="C5" s="3">
        <v>53</v>
      </c>
      <c r="D5" s="3">
        <v>7</v>
      </c>
      <c r="E5" s="4" t="s">
        <v>127</v>
      </c>
      <c r="F5" s="4" t="s">
        <v>127</v>
      </c>
      <c r="G5" s="4" t="s">
        <v>127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CBEE4196</v>
      </c>
      <c r="Y5" t="str">
        <f t="shared" si="0"/>
        <v>0xCBEE4196,</v>
      </c>
      <c r="Z5" s="32"/>
    </row>
    <row r="6" spans="1:26">
      <c r="A6" s="2" t="s">
        <v>212</v>
      </c>
      <c r="B6" s="3">
        <v>52</v>
      </c>
      <c r="C6" s="3">
        <v>49</v>
      </c>
      <c r="D6" s="3">
        <v>0</v>
      </c>
      <c r="E6" s="4" t="s">
        <v>72</v>
      </c>
      <c r="F6" s="4" t="s">
        <v>127</v>
      </c>
      <c r="G6" s="4" t="s">
        <v>127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13217A0C</v>
      </c>
      <c r="Y6" t="str">
        <f t="shared" si="0"/>
        <v>0x13217A0C,</v>
      </c>
      <c r="Z6" s="32" t="s">
        <v>149</v>
      </c>
    </row>
    <row r="7" spans="1:26">
      <c r="A7" s="2" t="s">
        <v>213</v>
      </c>
      <c r="B7" s="3">
        <v>48</v>
      </c>
      <c r="C7" s="3">
        <v>46</v>
      </c>
      <c r="D7" s="3">
        <v>7</v>
      </c>
      <c r="E7" s="4" t="s">
        <v>127</v>
      </c>
      <c r="F7" s="4" t="s">
        <v>127</v>
      </c>
      <c r="G7" s="4" t="s">
        <v>127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CBEE4216</v>
      </c>
      <c r="Y7" t="str">
        <f t="shared" si="0"/>
        <v>0xCBEE4216,</v>
      </c>
      <c r="Z7" s="3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 t="s">
        <v>72</v>
      </c>
      <c r="F8" s="4" t="s">
        <v>72</v>
      </c>
      <c r="G8" s="4" t="s">
        <v>72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13217A0C</v>
      </c>
      <c r="Y8" t="str">
        <f t="shared" si="0"/>
        <v>0x13217A0C,</v>
      </c>
      <c r="Z8" s="3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 t="s">
        <v>72</v>
      </c>
      <c r="F9" s="4" t="s">
        <v>72</v>
      </c>
      <c r="G9" s="4" t="s">
        <v>72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CBEE812F</v>
      </c>
      <c r="Y9" t="str">
        <f t="shared" si="0"/>
        <v>0xCBEE812F,</v>
      </c>
      <c r="Z9" s="32"/>
    </row>
    <row r="10" spans="1:26">
      <c r="A10" s="2" t="s">
        <v>156</v>
      </c>
      <c r="B10" s="3">
        <v>42</v>
      </c>
      <c r="C10" s="3">
        <v>37</v>
      </c>
      <c r="D10" s="3">
        <v>63</v>
      </c>
      <c r="E10" s="5" t="s">
        <v>228</v>
      </c>
      <c r="F10" s="6" t="s">
        <v>225</v>
      </c>
      <c r="G10" s="6" t="s">
        <v>200</v>
      </c>
      <c r="H10" s="5">
        <v>35</v>
      </c>
      <c r="I10" s="6" t="s">
        <v>199</v>
      </c>
      <c r="J10" s="5">
        <v>19</v>
      </c>
      <c r="K10" s="6" t="s">
        <v>195</v>
      </c>
      <c r="L10" s="5">
        <v>18</v>
      </c>
      <c r="M10" s="6" t="s">
        <v>198</v>
      </c>
      <c r="N10" s="5">
        <v>10</v>
      </c>
      <c r="O10" s="5">
        <v>12</v>
      </c>
      <c r="P10" s="5">
        <v>9</v>
      </c>
      <c r="Q10" s="5">
        <v>16</v>
      </c>
      <c r="R10" s="5">
        <v>12</v>
      </c>
      <c r="S10" s="5">
        <v>9</v>
      </c>
      <c r="V10" s="30">
        <v>4</v>
      </c>
      <c r="W10" s="22">
        <v>40348060</v>
      </c>
      <c r="X10" s="31" t="str">
        <f>O34</f>
        <v>13217A0C</v>
      </c>
      <c r="Y10" t="str">
        <f t="shared" si="0"/>
        <v>0x13217A0C,</v>
      </c>
      <c r="Z10" s="32" t="s">
        <v>155</v>
      </c>
    </row>
    <row r="11" spans="1:26">
      <c r="A11" s="2" t="s">
        <v>160</v>
      </c>
      <c r="B11" s="3">
        <v>36</v>
      </c>
      <c r="C11" s="3">
        <v>32</v>
      </c>
      <c r="D11" s="3">
        <v>31</v>
      </c>
      <c r="E11" s="5" t="s">
        <v>229</v>
      </c>
      <c r="F11" s="5" t="s">
        <v>205</v>
      </c>
      <c r="G11" s="5" t="s">
        <v>205</v>
      </c>
      <c r="H11" s="5">
        <v>16</v>
      </c>
      <c r="I11" s="5">
        <v>16</v>
      </c>
      <c r="J11" s="5">
        <v>16</v>
      </c>
      <c r="K11" s="6" t="s">
        <v>195</v>
      </c>
      <c r="L11" s="5">
        <v>24</v>
      </c>
      <c r="M11" s="6" t="s">
        <v>214</v>
      </c>
      <c r="N11" s="5">
        <v>18</v>
      </c>
      <c r="O11" s="5">
        <v>16</v>
      </c>
      <c r="P11" s="5">
        <v>15</v>
      </c>
      <c r="Q11" s="5">
        <v>22</v>
      </c>
      <c r="R11" s="5">
        <v>22</v>
      </c>
      <c r="S11" s="5">
        <v>22</v>
      </c>
      <c r="V11" s="30"/>
      <c r="W11" s="22">
        <v>40348064</v>
      </c>
      <c r="X11" s="31" t="str">
        <f>O33</f>
        <v>CBEE8190</v>
      </c>
      <c r="Y11" t="str">
        <f t="shared" si="0"/>
        <v>0xCBEE8190,</v>
      </c>
      <c r="Z11" s="32"/>
    </row>
    <row r="12" spans="1:26">
      <c r="A12" s="2" t="s">
        <v>164</v>
      </c>
      <c r="B12" s="3">
        <v>31</v>
      </c>
      <c r="C12" s="3">
        <v>29</v>
      </c>
      <c r="D12" s="3">
        <v>2</v>
      </c>
      <c r="E12" s="7" t="s">
        <v>118</v>
      </c>
      <c r="F12" s="7" t="s">
        <v>72</v>
      </c>
      <c r="G12" s="7" t="s">
        <v>72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13217A0C</v>
      </c>
      <c r="Y12" t="str">
        <f t="shared" si="0"/>
        <v>0x13217A0C,</v>
      </c>
      <c r="Z12" s="32" t="s">
        <v>163</v>
      </c>
    </row>
    <row r="13" spans="1:26">
      <c r="A13" s="2" t="s">
        <v>165</v>
      </c>
      <c r="B13" s="3">
        <v>28</v>
      </c>
      <c r="C13" s="3">
        <v>27</v>
      </c>
      <c r="D13" s="3">
        <v>3</v>
      </c>
      <c r="E13" s="7" t="s">
        <v>80</v>
      </c>
      <c r="F13" s="7" t="s">
        <v>118</v>
      </c>
      <c r="G13" s="7" t="s">
        <v>118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CBEEC152</v>
      </c>
      <c r="Y13" t="str">
        <f t="shared" si="0"/>
        <v>0xCBEEC152,</v>
      </c>
      <c r="Z13" s="32"/>
    </row>
    <row r="14" spans="1:26">
      <c r="A14" s="2" t="s">
        <v>167</v>
      </c>
      <c r="B14" s="3">
        <v>26</v>
      </c>
      <c r="C14" s="3">
        <v>24</v>
      </c>
      <c r="D14" s="3">
        <v>3</v>
      </c>
      <c r="E14" s="7" t="s">
        <v>80</v>
      </c>
      <c r="F14" s="7" t="s">
        <v>80</v>
      </c>
      <c r="G14" s="7" t="s">
        <v>80</v>
      </c>
      <c r="H14" s="7" t="s">
        <v>80</v>
      </c>
      <c r="I14" s="7" t="s">
        <v>80</v>
      </c>
      <c r="J14" s="7" t="s">
        <v>80</v>
      </c>
      <c r="K14" s="7" t="s">
        <v>80</v>
      </c>
      <c r="L14" s="7" t="s">
        <v>80</v>
      </c>
      <c r="M14" s="7" t="s">
        <v>80</v>
      </c>
      <c r="N14" s="7" t="s">
        <v>80</v>
      </c>
      <c r="O14" s="7" t="s">
        <v>80</v>
      </c>
      <c r="P14" s="7" t="s">
        <v>80</v>
      </c>
      <c r="Q14" s="7" t="s">
        <v>80</v>
      </c>
      <c r="R14" s="7" t="s">
        <v>80</v>
      </c>
      <c r="S14" s="7" t="s">
        <v>80</v>
      </c>
      <c r="V14" s="30">
        <v>6</v>
      </c>
      <c r="W14" s="22">
        <v>40348060</v>
      </c>
      <c r="X14" s="31" t="str">
        <f>M34</f>
        <v>13217A0C</v>
      </c>
      <c r="Y14" t="str">
        <f t="shared" si="0"/>
        <v>0x13217A0C,</v>
      </c>
      <c r="Z14" s="32" t="s">
        <v>166</v>
      </c>
    </row>
    <row r="15" spans="1:26">
      <c r="A15" s="2" t="s">
        <v>168</v>
      </c>
      <c r="B15" s="3">
        <v>23</v>
      </c>
      <c r="C15" s="3">
        <v>18</v>
      </c>
      <c r="D15" s="3">
        <v>55</v>
      </c>
      <c r="E15" s="4" t="s">
        <v>162</v>
      </c>
      <c r="F15" s="4" t="s">
        <v>217</v>
      </c>
      <c r="G15" s="4" t="s">
        <v>217</v>
      </c>
      <c r="H15" s="4" t="s">
        <v>217</v>
      </c>
      <c r="I15" s="4" t="s">
        <v>217</v>
      </c>
      <c r="J15" s="4" t="s">
        <v>217</v>
      </c>
      <c r="K15" s="4" t="s">
        <v>217</v>
      </c>
      <c r="L15" s="4" t="s">
        <v>217</v>
      </c>
      <c r="M15" s="4" t="s">
        <v>217</v>
      </c>
      <c r="N15" s="4" t="s">
        <v>217</v>
      </c>
      <c r="O15" s="4" t="s">
        <v>217</v>
      </c>
      <c r="P15" s="4" t="s">
        <v>217</v>
      </c>
      <c r="Q15" s="4" t="s">
        <v>217</v>
      </c>
      <c r="R15" s="4" t="s">
        <v>217</v>
      </c>
      <c r="S15" s="4" t="s">
        <v>217</v>
      </c>
      <c r="V15" s="30"/>
      <c r="W15" s="22">
        <v>40348064</v>
      </c>
      <c r="X15" s="31" t="str">
        <f>M33</f>
        <v>CBEF017C</v>
      </c>
      <c r="Y15" t="str">
        <f t="shared" si="0"/>
        <v>0xCBEF017C,</v>
      </c>
      <c r="Z15" s="32"/>
    </row>
    <row r="16" spans="1:26">
      <c r="A16" s="2" t="s">
        <v>170</v>
      </c>
      <c r="B16" s="3">
        <v>17</v>
      </c>
      <c r="C16" s="3">
        <v>12</v>
      </c>
      <c r="D16" s="3">
        <v>45</v>
      </c>
      <c r="E16" s="4" t="s">
        <v>229</v>
      </c>
      <c r="F16" s="4" t="s">
        <v>161</v>
      </c>
      <c r="G16" s="4" t="s">
        <v>161</v>
      </c>
      <c r="H16" s="4" t="s">
        <v>161</v>
      </c>
      <c r="I16" s="4" t="s">
        <v>161</v>
      </c>
      <c r="J16" s="4" t="s">
        <v>161</v>
      </c>
      <c r="K16" s="4" t="s">
        <v>161</v>
      </c>
      <c r="L16" s="4" t="s">
        <v>161</v>
      </c>
      <c r="M16" s="4" t="s">
        <v>161</v>
      </c>
      <c r="N16" s="4" t="s">
        <v>161</v>
      </c>
      <c r="O16" s="4" t="s">
        <v>161</v>
      </c>
      <c r="P16" s="4" t="s">
        <v>161</v>
      </c>
      <c r="Q16" s="4" t="s">
        <v>161</v>
      </c>
      <c r="R16" s="4" t="s">
        <v>161</v>
      </c>
      <c r="S16" s="4" t="s">
        <v>161</v>
      </c>
      <c r="V16" s="30">
        <v>7</v>
      </c>
      <c r="W16" s="22">
        <v>40348060</v>
      </c>
      <c r="X16" s="31" t="str">
        <f>L34</f>
        <v>13217A0C</v>
      </c>
      <c r="Y16" t="str">
        <f t="shared" si="0"/>
        <v>0x13217A0C,</v>
      </c>
      <c r="Z16" s="32" t="s">
        <v>169</v>
      </c>
    </row>
    <row r="17" spans="1:26">
      <c r="A17" s="2" t="s">
        <v>171</v>
      </c>
      <c r="B17" s="3">
        <v>11</v>
      </c>
      <c r="C17" s="3">
        <v>7</v>
      </c>
      <c r="D17" s="3">
        <v>20</v>
      </c>
      <c r="E17" s="4" t="s">
        <v>158</v>
      </c>
      <c r="F17" s="4">
        <v>20</v>
      </c>
      <c r="G17" s="4" t="s">
        <v>158</v>
      </c>
      <c r="H17" s="4">
        <v>20</v>
      </c>
      <c r="I17" s="4" t="s">
        <v>158</v>
      </c>
      <c r="J17" s="4">
        <v>20</v>
      </c>
      <c r="K17" s="4" t="s">
        <v>158</v>
      </c>
      <c r="L17" s="4">
        <v>20</v>
      </c>
      <c r="M17" s="4" t="s">
        <v>158</v>
      </c>
      <c r="N17" s="4">
        <v>20</v>
      </c>
      <c r="O17" s="4" t="s">
        <v>158</v>
      </c>
      <c r="P17" s="4">
        <v>20</v>
      </c>
      <c r="Q17" s="4" t="s">
        <v>158</v>
      </c>
      <c r="R17" s="4">
        <v>20</v>
      </c>
      <c r="S17" s="4" t="s">
        <v>158</v>
      </c>
      <c r="V17" s="30"/>
      <c r="W17" s="22">
        <v>40348064</v>
      </c>
      <c r="X17" s="31" t="str">
        <f>L33</f>
        <v>CBEF0258</v>
      </c>
      <c r="Y17" t="str">
        <f t="shared" si="0"/>
        <v>0xCBEF0258,</v>
      </c>
      <c r="Z17" s="32"/>
    </row>
    <row r="18" spans="1:26">
      <c r="A18" s="2" t="s">
        <v>173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3">
        <v>1</v>
      </c>
      <c r="I18" s="9" t="s">
        <v>86</v>
      </c>
      <c r="J18" s="9" t="s">
        <v>86</v>
      </c>
      <c r="K18" s="9" t="s">
        <v>86</v>
      </c>
      <c r="L18" s="3">
        <v>1</v>
      </c>
      <c r="M18" s="9" t="s">
        <v>86</v>
      </c>
      <c r="N18" s="9" t="s">
        <v>86</v>
      </c>
      <c r="O18" s="9" t="s">
        <v>86</v>
      </c>
      <c r="P18" s="3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13217A0C</v>
      </c>
      <c r="Y18" t="str">
        <f t="shared" si="0"/>
        <v>0x13217A0C,</v>
      </c>
      <c r="Z18" s="32" t="s">
        <v>172</v>
      </c>
    </row>
    <row r="19" spans="1:26">
      <c r="A19" s="2" t="s">
        <v>174</v>
      </c>
      <c r="B19" s="3">
        <v>2</v>
      </c>
      <c r="C19" s="3">
        <v>0</v>
      </c>
      <c r="D19" s="3">
        <v>6</v>
      </c>
      <c r="E19" s="4" t="s">
        <v>94</v>
      </c>
      <c r="F19" s="4" t="s">
        <v>94</v>
      </c>
      <c r="G19" s="4" t="s">
        <v>94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CBEF41CE</v>
      </c>
      <c r="Y19" t="str">
        <f t="shared" si="0"/>
        <v>0xCBEF41CE,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13217A0C</v>
      </c>
      <c r="Y20" t="str">
        <f t="shared" si="0"/>
        <v>0x13217A0C,</v>
      </c>
      <c r="Z20" s="32" t="s">
        <v>175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CBEF8270</v>
      </c>
      <c r="Y21" t="str">
        <f t="shared" si="0"/>
        <v>0xCBEF8270,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176</v>
      </c>
      <c r="W22" s="22">
        <v>40348060</v>
      </c>
      <c r="X22" s="31" t="str">
        <f>I34</f>
        <v>13217A0C</v>
      </c>
      <c r="Y22" t="str">
        <f t="shared" si="0"/>
        <v>0x13217A0C,</v>
      </c>
      <c r="Z22" s="32" t="s">
        <v>177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CBEF8230</v>
      </c>
      <c r="Y23" t="str">
        <f t="shared" si="0"/>
        <v>0xCBEF8230,</v>
      </c>
      <c r="Z23" s="32"/>
    </row>
    <row r="24" spans="1:26">
      <c r="A24" s="12" t="s">
        <v>178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179</v>
      </c>
      <c r="W24" s="22">
        <v>40348060</v>
      </c>
      <c r="X24" s="31" t="str">
        <f>H34</f>
        <v>13217A0C</v>
      </c>
      <c r="Y24" t="str">
        <f t="shared" si="0"/>
        <v>0x13217A0C,</v>
      </c>
      <c r="Z24" s="32" t="s">
        <v>180</v>
      </c>
    </row>
    <row r="25" spans="1:26">
      <c r="A25" s="12" t="s">
        <v>181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CBEF8470</v>
      </c>
      <c r="Y25" t="str">
        <f t="shared" si="0"/>
        <v>0xCBEF8470,</v>
      </c>
      <c r="Z25" s="32"/>
    </row>
    <row r="26" spans="1:26">
      <c r="A26" s="12" t="s">
        <v>182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183</v>
      </c>
      <c r="W26" s="22">
        <v>40348060</v>
      </c>
      <c r="X26" s="31" t="str">
        <f>G34</f>
        <v>13217A0C</v>
      </c>
      <c r="Y26" t="str">
        <f t="shared" si="0"/>
        <v>0x13217A0C,</v>
      </c>
      <c r="Z26" s="32" t="s">
        <v>184</v>
      </c>
    </row>
    <row r="27" spans="1:26">
      <c r="A27" s="15" t="s">
        <v>185</v>
      </c>
      <c r="V27" s="30"/>
      <c r="W27" s="22">
        <v>40348064</v>
      </c>
      <c r="X27" s="31" t="str">
        <f>G33</f>
        <v>CBEFC336</v>
      </c>
      <c r="Y27" t="str">
        <f t="shared" si="0"/>
        <v>0xCBEFC336,</v>
      </c>
      <c r="Z27" s="32"/>
    </row>
    <row r="28" spans="22:26">
      <c r="V28" s="30" t="s">
        <v>186</v>
      </c>
      <c r="W28" s="22">
        <v>40348060</v>
      </c>
      <c r="X28" s="31" t="str">
        <f>F34</f>
        <v>13217A0C</v>
      </c>
      <c r="Y28" t="str">
        <f t="shared" si="0"/>
        <v>0x13217A0C,</v>
      </c>
      <c r="Z28" s="32" t="s">
        <v>187</v>
      </c>
    </row>
    <row r="29" spans="22:26">
      <c r="V29" s="30"/>
      <c r="W29" s="22">
        <v>40348064</v>
      </c>
      <c r="X29" s="31" t="str">
        <f>F33</f>
        <v>CBEFC4F6</v>
      </c>
      <c r="Y29" t="str">
        <f t="shared" si="0"/>
        <v>0xCBEFC4F6,</v>
      </c>
      <c r="Z29" s="32"/>
    </row>
    <row r="30" spans="22:26">
      <c r="V30" s="30" t="s">
        <v>188</v>
      </c>
      <c r="W30" s="22">
        <v>40348060</v>
      </c>
      <c r="X30" s="31" t="str">
        <f>E34</f>
        <v>1B61FA0C</v>
      </c>
      <c r="Y30" t="str">
        <f t="shared" si="0"/>
        <v>0x1B61FA0C,</v>
      </c>
      <c r="Z30" s="32" t="s">
        <v>189</v>
      </c>
    </row>
    <row r="31" spans="1:26">
      <c r="A31" t="s">
        <v>190</v>
      </c>
      <c r="V31" s="30"/>
      <c r="W31" s="22">
        <v>40348064</v>
      </c>
      <c r="X31" s="31" t="str">
        <f>E33</f>
        <v>C1E1C7FF</v>
      </c>
      <c r="Y31" t="str">
        <f t="shared" si="0"/>
        <v>0xC1E1C7FF,</v>
      </c>
      <c r="Z31" s="32"/>
    </row>
    <row r="32" spans="1:26">
      <c r="A32" s="16" t="s">
        <v>191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192</v>
      </c>
      <c r="W32" s="22">
        <v>40348060</v>
      </c>
      <c r="X32" s="31" t="str">
        <f>D34</f>
        <v>5BDEDA0E</v>
      </c>
      <c r="Y32" t="str">
        <f t="shared" si="0"/>
        <v>0x5BDEDA0E,</v>
      </c>
      <c r="Z32" s="32" t="s">
        <v>193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C1E1C7FF</v>
      </c>
      <c r="E33" s="18" t="str">
        <f>DEC2HEX(POWER(2,$C12-32)*E12+POWER(2,$C11-32)*E11+POWER(2,$C10-32)*E10+POWER(2,$C9-32)*E9+POWER(2,$C8-32)*E8+POWER(2,$C7-32)*E7+POWER(2,$C6-32)*E6+POWER(2,$C5-32)*E5+POWER(2,$C4-32)*E4+POWER(2,$C3-32)*E3+POWER(2,$C2-32)*E2)</f>
        <v>C1E1C7FF</v>
      </c>
      <c r="F33" s="18" t="str">
        <f>DEC2HEX(POWER(2,$C12-32)*F12+POWER(2,$C11-32)*F11+POWER(2,$C10-32)*F10+POWER(2,$C9-32)*F9+POWER(2,$C8-32)*F8+POWER(2,$C7-32)*F7+POWER(2,$C6-32)*F6+POWER(2,$C5-32)*F5+POWER(2,$C4-32)*F4+POWER(2,$C3-32)*F3+POWER(2,$C2-32)*F2)</f>
        <v>CBEFC4F6</v>
      </c>
      <c r="G33" s="18" t="str">
        <f>DEC2HEX(POWER(2,$C12-32)*G12+POWER(2,$C11-32)*G11+POWER(2,$C10-32)*G10+POWER(2,$C9-32)*G9+POWER(2,$C8-32)*G8+POWER(2,$C7-32)*G7+POWER(2,$C6-32)*G6+POWER(2,$C5-32)*G5+POWER(2,$C4-32)*G4+POWER(2,$C3-32)*G3+POWER(2,$C2-32)*G2)</f>
        <v>CBEFC336</v>
      </c>
      <c r="H33" s="18" t="str">
        <f>DEC2HEX(POWER(2,$C12-32)*H12+POWER(2,$C11-32)*H11+POWER(2,$C10-32)*H10+POWER(2,$C9-32)*H9+POWER(2,$C8-32)*H8+POWER(2,$C7-32)*H7+POWER(2,$C6-32)*H6+POWER(2,$C5-32)*H5+POWER(2,$C4-32)*H4+POWER(2,$C3-32)*H3+POWER(2,$C2-32)*H2)</f>
        <v>CBEF8470</v>
      </c>
      <c r="I33" s="18" t="str">
        <f>DEC2HEX(POWER(2,$C12-32)*I12+POWER(2,$C11-32)*I11+POWER(2,$C10-32)*I10+POWER(2,$C9-32)*I9+POWER(2,$C8-32)*I8+POWER(2,$C7-32)*I7+POWER(2,$C6-32)*I6+POWER(2,$C5-32)*I5+POWER(2,$C4-32)*I4+POWER(2,$C3-32)*I3+POWER(2,$C2-32)*I2)</f>
        <v>CBEF8230</v>
      </c>
      <c r="J33" s="18" t="str">
        <f>DEC2HEX(POWER(2,$C12-32)*J12+POWER(2,$C11-32)*J11+POWER(2,$C10-32)*J10+POWER(2,$C9-32)*J9+POWER(2,$C8-32)*J8+POWER(2,$C7-32)*J7+POWER(2,$C6-32)*J6+POWER(2,$C5-32)*J5+POWER(2,$C4-32)*J4+POWER(2,$C3-32)*J3+POWER(2,$C2-32)*J2)</f>
        <v>CBEF8270</v>
      </c>
      <c r="K33" s="18" t="str">
        <f>DEC2HEX(POWER(2,$C12-32)*K12+POWER(2,$C11-32)*K11+POWER(2,$C10-32)*K10+POWER(2,$C9-32)*K9+POWER(2,$C8-32)*K8+POWER(2,$C7-32)*K7+POWER(2,$C6-32)*K6+POWER(2,$C5-32)*K5+POWER(2,$C4-32)*K4+POWER(2,$C3-32)*K3+POWER(2,$C2-32)*K2)</f>
        <v>CBEF41CE</v>
      </c>
      <c r="L33" s="18" t="str">
        <f>DEC2HEX(POWER(2,$C12-32)*L12+POWER(2,$C11-32)*L11+POWER(2,$C10-32)*L10+POWER(2,$C9-32)*L9+POWER(2,$C8-32)*L8+POWER(2,$C7-32)*L7+POWER(2,$C6-32)*L6+POWER(2,$C5-32)*L5+POWER(2,$C4-32)*L4+POWER(2,$C3-32)*L3+POWER(2,$C2-32)*L2)</f>
        <v>CBEF0258</v>
      </c>
      <c r="M33" s="18" t="str">
        <f>DEC2HEX(POWER(2,$C12-32)*M12+POWER(2,$C11-32)*M11+POWER(2,$C10-32)*M10+POWER(2,$C9-32)*M9+POWER(2,$C8-32)*M8+POWER(2,$C7-32)*M7+POWER(2,$C6-32)*M6+POWER(2,$C5-32)*M5+POWER(2,$C4-32)*M4+POWER(2,$C3-32)*M3+POWER(2,$C2-32)*M2)</f>
        <v>CBEF017C</v>
      </c>
      <c r="N33" s="18" t="str">
        <f>DEC2HEX(POWER(2,$C12-32)*N12+POWER(2,$C11-32)*N11+POWER(2,$C10-32)*N10+POWER(2,$C9-32)*N9+POWER(2,$C8-32)*N8+POWER(2,$C7-32)*N7+POWER(2,$C6-32)*N6+POWER(2,$C5-32)*N5+POWER(2,$C4-32)*N4+POWER(2,$C3-32)*N3+POWER(2,$C2-32)*N2)</f>
        <v>CBEEC152</v>
      </c>
      <c r="O33" s="18" t="str">
        <f>DEC2HEX(POWER(2,$C12-32)*O12+POWER(2,$C11-32)*O11+POWER(2,$C10-32)*O10+POWER(2,$C9-32)*O9+POWER(2,$C8-32)*O8+POWER(2,$C7-32)*O7+POWER(2,$C6-32)*O6+POWER(2,$C5-32)*O5+POWER(2,$C4-32)*O4+POWER(2,$C3-32)*O3+POWER(2,$C2-32)*O2)</f>
        <v>CBEE8190</v>
      </c>
      <c r="P33" s="18" t="str">
        <f>DEC2HEX(POWER(2,$C12-32)*P12+POWER(2,$C11-32)*P11+POWER(2,$C10-32)*P10+POWER(2,$C9-32)*P9+POWER(2,$C8-32)*P8+POWER(2,$C7-32)*P7+POWER(2,$C6-32)*P6+POWER(2,$C5-32)*P5+POWER(2,$C4-32)*P4+POWER(2,$C3-32)*P3+POWER(2,$C2-32)*P2)</f>
        <v>CBEE812F</v>
      </c>
      <c r="Q33" s="18" t="str">
        <f>DEC2HEX(POWER(2,$C12-32)*Q12+POWER(2,$C11-32)*Q11+POWER(2,$C10-32)*Q10+POWER(2,$C9-32)*Q9+POWER(2,$C8-32)*Q8+POWER(2,$C7-32)*Q7+POWER(2,$C6-32)*Q6+POWER(2,$C5-32)*Q5+POWER(2,$C4-32)*Q4+POWER(2,$C3-32)*Q3+POWER(2,$C2-32)*Q2)</f>
        <v>CBEE4216</v>
      </c>
      <c r="R33" s="18" t="str">
        <f>DEC2HEX(POWER(2,$C12-32)*R12+POWER(2,$C11-32)*R11+POWER(2,$C10-32)*R10+POWER(2,$C9-32)*R9+POWER(2,$C8-32)*R8+POWER(2,$C7-32)*R7+POWER(2,$C6-32)*R6+POWER(2,$C5-32)*R5+POWER(2,$C4-32)*R4+POWER(2,$C3-32)*R3+POWER(2,$C2-32)*R2)</f>
        <v>CBEE4196</v>
      </c>
      <c r="S33" s="18" t="str">
        <f>DEC2HEX(POWER(2,$C12-32)*S12+POWER(2,$C11-32)*S11+POWER(2,$C10-32)*S10+POWER(2,$C9-32)*S9+POWER(2,$C8-32)*S8+POWER(2,$C7-32)*S7+POWER(2,$C6-32)*S6+POWER(2,$C5-32)*S5+POWER(2,$C4-32)*S4+POWER(2,$C3-32)*S3+POWER(2,$C2-32)*S2)</f>
        <v>CBEE4136</v>
      </c>
      <c r="V33" s="29"/>
      <c r="W33" s="22">
        <v>40348064</v>
      </c>
      <c r="X33" s="31" t="str">
        <f>D33</f>
        <v>C1E1C7FF</v>
      </c>
      <c r="Y33" t="str">
        <f t="shared" si="0"/>
        <v>0xC1E1C7FF,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5BDEDA0E</v>
      </c>
      <c r="E34" s="18" t="str">
        <f>DEC2HEX(POWER(2,$C20)*E20+POWER(2,$C19)*E19+POWER(2,$C18)*E18+POWER(2,$C17)*E17+POWER(2,$C16)*E16+POWER(2,$C15)*E15+POWER(2,$C14)*E14+POWER(2,$C13)*E13)</f>
        <v>1B61FA0C</v>
      </c>
      <c r="F34" s="18" t="str">
        <f>DEC2HEX(POWER(2,$C20)*F20+POWER(2,$C19)*F19+POWER(2,$C18)*F18+POWER(2,$C17)*F17+POWER(2,$C16)*F16+POWER(2,$C15)*F15+POWER(2,$C14)*F14+POWER(2,$C13)*F13)</f>
        <v>13217A0C</v>
      </c>
      <c r="G34" s="18" t="str">
        <f>DEC2HEX(POWER(2,$C20)*G20+POWER(2,$C19)*G19+POWER(2,$C18)*G18+POWER(2,$C17)*G17+POWER(2,$C16)*G16+POWER(2,$C15)*G15+POWER(2,$C14)*G14+POWER(2,$C13)*G13)</f>
        <v>13217A0C</v>
      </c>
      <c r="H34" s="18" t="str">
        <f>DEC2HEX(POWER(2,$C20)*H20+POWER(2,$C19)*H19+POWER(2,$C18)*H18+POWER(2,$C17)*H17+POWER(2,$C16)*H16+POWER(2,$C15)*H15+POWER(2,$C14)*H14+POWER(2,$C13)*H13)</f>
        <v>13217A0C</v>
      </c>
      <c r="I34" s="18" t="str">
        <f>DEC2HEX(POWER(2,$C20)*I20+POWER(2,$C19)*I19+POWER(2,$C18)*I18+POWER(2,$C17)*I17+POWER(2,$C16)*I16+POWER(2,$C15)*I15+POWER(2,$C14)*I14+POWER(2,$C13)*I13)</f>
        <v>13217A0C</v>
      </c>
      <c r="J34" s="18" t="str">
        <f>DEC2HEX(POWER(2,$C20)*J20+POWER(2,$C19)*J19+POWER(2,$C18)*J18+POWER(2,$C17)*J17+POWER(2,$C16)*J16+POWER(2,$C15)*J15+POWER(2,$C14)*J14+POWER(2,$C13)*J13)</f>
        <v>13217A0C</v>
      </c>
      <c r="K34" s="18" t="str">
        <f>DEC2HEX(POWER(2,$C20)*K20+POWER(2,$C19)*K19+POWER(2,$C18)*K18+POWER(2,$C17)*K17+POWER(2,$C16)*K16+POWER(2,$C15)*K15+POWER(2,$C14)*K14+POWER(2,$C13)*K13)</f>
        <v>13217A0C</v>
      </c>
      <c r="L34" s="18" t="str">
        <f>DEC2HEX(POWER(2,$C20)*L20+POWER(2,$C19)*L19+POWER(2,$C18)*L18+POWER(2,$C17)*L17+POWER(2,$C16)*L16+POWER(2,$C15)*L15+POWER(2,$C14)*L14+POWER(2,$C13)*L13)</f>
        <v>13217A0C</v>
      </c>
      <c r="M34" s="18" t="str">
        <f>DEC2HEX(POWER(2,$C20)*M20+POWER(2,$C19)*M19+POWER(2,$C18)*M18+POWER(2,$C17)*M17+POWER(2,$C16)*M16+POWER(2,$C15)*M15+POWER(2,$C14)*M14+POWER(2,$C13)*M13)</f>
        <v>13217A0C</v>
      </c>
      <c r="N34" s="18" t="str">
        <f>DEC2HEX(POWER(2,$C20)*N20+POWER(2,$C19)*N19+POWER(2,$C18)*N18+POWER(2,$C17)*N17+POWER(2,$C16)*N16+POWER(2,$C15)*N15+POWER(2,$C14)*N14+POWER(2,$C13)*N13)</f>
        <v>13217A0C</v>
      </c>
      <c r="O34" s="18" t="str">
        <f>DEC2HEX(POWER(2,$C20)*O20+POWER(2,$C19)*O19+POWER(2,$C18)*O18+POWER(2,$C17)*O17+POWER(2,$C16)*O16+POWER(2,$C15)*O15+POWER(2,$C14)*O14+POWER(2,$C13)*O13)</f>
        <v>13217A0C</v>
      </c>
      <c r="P34" s="18" t="str">
        <f>DEC2HEX(POWER(2,$C20)*P20+POWER(2,$C19)*P19+POWER(2,$C18)*P18+POWER(2,$C17)*P17+POWER(2,$C16)*P16+POWER(2,$C15)*P15+POWER(2,$C14)*P14+POWER(2,$C13)*P13)</f>
        <v>13217A0C</v>
      </c>
      <c r="Q34" s="18" t="str">
        <f>DEC2HEX(POWER(2,$C20)*Q20+POWER(2,$C19)*Q19+POWER(2,$C18)*Q18+POWER(2,$C17)*Q17+POWER(2,$C16)*Q16+POWER(2,$C15)*Q15+POWER(2,$C14)*Q14+POWER(2,$C13)*Q13)</f>
        <v>13217A0C</v>
      </c>
      <c r="R34" s="18" t="str">
        <f>DEC2HEX(POWER(2,$C20)*R20+POWER(2,$C19)*R19+POWER(2,$C18)*R18+POWER(2,$C17)*R17+POWER(2,$C16)*R16+POWER(2,$C15)*R15+POWER(2,$C14)*R14+POWER(2,$C13)*R13)</f>
        <v>13217A0C</v>
      </c>
      <c r="S34" s="18" t="str">
        <f>DEC2HEX(POWER(2,$C20)*S20+POWER(2,$C19)*S19+POWER(2,$C18)*S18+POWER(2,$C17)*S17+POWER(2,$C16)*S16+POWER(2,$C15)*S15+POWER(2,$C14)*S14+POWER(2,$C13)*S13)</f>
        <v>13217A0C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ReleaseNote</vt:lpstr>
      <vt:lpstr>REG</vt:lpstr>
      <vt:lpstr>CH7_HR</vt:lpstr>
      <vt:lpstr>CH7_11B</vt:lpstr>
      <vt:lpstr>CH7_LR</vt:lpstr>
      <vt:lpstr>CH42_MR</vt:lpstr>
      <vt:lpstr>CH42_HR</vt:lpstr>
      <vt:lpstr>CH42_LR</vt:lpstr>
      <vt:lpstr>CH58_MR</vt:lpstr>
      <vt:lpstr>CH58_HR</vt:lpstr>
      <vt:lpstr>CH58_LR</vt:lpstr>
      <vt:lpstr>CH106_MR</vt:lpstr>
      <vt:lpstr>CH106_HR</vt:lpstr>
      <vt:lpstr>CH106_LR</vt:lpstr>
      <vt:lpstr>CH122_MR</vt:lpstr>
      <vt:lpstr>CH122_HR</vt:lpstr>
      <vt:lpstr>CH122_LR</vt:lpstr>
      <vt:lpstr>CH138_MR</vt:lpstr>
      <vt:lpstr>CH138_HR</vt:lpstr>
      <vt:lpstr>CH138_LR</vt:lpstr>
      <vt:lpstr>CH155_MR</vt:lpstr>
      <vt:lpstr>CH155_HR</vt:lpstr>
      <vt:lpstr>CH155_LR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2025-08-22T09:19:13Z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335192589C1346DC850B42401A4A5131</vt:lpwstr>
  </property>
  <property fmtid="{D5CDD505-2E9C-101B-9397-08002B2CF9AE}" pid="3" name="KSOProductBuildVer">
    <vt:lpwstr>2052-11.1.0.14309</vt:lpwstr>
  </property>
</Properties>
</file>