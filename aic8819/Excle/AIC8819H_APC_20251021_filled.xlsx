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 tabRatio="1000" activeTab="4"/>
  </bookViews>
  <sheets>
    <sheet name="ReleaseNote" sheetId="1" r:id="rId1"/>
    <sheet name="REG" sheetId="2" r:id="rId2"/>
    <sheet name="CH7_HR" sheetId="3" r:id="rId3"/>
    <sheet name="CH7_11B" sheetId="4" r:id="rId4"/>
    <sheet name="CH7_LR" sheetId="5" r:id="rId5"/>
    <sheet name="CH42_MR" sheetId="6" r:id="rId6"/>
    <sheet name="CH42_HR" sheetId="7" r:id="rId7"/>
    <sheet name="CH42_LR" sheetId="8" r:id="rId8"/>
    <sheet name="CH58_MR" sheetId="9" r:id="rId9"/>
    <sheet name="CH58_HR" sheetId="10" r:id="rId10"/>
    <sheet name="CH58_LR" sheetId="11" r:id="rId11"/>
    <sheet name="CH106_MR" sheetId="12" r:id="rId12"/>
    <sheet name="CH106_HR" sheetId="13" r:id="rId13"/>
    <sheet name="CH106_LR" sheetId="14" r:id="rId14"/>
    <sheet name="CH122_MR" sheetId="15" r:id="rId15"/>
    <sheet name="CH122_HR" sheetId="16" r:id="rId16"/>
    <sheet name="CH122_LR" sheetId="17" r:id="rId17"/>
    <sheet name="CH138_MR" sheetId="18" r:id="rId18"/>
    <sheet name="CH138_HR" sheetId="19" r:id="rId19"/>
    <sheet name="CH138_LR" sheetId="20" r:id="rId20"/>
    <sheet name="CH155_MR" sheetId="21" r:id="rId21"/>
    <sheet name="CH155_HR" sheetId="22" r:id="rId22"/>
    <sheet name="CH155_LR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<sst xmlns="http://schemas.openxmlformats.org/spreadsheetml/2006/main" count="3711" uniqueCount="227">
  <si>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</si>
  <si>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</si>
  <si>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</si>
  <si>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</si>
  <si>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</si>
  <si>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</si>
  <si>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</si>
  <si>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</si>
  <si>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</si>
  <si>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</si>
  <si>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</si>
  <si>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</si>
  <si>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</si>
  <si>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</si>
  <si>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</si>
  <si>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</si>
  <si>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</si>
  <si>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</si>
  <si>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</si>
  <si>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</si>
  <si>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</si>
  <si>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</si>
  <si>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</si>
  <si>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</si>
  <si>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</si>
  <si>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</si>
  <si>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</si>
  <si>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</si>
  <si>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</si>
  <si>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</si>
  <si>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</si>
  <si>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</si>
  <si>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</si>
  <si>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</si>
  <si>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</si>
  <si>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</si>
  <si>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</si>
  <si>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</si>
  <si>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</si>
  <si>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</si>
  <si>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</si>
  <si>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</si>
  <si>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</si>
  <si>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</si>
  <si>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</si>
  <si>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</si>
  <si>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</si>
  <si>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</si>
  <si>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</si>
  <si>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</si>
  <si>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</si>
  <si>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</si>
  <si>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</si>
  <si>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</si>
  <si>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</si>
  <si>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</si>
  <si>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</si>
  <si>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</si>
  <si>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</si>
  <si>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</si>
  <si>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</si>
  <si>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</si>
  <si>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</si>
  <si>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</si>
  <si>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</si>
  <si>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AIC8819H_APC_20250912.xlsx</t>
  </si>
  <si>
    <t>修改pa HB/LB dtmx bit 优化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</si>
  <si>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</si>
  <si>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</si>
  <si>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</si>
  <si>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</si>
  <si>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</si>
  <si>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</si>
  <si>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</si>
  <si>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</si>
  <si>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</si>
  <si>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</si>
  <si>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</si>
  <si>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</si>
  <si>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</si>
  <si>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</si>
  <si>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</si>
  <si>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</si>
  <si>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</si>
  <si>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</si>
  <si>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</si>
  <si>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</si>
  <si>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</si>
  <si>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</si>
  <si>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</si>
  <si>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</si>
  <si>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</si>
  <si>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</si>
  <si>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</si>
  <si>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</si>
  <si>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</si>
  <si>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</si>
  <si>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</si>
  <si>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</si>
  <si>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</si>
  <si>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</si>
  <si>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</si>
  <si>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</si>
  <si>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</si>
  <si>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</si>
  <si>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</si>
  <si>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</si>
  <si>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</si>
  <si>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</si>
  <si>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</si>
  <si>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</si>
  <si>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</si>
  <si>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</si>
  <si>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</si>
  <si>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</si>
  <si>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</si>
  <si>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</si>
  <si>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</si>
  <si>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</si>
  <si>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</si>
  <si>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</si>
  <si>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</si>
  <si>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</si>
  <si>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</si>
  <si>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</si>
  <si>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</si>
  <si>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</si>
  <si>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</si>
  <si>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</si>
  <si>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</si>
  <si>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</si>
  <si>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</si>
  <si>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</si>
  <si>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</si>
  <si>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</si>
  <si>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</si>
  <si>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</si>
  <si>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</si>
  <si>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</si>
  <si>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</si>
  <si>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</si>
  <si>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</si>
  <si>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wf_dtmx_cbit_lb</t>
  </si>
  <si>
    <t>40348078</t>
  </si>
  <si>
    <t>//index 0</t>
  </si>
  <si>
    <t>wf_pa_lb_vh_track_short_bit</t>
  </si>
  <si>
    <t>4034807c</t>
  </si>
  <si>
    <t>wf_pa_lb_vh_track_bit</t>
  </si>
  <si>
    <t>//index 1</t>
  </si>
  <si>
    <t>wf_pa_lb_input_cbit</t>
  </si>
  <si>
    <t>wf_pa_bt_gbit</t>
  </si>
  <si>
    <t>//index 2</t>
  </si>
  <si>
    <t>wf_pa_lb_gbit</t>
  </si>
  <si>
    <t>wf_pa_bt_vtap_sel33</t>
  </si>
  <si>
    <t>//index 3</t>
  </si>
  <si>
    <t>wf_dacIf_rnd_sw</t>
  </si>
  <si>
    <t>wf_dacIf_scale_step_6db</t>
  </si>
  <si>
    <t>//index 4</t>
  </si>
  <si>
    <t>wf_dtmx_dac_vl_it_bit</t>
  </si>
  <si>
    <t>36</t>
  </si>
  <si>
    <t>20</t>
  </si>
  <si>
    <t>12</t>
  </si>
  <si>
    <t>wf_dtmx_dac_vl_ib_bit</t>
  </si>
  <si>
    <t>23</t>
  </si>
  <si>
    <t>24</t>
  </si>
  <si>
    <t>//index 5</t>
  </si>
  <si>
    <t>wf_dtmx_vlo_vbit</t>
  </si>
  <si>
    <t>wf_dtmx_vh_vbit21</t>
  </si>
  <si>
    <t>//index 6</t>
  </si>
  <si>
    <t>wf_dtmx_dac_classAB_idx</t>
  </si>
  <si>
    <t>wf_pa_vl_ib_bit</t>
  </si>
  <si>
    <t>//index 7</t>
  </si>
  <si>
    <t>wf_pa_vl_it_bit</t>
  </si>
  <si>
    <t>wf_pa_vm_ref_vbit</t>
  </si>
  <si>
    <t>//index 8</t>
  </si>
  <si>
    <t>wf_pa_vm_vbit</t>
  </si>
  <si>
    <t>wf_pa_vh_vbit</t>
  </si>
  <si>
    <t>//index 9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</si>
  <si>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</si>
  <si>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</si>
  <si>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</si>
  <si>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</si>
  <si>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</si>
  <si>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</si>
  <si>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</si>
  <si>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</si>
  <si>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</si>
  <si>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</si>
  <si>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</si>
  <si>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</si>
  <si>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</si>
  <si>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</si>
  <si>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</si>
  <si>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</si>
  <si>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</si>
  <si>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</si>
  <si>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14</t>
  </si>
  <si>
    <t>10</t>
  </si>
  <si>
    <t>38</t>
  </si>
  <si>
    <t>30</t>
  </si>
  <si>
    <t>42</t>
  </si>
  <si>
    <t>43</t>
  </si>
  <si>
    <t>22</t>
  </si>
  <si>
    <t>27</t>
  </si>
  <si>
    <t>11</t>
  </si>
  <si>
    <t>5</t>
  </si>
  <si>
    <t>26</t>
  </si>
  <si>
    <t>wf_hb_apc_rsvd</t>
  </si>
  <si>
    <t>wf_dtmx_cbit_hb</t>
  </si>
  <si>
    <t>wf_pa_hb_vh_track_short_bit</t>
  </si>
  <si>
    <t>wf_pa_hb_vh_track_bit</t>
  </si>
  <si>
    <t>wf_pa_hb_input_cbit</t>
  </si>
  <si>
    <t>wf_pa_hb_gbit</t>
  </si>
  <si>
    <t>18</t>
  </si>
  <si>
    <t>25</t>
  </si>
  <si>
    <t>8</t>
  </si>
  <si>
    <t>40</t>
  </si>
  <si>
    <t>28</t>
  </si>
  <si>
    <t>19</t>
  </si>
  <si>
    <t>52</t>
  </si>
  <si>
    <t>16</t>
  </si>
  <si>
    <t>13</t>
  </si>
  <si>
    <t>44</t>
  </si>
  <si>
    <t>63</t>
  </si>
  <si>
    <t>31</t>
  </si>
  <si>
    <t>59</t>
  </si>
  <si>
    <t>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</si>
</sst>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5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30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0" xfId="22" applyFont="1" applyAlignment="1">
      <alignment vertical="center"/>
    </xf>
    <xf numFmtId="0" fontId="0" fillId="0" borderId="0" xfId="0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opLeftCell="B1" workbookViewId="0">
      <selection activeCell="C32" sqref="C32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28" t="s">
        <v>0</v>
      </c>
      <c r="B1" s="18" t="s">
        <v>1</v>
      </c>
      <c r="C1" s="18" t="s">
        <v>2</v>
      </c>
    </row>
    <row r="2" spans="1:3">
      <c r="A2" s="28">
        <v>20250714</v>
      </c>
      <c r="B2" s="18" t="s">
        <v>3</v>
      </c>
      <c r="C2" s="18" t="s">
        <v>4</v>
      </c>
    </row>
    <row r="3" spans="1:3">
      <c r="A3" s="28">
        <v>20250714</v>
      </c>
      <c r="B3" s="18" t="s">
        <v>5</v>
      </c>
      <c r="C3" s="18" t="s">
        <v>6</v>
      </c>
    </row>
    <row r="4" spans="1:3">
      <c r="A4" s="28">
        <v>20250718</v>
      </c>
      <c r="B4" s="18" t="s">
        <v>7</v>
      </c>
      <c r="C4" s="18" t="s">
        <v>8</v>
      </c>
    </row>
    <row r="5" spans="1:3">
      <c r="A5" s="28">
        <v>20250722</v>
      </c>
      <c r="B5" s="18" t="s">
        <v>9</v>
      </c>
      <c r="C5" s="18" t="s">
        <v>10</v>
      </c>
    </row>
    <row r="6" spans="1:3">
      <c r="A6" s="28" t="s">
        <v>11</v>
      </c>
      <c r="B6" s="18" t="s">
        <v>12</v>
      </c>
      <c r="C6" s="18" t="s">
        <v>13</v>
      </c>
    </row>
    <row r="7" spans="1:3">
      <c r="A7" s="28" t="s">
        <v>14</v>
      </c>
      <c r="B7" s="18" t="s">
        <v>15</v>
      </c>
      <c r="C7" s="18" t="s">
        <v>16</v>
      </c>
    </row>
    <row r="8" spans="1:3">
      <c r="A8" s="28" t="s">
        <v>17</v>
      </c>
      <c r="B8" s="18" t="s">
        <v>18</v>
      </c>
      <c r="C8" s="18" t="s">
        <v>19</v>
      </c>
    </row>
    <row r="9" spans="1:3">
      <c r="A9" s="28" t="s">
        <v>20</v>
      </c>
      <c r="B9" s="18" t="s">
        <v>21</v>
      </c>
      <c r="C9" s="18" t="s">
        <v>22</v>
      </c>
    </row>
    <row r="10" spans="1:3">
      <c r="A10" s="28" t="s">
        <v>20</v>
      </c>
      <c r="B10" s="18" t="s">
        <v>23</v>
      </c>
      <c r="C10" s="18" t="s">
        <v>24</v>
      </c>
    </row>
    <row r="11" ht="42.75" customHeight="1" spans="1:3">
      <c r="A11" s="18" t="s">
        <v>25</v>
      </c>
      <c r="B11" s="18" t="s">
        <v>26</v>
      </c>
      <c r="C11" s="27" t="s">
        <v>27</v>
      </c>
    </row>
    <row r="12" spans="1:3">
      <c r="A12" s="18" t="s">
        <v>28</v>
      </c>
      <c r="B12" s="18" t="s">
        <v>29</v>
      </c>
      <c r="C12" s="18" t="s">
        <v>30</v>
      </c>
    </row>
    <row r="13" spans="1:3">
      <c r="A13" s="18" t="s">
        <v>31</v>
      </c>
      <c r="B13" s="18" t="s">
        <v>32</v>
      </c>
      <c r="C13" s="18" t="s">
        <v>33</v>
      </c>
    </row>
    <row r="14" spans="1:3">
      <c r="A14" s="18" t="s">
        <v>34</v>
      </c>
      <c r="B14" s="18" t="s">
        <v>35</v>
      </c>
      <c r="C14" s="18" t="s">
        <v>36</v>
      </c>
    </row>
    <row r="15" spans="1:3">
      <c r="A15" s="18" t="s">
        <v>37</v>
      </c>
      <c r="B15" s="18" t="s">
        <v>38</v>
      </c>
      <c r="C15" s="18" t="s">
        <v>39</v>
      </c>
    </row>
    <row r="16" spans="1:3">
      <c r="A16" s="18" t="s">
        <v>40</v>
      </c>
      <c r="B16" s="18" t="s">
        <v>41</v>
      </c>
      <c r="C16" s="18" t="s">
        <v>42</v>
      </c>
    </row>
    <row r="17" spans="1:3">
      <c r="A17" s="18" t="s">
        <v>40</v>
      </c>
      <c r="B17" s="18" t="s">
        <v>43</v>
      </c>
      <c r="C17" s="18" t="s">
        <v>44</v>
      </c>
    </row>
    <row r="18" spans="1:3">
      <c r="A18" s="18" t="s">
        <v>45</v>
      </c>
      <c r="B18" s="18" t="s">
        <v>46</v>
      </c>
      <c r="C18" s="18" t="s">
        <v>47</v>
      </c>
    </row>
    <row r="19" spans="1:3">
      <c r="A19" s="29" t="s">
        <v>48</v>
      </c>
      <c r="B19" s="19" t="s">
        <v>49</v>
      </c>
      <c r="C19" s="19" t="s">
        <v>50</v>
      </c>
    </row>
    <row r="20" spans="1:3">
      <c r="A20" s="18"/>
      <c r="B20" s="19" t="s">
        <v>51</v>
      </c>
      <c r="C20" s="19" t="s">
        <v>52</v>
      </c>
    </row>
    <row r="21" spans="1:3">
      <c r="A21" s="18"/>
      <c r="B21" s="19" t="s">
        <v>53</v>
      </c>
      <c r="C21" s="19" t="s">
        <v>54</v>
      </c>
    </row>
    <row r="22" spans="1:3">
      <c r="A22" s="18"/>
      <c r="B22" s="19" t="s">
        <v>55</v>
      </c>
      <c r="C22" s="18" t="s">
        <v>56</v>
      </c>
    </row>
    <row r="23" spans="1:3">
      <c r="A23" s="18"/>
      <c r="B23" s="19" t="s">
        <v>57</v>
      </c>
      <c r="C23" s="18" t="s">
        <v>58</v>
      </c>
    </row>
    <row r="24" spans="1:3">
      <c r="A24" s="18"/>
      <c r="B24" s="19" t="s">
        <v>59</v>
      </c>
      <c r="C24" s="18" t="s">
        <v>60</v>
      </c>
    </row>
    <row r="25" spans="1:3">
      <c r="A25" s="18"/>
      <c r="B25" s="19" t="s">
        <v>61</v>
      </c>
      <c r="C25" s="18" t="s">
        <v>62</v>
      </c>
    </row>
    <row r="26" spans="1:3">
      <c r="A26" s="18"/>
      <c r="B26" s="19" t="s">
        <v>63</v>
      </c>
      <c r="C26" s="18" t="s">
        <v>64</v>
      </c>
    </row>
    <row r="27" spans="1:3">
      <c r="A27" s="18"/>
      <c r="B27" s="19" t="s">
        <v>65</v>
      </c>
      <c r="C27" s="18" t="s">
        <v>66</v>
      </c>
    </row>
    <row r="28" spans="1:3">
      <c r="A28" s="18"/>
      <c r="B28" s="18"/>
      <c r="C28" s="18"/>
    </row>
    <row r="29" spans="1:3">
      <c r="A29" s="18"/>
      <c r="B29" s="18"/>
      <c r="C29" s="18"/>
    </row>
    <row r="30" spans="1:3">
      <c r="A30" s="18"/>
      <c r="B30" s="18"/>
      <c r="C30" s="18"/>
    </row>
    <row r="31" spans="1:3">
      <c r="A31" s="18"/>
      <c r="B31" s="18"/>
      <c r="C31" s="18"/>
    </row>
    <row r="32" spans="1:3">
      <c r="A32" s="18"/>
      <c r="B32" s="18"/>
      <c r="C32" s="18"/>
    </row>
    <row r="33" spans="1:3">
      <c r="A33" s="18"/>
      <c r="B33" s="18"/>
      <c r="C33" s="18"/>
    </row>
    <row r="34" spans="1:3">
      <c r="A34" s="18"/>
      <c r="B34" s="18"/>
      <c r="C34" s="18"/>
    </row>
    <row r="35" spans="1:3">
      <c r="A35" s="18"/>
      <c r="B35" s="18"/>
      <c r="C35" s="18"/>
    </row>
    <row r="36" spans="1:3">
      <c r="A36" s="18"/>
      <c r="B36" s="18"/>
      <c r="C36" s="18"/>
    </row>
    <row r="37" spans="1:3">
      <c r="A37" s="18"/>
      <c r="B37" s="18"/>
      <c r="C37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opLeftCell="A26" workbookViewId="0">
      <selection activeCell="E64" sqref="E64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25">
        <v>20250714</v>
      </c>
    </row>
    <row r="2" spans="1:5">
      <c r="A2" s="18" t="s">
        <v>67</v>
      </c>
      <c r="B2" s="18" t="s">
        <v>68</v>
      </c>
      <c r="C2" s="18" t="s">
        <v>69</v>
      </c>
      <c r="D2" s="18" t="s">
        <v>70</v>
      </c>
      <c r="E2" s="18" t="s">
        <v>71</v>
      </c>
    </row>
    <row r="3" spans="1:5">
      <c r="A3" s="18" t="s">
        <v>72</v>
      </c>
      <c r="B3" s="18">
        <v>40344048</v>
      </c>
      <c r="C3" s="18" t="s">
        <v>73</v>
      </c>
      <c r="D3" s="18" t="s">
        <v>74</v>
      </c>
      <c r="E3" s="18"/>
    </row>
    <row r="4" spans="1:5">
      <c r="A4" s="18" t="s">
        <v>75</v>
      </c>
      <c r="B4" s="18" t="s">
        <v>76</v>
      </c>
      <c r="C4" s="18" t="s">
        <v>77</v>
      </c>
      <c r="D4" s="18" t="s">
        <v>78</v>
      </c>
      <c r="E4" s="18"/>
    </row>
    <row r="5" spans="1:5">
      <c r="A5" s="18" t="s">
        <v>79</v>
      </c>
      <c r="B5" s="18" t="s">
        <v>80</v>
      </c>
      <c r="C5" s="18" t="s">
        <v>81</v>
      </c>
      <c r="D5" s="18" t="s">
        <v>82</v>
      </c>
      <c r="E5" s="18" t="s">
        <v>83</v>
      </c>
    </row>
    <row r="6" spans="1:5">
      <c r="A6" s="18"/>
      <c r="B6" s="18"/>
      <c r="C6" s="18"/>
      <c r="D6" s="18"/>
      <c r="E6" s="18"/>
    </row>
    <row r="7" spans="1:5">
      <c r="A7" s="18" t="s">
        <v>84</v>
      </c>
      <c r="B7" s="18"/>
      <c r="C7" s="18"/>
      <c r="D7" s="18"/>
      <c r="E7" s="18"/>
    </row>
    <row r="8" spans="1:5">
      <c r="A8" s="18" t="s">
        <v>67</v>
      </c>
      <c r="B8" s="18" t="s">
        <v>68</v>
      </c>
      <c r="C8" s="18" t="s">
        <v>69</v>
      </c>
      <c r="D8" s="18" t="s">
        <v>70</v>
      </c>
      <c r="E8" s="18" t="s">
        <v>71</v>
      </c>
    </row>
    <row r="9" spans="1:6">
      <c r="A9" t="s">
        <v>85</v>
      </c>
      <c r="B9" s="18" t="s">
        <v>86</v>
      </c>
      <c r="C9" s="18" t="s">
        <v>87</v>
      </c>
      <c r="D9" s="18" t="s">
        <v>88</v>
      </c>
      <c r="E9" s="18"/>
      <c r="F9" t="s">
        <v>89</v>
      </c>
    </row>
    <row r="10" spans="1:5">
      <c r="A10" s="18"/>
      <c r="B10" s="18"/>
      <c r="C10" s="18"/>
      <c r="D10" s="18"/>
      <c r="E10" s="18"/>
    </row>
    <row r="11" spans="1:5">
      <c r="A11" s="18" t="s">
        <v>20</v>
      </c>
      <c r="B11" s="18"/>
      <c r="C11" s="18"/>
      <c r="D11" s="18"/>
      <c r="E11" s="18"/>
    </row>
    <row r="12" spans="1:5">
      <c r="A12" s="18" t="s">
        <v>67</v>
      </c>
      <c r="B12" s="18" t="s">
        <v>68</v>
      </c>
      <c r="C12" s="18" t="s">
        <v>69</v>
      </c>
      <c r="D12" s="18" t="s">
        <v>70</v>
      </c>
      <c r="E12" s="18" t="s">
        <v>71</v>
      </c>
    </row>
    <row r="13" spans="1:5">
      <c r="A13" s="18" t="s">
        <v>90</v>
      </c>
      <c r="B13" s="18" t="s">
        <v>91</v>
      </c>
      <c r="C13" s="18" t="s">
        <v>92</v>
      </c>
      <c r="D13" s="18" t="s">
        <v>74</v>
      </c>
      <c r="E13" s="18" t="s">
        <v>93</v>
      </c>
    </row>
    <row r="14" spans="1:5">
      <c r="A14" s="18" t="s">
        <v>94</v>
      </c>
      <c r="B14" s="18" t="s">
        <v>91</v>
      </c>
      <c r="C14" s="18" t="s">
        <v>95</v>
      </c>
      <c r="D14" s="18" t="s">
        <v>96</v>
      </c>
      <c r="E14" s="18" t="s">
        <v>93</v>
      </c>
    </row>
    <row r="15" spans="1:5">
      <c r="A15" s="18" t="s">
        <v>97</v>
      </c>
      <c r="B15" s="18" t="s">
        <v>91</v>
      </c>
      <c r="C15" s="18" t="s">
        <v>98</v>
      </c>
      <c r="D15" s="18" t="s">
        <v>88</v>
      </c>
      <c r="E15" s="18" t="s">
        <v>93</v>
      </c>
    </row>
    <row r="16" spans="1:5">
      <c r="A16" s="18" t="s">
        <v>99</v>
      </c>
      <c r="B16" s="18" t="s">
        <v>91</v>
      </c>
      <c r="C16" s="18" t="s">
        <v>100</v>
      </c>
      <c r="D16" s="18" t="s">
        <v>88</v>
      </c>
      <c r="E16" s="18" t="s">
        <v>93</v>
      </c>
    </row>
    <row r="17" spans="1:5">
      <c r="A17" s="18" t="s">
        <v>101</v>
      </c>
      <c r="B17" s="18" t="s">
        <v>91</v>
      </c>
      <c r="C17" s="18" t="s">
        <v>102</v>
      </c>
      <c r="D17" s="18" t="s">
        <v>82</v>
      </c>
      <c r="E17" s="18" t="s">
        <v>93</v>
      </c>
    </row>
    <row r="18" spans="1:5">
      <c r="A18" s="18" t="s">
        <v>103</v>
      </c>
      <c r="B18" s="18" t="s">
        <v>91</v>
      </c>
      <c r="C18" s="18" t="s">
        <v>104</v>
      </c>
      <c r="D18" s="18" t="s">
        <v>82</v>
      </c>
      <c r="E18" s="18" t="s">
        <v>93</v>
      </c>
    </row>
    <row r="19" spans="1:5">
      <c r="A19" t="s">
        <v>105</v>
      </c>
      <c r="B19" s="18" t="s">
        <v>106</v>
      </c>
      <c r="C19" s="18" t="s">
        <v>107</v>
      </c>
      <c r="D19" s="18" t="s">
        <v>108</v>
      </c>
      <c r="E19" s="18" t="s">
        <v>93</v>
      </c>
    </row>
    <row r="20" spans="1:5">
      <c r="A20" s="18" t="s">
        <v>109</v>
      </c>
      <c r="B20" s="18" t="s">
        <v>106</v>
      </c>
      <c r="C20" s="18" t="s">
        <v>110</v>
      </c>
      <c r="D20" s="18" t="s">
        <v>111</v>
      </c>
      <c r="E20" s="18" t="s">
        <v>93</v>
      </c>
    </row>
    <row r="21" spans="1:5">
      <c r="A21" s="18" t="s">
        <v>112</v>
      </c>
      <c r="B21" s="18" t="s">
        <v>113</v>
      </c>
      <c r="C21" s="18" t="s">
        <v>114</v>
      </c>
      <c r="D21" s="18" t="s">
        <v>88</v>
      </c>
      <c r="E21" s="18"/>
    </row>
    <row r="22" spans="1:5">
      <c r="A22" s="18"/>
      <c r="B22" s="18"/>
      <c r="C22" s="18"/>
      <c r="D22" s="18"/>
      <c r="E22" s="18"/>
    </row>
    <row r="23" spans="1:5">
      <c r="A23" s="18"/>
      <c r="B23" s="18"/>
      <c r="C23" s="18"/>
      <c r="D23" s="18"/>
      <c r="E23" s="18"/>
    </row>
    <row r="24" spans="1:5">
      <c r="A24" s="18" t="s">
        <v>25</v>
      </c>
      <c r="B24" s="18"/>
      <c r="C24" s="18"/>
      <c r="D24" s="18"/>
      <c r="E24" s="18"/>
    </row>
    <row r="25" spans="1:5">
      <c r="A25" s="18" t="s">
        <v>67</v>
      </c>
      <c r="B25" s="18" t="s">
        <v>68</v>
      </c>
      <c r="C25" s="18" t="s">
        <v>69</v>
      </c>
      <c r="D25" s="18" t="s">
        <v>70</v>
      </c>
      <c r="E25" s="18" t="s">
        <v>71</v>
      </c>
    </row>
    <row r="26" spans="1:5">
      <c r="A26" s="18" t="s">
        <v>115</v>
      </c>
      <c r="B26" s="18" t="s">
        <v>80</v>
      </c>
      <c r="C26" s="18" t="s">
        <v>116</v>
      </c>
      <c r="D26" s="18" t="s">
        <v>88</v>
      </c>
      <c r="E26" s="18" t="s">
        <v>117</v>
      </c>
    </row>
    <row r="27" spans="1:6">
      <c r="A27" s="18" t="s">
        <v>118</v>
      </c>
      <c r="B27" s="18" t="s">
        <v>80</v>
      </c>
      <c r="C27" s="18" t="s">
        <v>74</v>
      </c>
      <c r="D27" s="18" t="s">
        <v>88</v>
      </c>
      <c r="E27" s="18" t="s">
        <v>117</v>
      </c>
      <c r="F27" t="s">
        <v>119</v>
      </c>
    </row>
    <row r="28" spans="3:5">
      <c r="C28" s="18"/>
      <c r="D28" s="18"/>
      <c r="E28" s="18"/>
    </row>
    <row r="29" spans="1:5">
      <c r="A29" s="18"/>
      <c r="B29" s="18"/>
      <c r="C29" s="18"/>
      <c r="D29" s="18"/>
      <c r="E29" s="18"/>
    </row>
    <row r="30" spans="1:5">
      <c r="A30" s="18" t="s">
        <v>28</v>
      </c>
      <c r="B30" s="18"/>
      <c r="C30" s="18"/>
      <c r="D30" s="18"/>
      <c r="E30" s="18"/>
    </row>
    <row r="31" spans="1:5">
      <c r="A31" s="18" t="s">
        <v>67</v>
      </c>
      <c r="B31" s="18" t="s">
        <v>68</v>
      </c>
      <c r="C31" s="18" t="s">
        <v>69</v>
      </c>
      <c r="D31" s="18" t="s">
        <v>70</v>
      </c>
      <c r="E31" s="18" t="s">
        <v>71</v>
      </c>
    </row>
    <row r="32" spans="1:5">
      <c r="A32" s="18" t="s">
        <v>90</v>
      </c>
      <c r="B32" s="18" t="s">
        <v>91</v>
      </c>
      <c r="C32" s="18" t="s">
        <v>92</v>
      </c>
      <c r="D32" s="18" t="s">
        <v>120</v>
      </c>
      <c r="E32" s="18" t="s">
        <v>93</v>
      </c>
    </row>
    <row r="33" spans="1:5">
      <c r="A33" s="18" t="s">
        <v>94</v>
      </c>
      <c r="B33" s="18" t="s">
        <v>91</v>
      </c>
      <c r="C33" s="18" t="s">
        <v>95</v>
      </c>
      <c r="D33" s="18" t="s">
        <v>74</v>
      </c>
      <c r="E33" s="18" t="s">
        <v>93</v>
      </c>
    </row>
    <row r="34" spans="1:5">
      <c r="A34" s="18" t="s">
        <v>97</v>
      </c>
      <c r="B34" s="18" t="s">
        <v>91</v>
      </c>
      <c r="C34" s="18" t="s">
        <v>98</v>
      </c>
      <c r="D34" s="18" t="s">
        <v>82</v>
      </c>
      <c r="E34" s="18" t="s">
        <v>93</v>
      </c>
    </row>
    <row r="35" spans="1:5">
      <c r="A35" s="18" t="s">
        <v>99</v>
      </c>
      <c r="B35" s="18" t="s">
        <v>91</v>
      </c>
      <c r="C35" s="18" t="s">
        <v>100</v>
      </c>
      <c r="D35" s="18" t="s">
        <v>120</v>
      </c>
      <c r="E35" s="18" t="s">
        <v>93</v>
      </c>
    </row>
    <row r="36" spans="1:5">
      <c r="A36" s="18" t="s">
        <v>101</v>
      </c>
      <c r="B36" s="18" t="s">
        <v>91</v>
      </c>
      <c r="C36" s="18" t="s">
        <v>102</v>
      </c>
      <c r="D36" s="18" t="s">
        <v>74</v>
      </c>
      <c r="E36" s="18" t="s">
        <v>93</v>
      </c>
    </row>
    <row r="37" spans="1:5">
      <c r="A37" s="18" t="s">
        <v>103</v>
      </c>
      <c r="B37" s="18" t="s">
        <v>91</v>
      </c>
      <c r="C37" s="18" t="s">
        <v>104</v>
      </c>
      <c r="D37" s="18" t="s">
        <v>120</v>
      </c>
      <c r="E37" s="18" t="s">
        <v>93</v>
      </c>
    </row>
    <row r="38" spans="1:5">
      <c r="A38" s="18" t="s">
        <v>109</v>
      </c>
      <c r="B38" s="18" t="s">
        <v>106</v>
      </c>
      <c r="C38" s="18" t="s">
        <v>110</v>
      </c>
      <c r="D38" s="18" t="s">
        <v>111</v>
      </c>
      <c r="E38" s="18" t="s">
        <v>93</v>
      </c>
    </row>
    <row r="39" spans="1:5">
      <c r="A39" t="s">
        <v>105</v>
      </c>
      <c r="B39" s="18" t="s">
        <v>106</v>
      </c>
      <c r="C39" s="18" t="s">
        <v>107</v>
      </c>
      <c r="D39" s="18" t="s">
        <v>108</v>
      </c>
      <c r="E39" s="18" t="s">
        <v>93</v>
      </c>
    </row>
    <row r="40" spans="1:5">
      <c r="A40" s="18"/>
      <c r="B40" s="18"/>
      <c r="C40" s="18"/>
      <c r="D40" s="18"/>
      <c r="E40" s="18"/>
    </row>
    <row r="41" spans="1:5">
      <c r="A41" s="18"/>
      <c r="B41" s="18"/>
      <c r="C41" s="18"/>
      <c r="D41" s="18"/>
      <c r="E41" s="18"/>
    </row>
    <row r="42" spans="1:5">
      <c r="A42" s="18" t="s">
        <v>31</v>
      </c>
      <c r="B42" s="18"/>
      <c r="C42" s="18"/>
      <c r="D42" s="18"/>
      <c r="E42" s="18"/>
    </row>
    <row r="43" spans="1:5">
      <c r="A43" s="18" t="s">
        <v>67</v>
      </c>
      <c r="B43" s="18" t="s">
        <v>68</v>
      </c>
      <c r="C43" s="18" t="s">
        <v>69</v>
      </c>
      <c r="D43" s="18" t="s">
        <v>70</v>
      </c>
      <c r="E43" s="18" t="s">
        <v>71</v>
      </c>
    </row>
    <row r="44" spans="1:5">
      <c r="A44" s="18" t="s">
        <v>79</v>
      </c>
      <c r="B44" s="18">
        <v>40344030</v>
      </c>
      <c r="C44" s="18" t="s">
        <v>81</v>
      </c>
      <c r="D44" s="18" t="s">
        <v>88</v>
      </c>
      <c r="E44" s="18"/>
    </row>
    <row r="45" spans="1:5">
      <c r="A45" s="18" t="s">
        <v>121</v>
      </c>
      <c r="B45" s="18" t="s">
        <v>76</v>
      </c>
      <c r="C45" s="18" t="s">
        <v>122</v>
      </c>
      <c r="D45" s="18" t="s">
        <v>88</v>
      </c>
      <c r="E45" s="18"/>
    </row>
    <row r="46" spans="1:5">
      <c r="A46" s="18"/>
      <c r="B46" s="18"/>
      <c r="C46" s="18"/>
      <c r="D46" s="18"/>
      <c r="E46" s="18"/>
    </row>
    <row r="47" spans="1:5">
      <c r="A47" s="18"/>
      <c r="B47" s="18"/>
      <c r="C47" s="18"/>
      <c r="D47" s="18"/>
      <c r="E47" s="18"/>
    </row>
    <row r="48" spans="1:5">
      <c r="A48" s="18" t="s">
        <v>37</v>
      </c>
      <c r="B48" s="18"/>
      <c r="C48" s="18"/>
      <c r="D48" s="18"/>
      <c r="E48" s="18"/>
    </row>
    <row r="49" spans="1:5">
      <c r="A49" s="18" t="s">
        <v>67</v>
      </c>
      <c r="B49" s="18" t="s">
        <v>68</v>
      </c>
      <c r="C49" s="18" t="s">
        <v>69</v>
      </c>
      <c r="D49" s="18" t="s">
        <v>70</v>
      </c>
      <c r="E49" s="18" t="s">
        <v>71</v>
      </c>
    </row>
    <row r="50" spans="1:5">
      <c r="A50" s="18" t="s">
        <v>123</v>
      </c>
      <c r="B50" s="18" t="s">
        <v>124</v>
      </c>
      <c r="C50" s="18" t="s">
        <v>125</v>
      </c>
      <c r="D50" s="18" t="s">
        <v>74</v>
      </c>
      <c r="E50" s="18" t="s">
        <v>126</v>
      </c>
    </row>
    <row r="51" spans="1:5">
      <c r="A51" s="18" t="s">
        <v>127</v>
      </c>
      <c r="B51" s="18" t="s">
        <v>86</v>
      </c>
      <c r="C51" s="18" t="s">
        <v>128</v>
      </c>
      <c r="D51" s="18" t="s">
        <v>129</v>
      </c>
      <c r="E51" s="18" t="s">
        <v>126</v>
      </c>
    </row>
    <row r="52" spans="1:5">
      <c r="A52" s="18"/>
      <c r="B52" s="18"/>
      <c r="C52" s="18"/>
      <c r="D52" s="18"/>
      <c r="E52" s="18"/>
    </row>
    <row r="53" spans="1:5">
      <c r="A53" s="18" t="s">
        <v>130</v>
      </c>
      <c r="B53" s="18"/>
      <c r="C53" s="18"/>
      <c r="D53" s="18"/>
      <c r="E53" s="18"/>
    </row>
    <row r="54" spans="1:5">
      <c r="A54" s="18" t="s">
        <v>67</v>
      </c>
      <c r="B54" s="18" t="s">
        <v>68</v>
      </c>
      <c r="C54" s="18" t="s">
        <v>69</v>
      </c>
      <c r="D54" s="18" t="s">
        <v>70</v>
      </c>
      <c r="E54" s="18" t="s">
        <v>71</v>
      </c>
    </row>
    <row r="55" ht="69" customHeight="1" spans="1:5">
      <c r="A55" s="18" t="s">
        <v>75</v>
      </c>
      <c r="B55" s="18" t="s">
        <v>76</v>
      </c>
      <c r="C55" s="18" t="s">
        <v>77</v>
      </c>
      <c r="D55" s="27" t="s">
        <v>131</v>
      </c>
      <c r="E55" s="18" t="s">
        <v>117</v>
      </c>
    </row>
    <row r="56" spans="1:5">
      <c r="A56" s="18"/>
      <c r="B56" s="18"/>
      <c r="C56" s="18"/>
      <c r="D56" s="18"/>
      <c r="E56" s="18"/>
    </row>
    <row r="57" spans="1:5">
      <c r="A57" s="18"/>
      <c r="B57" s="18"/>
      <c r="C57" s="18"/>
      <c r="D57" s="18"/>
      <c r="E57" s="18"/>
    </row>
    <row r="58" spans="1:5">
      <c r="A58" s="18"/>
      <c r="B58" s="18"/>
      <c r="C58" s="18"/>
      <c r="D58" s="18"/>
      <c r="E58" s="18"/>
    </row>
    <row r="59" spans="1:5">
      <c r="A59" s="18"/>
      <c r="B59" s="18"/>
      <c r="C59" s="18"/>
      <c r="D59" s="18"/>
      <c r="E59" s="18"/>
    </row>
    <row r="60" spans="1:5">
      <c r="A60" s="18"/>
      <c r="B60" s="18"/>
      <c r="C60" s="18"/>
      <c r="D60" s="18"/>
      <c r="E60" s="18"/>
    </row>
    <row r="61" spans="1:5">
      <c r="A61" s="18"/>
      <c r="B61" s="18"/>
      <c r="C61" s="18"/>
      <c r="D61" s="18"/>
      <c r="E61" s="18"/>
    </row>
    <row r="62" spans="1:5">
      <c r="A62" s="18"/>
      <c r="B62" s="18"/>
      <c r="C62" s="18"/>
      <c r="D62" s="18"/>
      <c r="E62" s="18"/>
    </row>
    <row r="63" spans="1:5">
      <c r="A63" s="18"/>
      <c r="B63" s="18"/>
      <c r="C63" s="18"/>
      <c r="D63" s="18"/>
      <c r="E63" s="18"/>
    </row>
    <row r="64" spans="1:5">
      <c r="A64" s="18"/>
      <c r="B64" s="18"/>
      <c r="C64" s="18"/>
      <c r="D64" s="18"/>
      <c r="E64" s="18"/>
    </row>
    <row r="65" spans="1:5">
      <c r="A65" s="18"/>
      <c r="B65" s="18"/>
      <c r="C65" s="18"/>
      <c r="D65" s="18"/>
      <c r="E65" s="18"/>
    </row>
    <row r="66" spans="1:5">
      <c r="A66" s="18"/>
      <c r="B66" s="18"/>
      <c r="C66" s="18"/>
      <c r="D66" s="18"/>
      <c r="E66" s="18"/>
    </row>
    <row r="67" spans="1:5">
      <c r="A67" s="18"/>
      <c r="B67" s="18"/>
      <c r="C67" s="18"/>
      <c r="D67" s="18"/>
      <c r="E67" s="18"/>
    </row>
    <row r="68" spans="1:5">
      <c r="A68" s="18"/>
      <c r="B68" s="18"/>
      <c r="C68" s="18"/>
      <c r="D68" s="18"/>
      <c r="E68" s="18"/>
    </row>
    <row r="69" spans="1:5">
      <c r="A69" s="18"/>
      <c r="B69" s="18"/>
      <c r="C69" s="18"/>
      <c r="D69" s="18"/>
      <c r="E69" s="18"/>
    </row>
    <row r="70" spans="1:5">
      <c r="A70" s="18"/>
      <c r="B70" s="18"/>
      <c r="C70" s="18"/>
      <c r="D70" s="18"/>
      <c r="E70" s="18"/>
    </row>
    <row r="71" spans="1:5">
      <c r="A71" s="18"/>
      <c r="B71" s="18"/>
      <c r="C71" s="18"/>
      <c r="D71" s="18"/>
      <c r="E71" s="18"/>
    </row>
    <row r="72" spans="1:5">
      <c r="A72" s="18"/>
      <c r="B72" s="18"/>
      <c r="C72" s="18"/>
      <c r="D72" s="18"/>
      <c r="E72" s="18"/>
    </row>
    <row r="73" spans="1:5">
      <c r="A73" s="18"/>
      <c r="B73" s="18"/>
      <c r="C73" s="18"/>
      <c r="D73" s="18"/>
      <c r="E73" s="18"/>
    </row>
    <row r="74" spans="1:5">
      <c r="A74" s="18"/>
      <c r="B74" s="18"/>
      <c r="C74" s="18"/>
      <c r="D74" s="18"/>
      <c r="E74" s="18"/>
    </row>
    <row r="75" spans="1:5">
      <c r="A75" s="18"/>
      <c r="B75" s="18"/>
      <c r="C75" s="18"/>
      <c r="D75" s="18"/>
      <c r="E75" s="18"/>
    </row>
    <row r="76" spans="1:5">
      <c r="A76" s="18"/>
      <c r="B76" s="18"/>
      <c r="C76" s="18"/>
      <c r="D76" s="18"/>
      <c r="E76" s="18"/>
    </row>
    <row r="77" spans="1:5">
      <c r="A77" s="18"/>
      <c r="B77" s="18"/>
      <c r="C77" s="18"/>
      <c r="D77" s="18"/>
      <c r="E77" s="18"/>
    </row>
    <row r="78" spans="1:5">
      <c r="A78" s="18"/>
      <c r="B78" s="18"/>
      <c r="C78" s="18"/>
      <c r="D78" s="18"/>
      <c r="E78" s="18"/>
    </row>
    <row r="79" spans="1:5">
      <c r="A79" s="18"/>
      <c r="B79" s="18"/>
      <c r="C79" s="18"/>
      <c r="D79" s="18"/>
      <c r="E79" s="18"/>
    </row>
    <row r="80" spans="1:5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2" sqref="D2:E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4">
        <v>7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143</v>
      </c>
      <c r="X2" s="24" t="str">
        <f>S34</f>
        <v>5290F230</v>
      </c>
      <c r="Y2" t="str">
        <f t="shared" ref="Y2:Y33" si="0">"0x"&amp;RIGHT("00000000"&amp;X2,8)&amp;","</f>
        <v>0x5290F230,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146</v>
      </c>
      <c r="X3" s="24" t="str">
        <f>S33</f>
        <v>3BF64059</v>
      </c>
      <c r="Y3" t="str">
        <f t="shared" si="0"/>
        <v>0x3BF64059,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143</v>
      </c>
      <c r="X4" s="24" t="str">
        <f>R34</f>
        <v>5290F230</v>
      </c>
      <c r="Y4" t="str">
        <f t="shared" si="0"/>
        <v>0x5290F230,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146</v>
      </c>
      <c r="X5" s="24" t="str">
        <f>R33</f>
        <v>3BF64079</v>
      </c>
      <c r="Y5" t="str">
        <f t="shared" si="0"/>
        <v>0x3BF64079,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143</v>
      </c>
      <c r="X6" s="24" t="str">
        <f>Q34</f>
        <v>5290F230</v>
      </c>
      <c r="Y6" t="str">
        <f t="shared" si="0"/>
        <v>0x5290F230,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14</v>
      </c>
      <c r="M7" s="4">
        <v>14</v>
      </c>
      <c r="N7" s="4">
        <v>13</v>
      </c>
      <c r="O7" s="4">
        <v>13</v>
      </c>
      <c r="P7" s="4">
        <v>12</v>
      </c>
      <c r="Q7" s="4">
        <v>12</v>
      </c>
      <c r="R7" s="4">
        <v>12</v>
      </c>
      <c r="S7" s="4">
        <v>12</v>
      </c>
      <c r="V7" s="23"/>
      <c r="W7" s="17" t="s">
        <v>146</v>
      </c>
      <c r="X7" s="24" t="str">
        <f>Q33</f>
        <v>3BF64075</v>
      </c>
      <c r="Y7" t="str">
        <f t="shared" si="0"/>
        <v>0x3BF64075,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143</v>
      </c>
      <c r="X8" s="24" t="str">
        <f>P34</f>
        <v>5290F230</v>
      </c>
      <c r="Y8" t="str">
        <f t="shared" si="0"/>
        <v>0x5290F230,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146</v>
      </c>
      <c r="X9" s="24" t="str">
        <f>P33</f>
        <v>3BF64102</v>
      </c>
      <c r="Y9" t="str">
        <f t="shared" si="0"/>
        <v>0x3BF64102,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143</v>
      </c>
      <c r="X10" s="24" t="str">
        <f>O34</f>
        <v>5290F230</v>
      </c>
      <c r="Y10" t="str">
        <f t="shared" si="0"/>
        <v>0x5290F230,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 t="s">
        <v>159</v>
      </c>
      <c r="F11" s="5">
        <v>26</v>
      </c>
      <c r="G11" s="5" t="s">
        <v>160</v>
      </c>
      <c r="H11" s="5">
        <v>13</v>
      </c>
      <c r="I11" s="5" t="s">
        <v>161</v>
      </c>
      <c r="J11" s="5">
        <v>10</v>
      </c>
      <c r="K11" s="5" t="s">
        <v>108</v>
      </c>
      <c r="L11" s="5">
        <v>11</v>
      </c>
      <c r="M11" s="5" t="s">
        <v>108</v>
      </c>
      <c r="N11" s="5">
        <v>8</v>
      </c>
      <c r="O11" s="5" t="s">
        <v>96</v>
      </c>
      <c r="P11" s="5">
        <v>8</v>
      </c>
      <c r="Q11" s="5" t="s">
        <v>82</v>
      </c>
      <c r="R11" s="5">
        <v>3</v>
      </c>
      <c r="S11" s="5" t="s">
        <v>120</v>
      </c>
      <c r="V11" s="23"/>
      <c r="W11" s="17" t="s">
        <v>146</v>
      </c>
      <c r="X11" s="24" t="str">
        <f>O33</f>
        <v>3BF6C09C</v>
      </c>
      <c r="Y11" t="str">
        <f t="shared" si="0"/>
        <v>0x3BF6C09C,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30</v>
      </c>
      <c r="E12" s="5">
        <v>16</v>
      </c>
      <c r="F12" s="5">
        <v>22</v>
      </c>
      <c r="G12" s="5">
        <v>16</v>
      </c>
      <c r="H12" s="5">
        <v>14</v>
      </c>
      <c r="I12" s="5">
        <v>8</v>
      </c>
      <c r="J12" s="5">
        <v>29</v>
      </c>
      <c r="K12" s="5" t="s">
        <v>163</v>
      </c>
      <c r="L12" s="5">
        <v>14</v>
      </c>
      <c r="M12" s="5" t="s">
        <v>164</v>
      </c>
      <c r="N12" s="5">
        <v>25</v>
      </c>
      <c r="O12" s="5">
        <v>28</v>
      </c>
      <c r="P12" s="5">
        <v>2</v>
      </c>
      <c r="Q12" s="5">
        <v>21</v>
      </c>
      <c r="R12" s="5">
        <v>25</v>
      </c>
      <c r="S12" s="5">
        <v>25</v>
      </c>
      <c r="V12" s="23">
        <v>5</v>
      </c>
      <c r="W12" s="17" t="s">
        <v>143</v>
      </c>
      <c r="X12" s="24" t="str">
        <f>N34</f>
        <v>5290F230</v>
      </c>
      <c r="Y12" t="str">
        <f t="shared" si="0"/>
        <v>0x5290F230,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 t="s">
        <v>146</v>
      </c>
      <c r="X13" s="24" t="str">
        <f>N33</f>
        <v>3BF6C119</v>
      </c>
      <c r="Y13" t="str">
        <f t="shared" si="0"/>
        <v>0x3BF6C119,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143</v>
      </c>
      <c r="X14" s="24" t="str">
        <f>M34</f>
        <v>5290F230</v>
      </c>
      <c r="Y14" t="str">
        <f t="shared" si="0"/>
        <v>0x5290F230,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2</v>
      </c>
      <c r="E15" s="4">
        <v>0</v>
      </c>
      <c r="F15" s="4">
        <v>0</v>
      </c>
      <c r="G15" s="4">
        <v>0</v>
      </c>
      <c r="H15" s="3">
        <v>0</v>
      </c>
      <c r="I15" s="4">
        <v>2</v>
      </c>
      <c r="J15" s="4">
        <v>2</v>
      </c>
      <c r="K15" s="4">
        <v>2</v>
      </c>
      <c r="L15" s="3">
        <v>2</v>
      </c>
      <c r="M15" s="4">
        <v>2</v>
      </c>
      <c r="N15" s="4">
        <v>2</v>
      </c>
      <c r="O15" s="4">
        <v>2</v>
      </c>
      <c r="P15" s="3">
        <v>2</v>
      </c>
      <c r="Q15" s="4">
        <v>2</v>
      </c>
      <c r="R15" s="4">
        <v>2</v>
      </c>
      <c r="S15" s="4">
        <v>2</v>
      </c>
      <c r="V15" s="23"/>
      <c r="W15" s="17" t="s">
        <v>146</v>
      </c>
      <c r="X15" s="24" t="str">
        <f>M33</f>
        <v>3BF740D8</v>
      </c>
      <c r="Y15" t="str">
        <f t="shared" si="0"/>
        <v>0x3BF740D8,</v>
      </c>
      <c r="Z15" s="22"/>
    </row>
    <row r="16" spans="1:26">
      <c r="A16" s="3" t="s">
        <v>170</v>
      </c>
      <c r="B16" s="3">
        <v>23</v>
      </c>
      <c r="C16" s="3">
        <v>18</v>
      </c>
      <c r="D16" s="3">
        <v>59</v>
      </c>
      <c r="E16" s="4">
        <v>48</v>
      </c>
      <c r="F16" s="4">
        <v>48</v>
      </c>
      <c r="G16" s="4">
        <v>48</v>
      </c>
      <c r="H16" s="4">
        <v>48</v>
      </c>
      <c r="I16" s="4">
        <v>32</v>
      </c>
      <c r="J16" s="4">
        <v>20</v>
      </c>
      <c r="K16" s="4">
        <v>20</v>
      </c>
      <c r="L16" s="4">
        <v>36</v>
      </c>
      <c r="M16" s="4">
        <v>36</v>
      </c>
      <c r="N16" s="4">
        <v>36</v>
      </c>
      <c r="O16" s="4">
        <v>36</v>
      </c>
      <c r="P16" s="4">
        <v>36</v>
      </c>
      <c r="Q16" s="4">
        <v>36</v>
      </c>
      <c r="R16" s="4">
        <v>36</v>
      </c>
      <c r="S16" s="4">
        <v>36</v>
      </c>
      <c r="V16" s="23">
        <v>7</v>
      </c>
      <c r="W16" s="17" t="s">
        <v>143</v>
      </c>
      <c r="X16" s="24" t="str">
        <f>L34</f>
        <v>5290F230</v>
      </c>
      <c r="Y16" t="str">
        <f t="shared" si="0"/>
        <v>0x5290F230,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3">
        <v>51</v>
      </c>
      <c r="E17" s="4">
        <v>48</v>
      </c>
      <c r="F17" s="4">
        <v>48</v>
      </c>
      <c r="G17" s="4">
        <v>48</v>
      </c>
      <c r="H17" s="4">
        <v>48</v>
      </c>
      <c r="I17" s="4">
        <v>20</v>
      </c>
      <c r="J17" s="4">
        <v>32</v>
      </c>
      <c r="K17" s="4">
        <v>32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V17" s="23"/>
      <c r="W17" s="17" t="s">
        <v>146</v>
      </c>
      <c r="X17" s="24" t="str">
        <f>L33</f>
        <v>3BF7416E</v>
      </c>
      <c r="Y17" t="str">
        <f t="shared" si="0"/>
        <v>0x3BF7416E,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4</v>
      </c>
      <c r="E18" s="4">
        <v>20</v>
      </c>
      <c r="F18" s="4">
        <v>20</v>
      </c>
      <c r="G18" s="4">
        <v>20</v>
      </c>
      <c r="H18" s="3">
        <v>20</v>
      </c>
      <c r="I18" s="4">
        <v>4</v>
      </c>
      <c r="J18" s="4">
        <v>4</v>
      </c>
      <c r="K18" s="4">
        <v>4</v>
      </c>
      <c r="L18" s="3">
        <v>4</v>
      </c>
      <c r="M18" s="4">
        <v>4</v>
      </c>
      <c r="N18" s="4">
        <v>4</v>
      </c>
      <c r="O18" s="4">
        <v>4</v>
      </c>
      <c r="P18" s="3">
        <v>4</v>
      </c>
      <c r="Q18" s="4">
        <v>4</v>
      </c>
      <c r="R18" s="4">
        <v>4</v>
      </c>
      <c r="S18" s="4">
        <v>4</v>
      </c>
      <c r="V18" s="23">
        <v>8</v>
      </c>
      <c r="W18" s="17" t="s">
        <v>143</v>
      </c>
      <c r="X18" s="24" t="str">
        <f>K34</f>
        <v>52520230</v>
      </c>
      <c r="Y18" t="str">
        <f t="shared" si="0"/>
        <v>0x52520230,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6</v>
      </c>
      <c r="E19" s="4">
        <v>6</v>
      </c>
      <c r="F19" s="4">
        <v>6</v>
      </c>
      <c r="G19" s="4">
        <v>6</v>
      </c>
      <c r="H19" s="3">
        <v>6</v>
      </c>
      <c r="I19" s="4">
        <v>6</v>
      </c>
      <c r="J19" s="4">
        <v>6</v>
      </c>
      <c r="K19" s="4">
        <v>6</v>
      </c>
      <c r="L19" s="3">
        <v>6</v>
      </c>
      <c r="M19" s="4">
        <v>6</v>
      </c>
      <c r="N19" s="4">
        <v>6</v>
      </c>
      <c r="O19" s="4">
        <v>6</v>
      </c>
      <c r="P19" s="3">
        <v>6</v>
      </c>
      <c r="Q19" s="4">
        <v>6</v>
      </c>
      <c r="R19" s="4">
        <v>6</v>
      </c>
      <c r="S19" s="4">
        <v>6</v>
      </c>
      <c r="V19" s="23"/>
      <c r="W19" s="17" t="s">
        <v>146</v>
      </c>
      <c r="X19" s="24" t="str">
        <f>K33</f>
        <v>3FFFC0D7</v>
      </c>
      <c r="Y19" t="str">
        <f t="shared" si="0"/>
        <v>0x3FFFC0D7,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0</v>
      </c>
      <c r="E20" s="4">
        <v>6</v>
      </c>
      <c r="F20" s="4">
        <v>6</v>
      </c>
      <c r="G20" s="4">
        <v>6</v>
      </c>
      <c r="H20" s="3">
        <v>6</v>
      </c>
      <c r="I20" s="4">
        <v>0</v>
      </c>
      <c r="J20" s="4">
        <v>0</v>
      </c>
      <c r="K20" s="4">
        <v>0</v>
      </c>
      <c r="L20" s="3">
        <v>0</v>
      </c>
      <c r="M20" s="4">
        <v>0</v>
      </c>
      <c r="N20" s="4">
        <v>0</v>
      </c>
      <c r="O20" s="4">
        <v>0</v>
      </c>
      <c r="P20" s="3">
        <v>0</v>
      </c>
      <c r="Q20" s="4">
        <v>0</v>
      </c>
      <c r="R20" s="4">
        <v>0</v>
      </c>
      <c r="S20" s="4">
        <v>0</v>
      </c>
      <c r="V20" s="23">
        <v>9</v>
      </c>
      <c r="W20" s="17" t="s">
        <v>143</v>
      </c>
      <c r="X20" s="24" t="str">
        <f>J34</f>
        <v>52520230</v>
      </c>
      <c r="Y20" t="str">
        <f t="shared" si="0"/>
        <v>0x52520230,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3FFFC15D</v>
      </c>
      <c r="Y21" t="str">
        <f t="shared" si="0"/>
        <v>0x3FFFC15D,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52814230</v>
      </c>
      <c r="Y22" t="str">
        <f t="shared" si="0"/>
        <v>0x52814230,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3BFFC188</v>
      </c>
      <c r="Y23" t="str">
        <f t="shared" si="0"/>
        <v>0x3BFFC188,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50C30A36</v>
      </c>
      <c r="Y24" t="str">
        <f t="shared" si="0"/>
        <v>0x50C30A36,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3BFFC1AE</v>
      </c>
      <c r="Y25" t="str">
        <f t="shared" si="0"/>
        <v>0x3BFFC1AE,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50C30A36</v>
      </c>
      <c r="Y26" t="str">
        <f t="shared" si="0"/>
        <v>0x50C30A36,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3BFFC290</v>
      </c>
      <c r="Y27" t="str">
        <f t="shared" si="0"/>
        <v>0x3BFFC290,</v>
      </c>
      <c r="Z27" s="22"/>
    </row>
    <row r="28" spans="22:26">
      <c r="V28" s="23" t="s">
        <v>188</v>
      </c>
      <c r="W28" s="17" t="s">
        <v>143</v>
      </c>
      <c r="X28" s="24" t="str">
        <f>F34</f>
        <v>50C30A36</v>
      </c>
      <c r="Y28" t="str">
        <f t="shared" si="0"/>
        <v>0x50C30A36,</v>
      </c>
      <c r="Z28" s="22" t="s">
        <v>189</v>
      </c>
    </row>
    <row r="29" spans="22:26">
      <c r="V29" s="23"/>
      <c r="W29" s="17" t="s">
        <v>146</v>
      </c>
      <c r="X29" s="24" t="str">
        <f>F33</f>
        <v>3BFFC356</v>
      </c>
      <c r="Y29" t="str">
        <f t="shared" si="0"/>
        <v>0x3BFFC356,</v>
      </c>
      <c r="Z29" s="22"/>
    </row>
    <row r="30" spans="22:26">
      <c r="V30" s="23" t="s">
        <v>190</v>
      </c>
      <c r="W30" s="17" t="s">
        <v>143</v>
      </c>
      <c r="X30" s="24" t="str">
        <f>E34</f>
        <v>50C30A36</v>
      </c>
      <c r="Y30" t="str">
        <f t="shared" si="0"/>
        <v>0x50C30A36,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3BFFC490</v>
      </c>
      <c r="Y31" t="str">
        <f t="shared" si="0"/>
        <v>0x3BFFC490,</v>
      </c>
      <c r="Z31" s="22"/>
    </row>
    <row r="32" spans="1:26">
      <c r="A32" s="11" t="s">
        <v>193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194</v>
      </c>
      <c r="W32" s="17" t="s">
        <v>143</v>
      </c>
      <c r="X32" s="24" t="str">
        <f>D34</f>
        <v>52EF3230</v>
      </c>
      <c r="Y32" t="str">
        <f t="shared" si="0"/>
        <v>0x52EF3230,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3B8FC7FE</v>
      </c>
      <c r="E33" s="13" t="str">
        <f t="shared" si="1"/>
        <v>3BFFC490</v>
      </c>
      <c r="F33" s="13" t="str">
        <f t="shared" si="1"/>
        <v>3BFFC356</v>
      </c>
      <c r="G33" s="13" t="str">
        <f t="shared" si="1"/>
        <v>3BFFC290</v>
      </c>
      <c r="H33" s="13" t="str">
        <f t="shared" si="1"/>
        <v>3BFFC1AE</v>
      </c>
      <c r="I33" s="13" t="str">
        <f t="shared" si="1"/>
        <v>3BFFC188</v>
      </c>
      <c r="J33" s="13" t="str">
        <f t="shared" si="1"/>
        <v>3FFFC15D</v>
      </c>
      <c r="K33" s="13" t="str">
        <f t="shared" si="1"/>
        <v>3FFFC0D7</v>
      </c>
      <c r="L33" s="13" t="str">
        <f t="shared" si="1"/>
        <v>3BF7416E</v>
      </c>
      <c r="M33" s="13" t="str">
        <f t="shared" si="1"/>
        <v>3BF740D8</v>
      </c>
      <c r="N33" s="13" t="str">
        <f t="shared" si="1"/>
        <v>3BF6C119</v>
      </c>
      <c r="O33" s="13" t="str">
        <f t="shared" si="1"/>
        <v>3BF6C09C</v>
      </c>
      <c r="P33" s="13" t="str">
        <f t="shared" si="1"/>
        <v>3BF64102</v>
      </c>
      <c r="Q33" s="13" t="str">
        <f t="shared" si="1"/>
        <v>3BF64075</v>
      </c>
      <c r="R33" s="13" t="str">
        <f t="shared" si="1"/>
        <v>3BF64079</v>
      </c>
      <c r="S33" s="13" t="str">
        <f t="shared" si="1"/>
        <v>3BF64059</v>
      </c>
      <c r="V33" s="22"/>
      <c r="W33" s="17" t="s">
        <v>146</v>
      </c>
      <c r="X33" s="24" t="str">
        <f>D33</f>
        <v>3B8FC7FE</v>
      </c>
      <c r="Y33" t="str">
        <f t="shared" si="0"/>
        <v>0x3B8FC7FE,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52EF3230</v>
      </c>
      <c r="E34" s="13" t="str">
        <f t="shared" si="2"/>
        <v>50C30A36</v>
      </c>
      <c r="F34" s="13" t="str">
        <f t="shared" si="2"/>
        <v>50C30A36</v>
      </c>
      <c r="G34" s="13" t="str">
        <f t="shared" si="2"/>
        <v>50C30A36</v>
      </c>
      <c r="H34" s="13" t="str">
        <f t="shared" si="2"/>
        <v>50C30A36</v>
      </c>
      <c r="I34" s="13" t="str">
        <f t="shared" si="2"/>
        <v>52814230</v>
      </c>
      <c r="J34" s="13" t="str">
        <f t="shared" si="2"/>
        <v>52520230</v>
      </c>
      <c r="K34" s="13" t="str">
        <f t="shared" si="2"/>
        <v>52520230</v>
      </c>
      <c r="L34" s="13" t="str">
        <f t="shared" si="2"/>
        <v>5290F230</v>
      </c>
      <c r="M34" s="13" t="str">
        <f t="shared" si="2"/>
        <v>5290F230</v>
      </c>
      <c r="N34" s="13" t="str">
        <f t="shared" si="2"/>
        <v>5290F230</v>
      </c>
      <c r="O34" s="13" t="str">
        <f t="shared" si="2"/>
        <v>5290F230</v>
      </c>
      <c r="P34" s="13" t="str">
        <f t="shared" si="2"/>
        <v>5290F230</v>
      </c>
      <c r="Q34" s="13" t="str">
        <f t="shared" si="2"/>
        <v>5290F230</v>
      </c>
      <c r="R34" s="13" t="str">
        <f t="shared" si="2"/>
        <v>5290F230</v>
      </c>
      <c r="S34" s="13" t="str">
        <f t="shared" si="2"/>
        <v>5290F230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T13" sqref="T1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3">
        <v>11</v>
      </c>
      <c r="E2" s="4">
        <v>11</v>
      </c>
      <c r="F2" s="4">
        <v>11</v>
      </c>
      <c r="G2" s="4">
        <v>11</v>
      </c>
      <c r="H2" s="4">
        <v>11</v>
      </c>
      <c r="I2" s="4">
        <v>11</v>
      </c>
      <c r="J2" s="4">
        <v>11</v>
      </c>
      <c r="K2" s="4">
        <v>11</v>
      </c>
      <c r="L2" s="4">
        <v>11</v>
      </c>
      <c r="M2" s="4">
        <v>11</v>
      </c>
      <c r="N2" s="4">
        <v>11</v>
      </c>
      <c r="O2" s="4">
        <v>11</v>
      </c>
      <c r="P2" s="4">
        <v>11</v>
      </c>
      <c r="Q2" s="4">
        <v>11</v>
      </c>
      <c r="R2" s="4">
        <v>11</v>
      </c>
      <c r="S2" s="4">
        <v>11</v>
      </c>
      <c r="V2" s="23">
        <v>0</v>
      </c>
      <c r="W2" s="17" t="s">
        <v>143</v>
      </c>
      <c r="X2" s="24" t="str">
        <f>S34</f>
        <v>5190B3AF</v>
      </c>
      <c r="Y2" t="str">
        <f t="shared" ref="Y2:Y33" si="0">"0x"&amp;RIGHT("00000000"&amp;X2,8)&amp;","</f>
        <v>0x5190B3AF,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1</v>
      </c>
      <c r="E3" s="4">
        <v>1</v>
      </c>
      <c r="F3" s="4">
        <v>1</v>
      </c>
      <c r="G3" s="4" t="s">
        <v>88</v>
      </c>
      <c r="H3" s="4">
        <v>1</v>
      </c>
      <c r="I3" s="4" t="s">
        <v>88</v>
      </c>
      <c r="J3" s="4">
        <v>1</v>
      </c>
      <c r="K3" s="4" t="s">
        <v>88</v>
      </c>
      <c r="L3" s="4">
        <v>1</v>
      </c>
      <c r="M3" s="4" t="s">
        <v>88</v>
      </c>
      <c r="N3" s="4" t="s">
        <v>88</v>
      </c>
      <c r="O3" s="4">
        <v>1</v>
      </c>
      <c r="P3" s="4" t="s">
        <v>88</v>
      </c>
      <c r="Q3" s="4">
        <v>1</v>
      </c>
      <c r="R3" s="4" t="s">
        <v>88</v>
      </c>
      <c r="S3" s="4">
        <v>1</v>
      </c>
      <c r="V3" s="23"/>
      <c r="W3" s="17" t="s">
        <v>146</v>
      </c>
      <c r="X3" s="24" t="str">
        <f>S33</f>
        <v>5FF4C05C</v>
      </c>
      <c r="Y3" t="str">
        <f t="shared" si="0"/>
        <v>0x5FF4C05C,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 t="s">
        <v>129</v>
      </c>
      <c r="H4" s="4">
        <v>7</v>
      </c>
      <c r="I4" s="4" t="s">
        <v>129</v>
      </c>
      <c r="J4" s="4">
        <v>7</v>
      </c>
      <c r="K4" s="4" t="s">
        <v>129</v>
      </c>
      <c r="L4" s="4">
        <v>7</v>
      </c>
      <c r="M4" s="4" t="s">
        <v>129</v>
      </c>
      <c r="N4" s="4" t="s">
        <v>129</v>
      </c>
      <c r="O4" s="4">
        <v>7</v>
      </c>
      <c r="P4" s="4" t="s">
        <v>129</v>
      </c>
      <c r="Q4" s="4">
        <v>7</v>
      </c>
      <c r="R4" s="4" t="s">
        <v>129</v>
      </c>
      <c r="S4" s="4">
        <v>7</v>
      </c>
      <c r="V4" s="23">
        <v>1</v>
      </c>
      <c r="W4" s="17" t="s">
        <v>143</v>
      </c>
      <c r="X4" s="24" t="str">
        <f>R34</f>
        <v>5190B3AF</v>
      </c>
      <c r="Y4" t="str">
        <f t="shared" si="0"/>
        <v>0x5190B3AF,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7</v>
      </c>
      <c r="E5" s="4">
        <v>7</v>
      </c>
      <c r="F5" s="4">
        <v>7</v>
      </c>
      <c r="G5" s="4" t="s">
        <v>129</v>
      </c>
      <c r="H5" s="4">
        <v>7</v>
      </c>
      <c r="I5" s="4" t="s">
        <v>129</v>
      </c>
      <c r="J5" s="4">
        <v>7</v>
      </c>
      <c r="K5" s="4" t="s">
        <v>129</v>
      </c>
      <c r="L5" s="4">
        <v>7</v>
      </c>
      <c r="M5" s="4" t="s">
        <v>129</v>
      </c>
      <c r="N5" s="4" t="s">
        <v>129</v>
      </c>
      <c r="O5" s="4">
        <v>7</v>
      </c>
      <c r="P5" s="4" t="s">
        <v>129</v>
      </c>
      <c r="Q5" s="4">
        <v>7</v>
      </c>
      <c r="R5" s="4" t="s">
        <v>129</v>
      </c>
      <c r="S5" s="4">
        <v>7</v>
      </c>
      <c r="V5" s="23"/>
      <c r="W5" s="17" t="s">
        <v>146</v>
      </c>
      <c r="X5" s="24" t="str">
        <f>R33</f>
        <v>5FF4C07D</v>
      </c>
      <c r="Y5" t="str">
        <f t="shared" si="0"/>
        <v>0x5FF4C07D,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 t="s">
        <v>88</v>
      </c>
      <c r="H6" s="4">
        <v>0</v>
      </c>
      <c r="I6" s="4" t="s">
        <v>74</v>
      </c>
      <c r="J6" s="4">
        <v>0</v>
      </c>
      <c r="K6" s="4" t="s">
        <v>74</v>
      </c>
      <c r="L6" s="4">
        <v>0</v>
      </c>
      <c r="M6" s="4" t="s">
        <v>74</v>
      </c>
      <c r="N6" s="4" t="s">
        <v>74</v>
      </c>
      <c r="O6" s="4">
        <v>0</v>
      </c>
      <c r="P6" s="4" t="s">
        <v>74</v>
      </c>
      <c r="Q6" s="4">
        <v>0</v>
      </c>
      <c r="R6" s="4" t="s">
        <v>74</v>
      </c>
      <c r="S6" s="4">
        <v>0</v>
      </c>
      <c r="V6" s="23">
        <v>2</v>
      </c>
      <c r="W6" s="17" t="s">
        <v>143</v>
      </c>
      <c r="X6" s="24" t="str">
        <f>Q34</f>
        <v>5191B3AF</v>
      </c>
      <c r="Y6" t="str">
        <f t="shared" si="0"/>
        <v>0x5191B3AF,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 t="s">
        <v>78</v>
      </c>
      <c r="H7" s="4">
        <v>15</v>
      </c>
      <c r="I7" s="4" t="s">
        <v>196</v>
      </c>
      <c r="J7" s="4">
        <v>14</v>
      </c>
      <c r="K7" s="4" t="s">
        <v>161</v>
      </c>
      <c r="L7" s="4">
        <v>12</v>
      </c>
      <c r="M7" s="4" t="s">
        <v>197</v>
      </c>
      <c r="N7" s="4" t="s">
        <v>197</v>
      </c>
      <c r="O7" s="4">
        <v>10</v>
      </c>
      <c r="P7" s="4" t="s">
        <v>111</v>
      </c>
      <c r="Q7" s="4">
        <v>9</v>
      </c>
      <c r="R7" s="4" t="s">
        <v>111</v>
      </c>
      <c r="S7" s="4">
        <v>9</v>
      </c>
      <c r="V7" s="23"/>
      <c r="W7" s="17" t="s">
        <v>146</v>
      </c>
      <c r="X7" s="24" t="str">
        <f>Q33</f>
        <v>5FF4C093</v>
      </c>
      <c r="Y7" t="str">
        <f t="shared" si="0"/>
        <v>0x5FF4C093,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 t="s">
        <v>88</v>
      </c>
      <c r="H8" s="4">
        <v>1</v>
      </c>
      <c r="I8" s="4" t="s">
        <v>88</v>
      </c>
      <c r="J8" s="4">
        <v>1</v>
      </c>
      <c r="K8" s="4" t="s">
        <v>88</v>
      </c>
      <c r="L8" s="4">
        <v>1</v>
      </c>
      <c r="M8" s="4" t="s">
        <v>88</v>
      </c>
      <c r="N8" s="4" t="s">
        <v>88</v>
      </c>
      <c r="O8" s="4">
        <v>1</v>
      </c>
      <c r="P8" s="4" t="s">
        <v>88</v>
      </c>
      <c r="Q8" s="4">
        <v>1</v>
      </c>
      <c r="R8" s="4" t="s">
        <v>88</v>
      </c>
      <c r="S8" s="4">
        <v>1</v>
      </c>
      <c r="V8" s="23">
        <v>3</v>
      </c>
      <c r="W8" s="17" t="s">
        <v>143</v>
      </c>
      <c r="X8" s="24" t="str">
        <f>P34</f>
        <v>5191B3AF</v>
      </c>
      <c r="Y8" t="str">
        <f t="shared" si="0"/>
        <v>0x5191B3AF,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 t="s">
        <v>74</v>
      </c>
      <c r="H9" s="4">
        <v>0</v>
      </c>
      <c r="I9" s="4" t="s">
        <v>74</v>
      </c>
      <c r="J9" s="4">
        <v>0</v>
      </c>
      <c r="K9" s="4" t="s">
        <v>74</v>
      </c>
      <c r="L9" s="4">
        <v>0</v>
      </c>
      <c r="M9" s="4" t="s">
        <v>74</v>
      </c>
      <c r="N9" s="4" t="s">
        <v>74</v>
      </c>
      <c r="O9" s="4">
        <v>0</v>
      </c>
      <c r="P9" s="4" t="s">
        <v>74</v>
      </c>
      <c r="Q9" s="4">
        <v>0</v>
      </c>
      <c r="R9" s="4" t="s">
        <v>74</v>
      </c>
      <c r="S9" s="4">
        <v>0</v>
      </c>
      <c r="V9" s="23"/>
      <c r="W9" s="17" t="s">
        <v>146</v>
      </c>
      <c r="X9" s="24" t="str">
        <f>P33</f>
        <v>5FF4C0B6</v>
      </c>
      <c r="Y9" t="str">
        <f t="shared" si="0"/>
        <v>0x5FF4C0B6,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 t="s">
        <v>74</v>
      </c>
      <c r="H10" s="5">
        <v>0</v>
      </c>
      <c r="I10" s="5" t="s">
        <v>74</v>
      </c>
      <c r="J10" s="5">
        <v>0</v>
      </c>
      <c r="K10" s="5" t="s">
        <v>74</v>
      </c>
      <c r="L10" s="5">
        <v>0</v>
      </c>
      <c r="M10" s="5" t="s">
        <v>74</v>
      </c>
      <c r="N10" s="5" t="s">
        <v>74</v>
      </c>
      <c r="O10" s="5">
        <v>0</v>
      </c>
      <c r="P10" s="5" t="s">
        <v>74</v>
      </c>
      <c r="Q10" s="5">
        <v>0</v>
      </c>
      <c r="R10" s="5" t="s">
        <v>74</v>
      </c>
      <c r="S10" s="5">
        <v>0</v>
      </c>
      <c r="V10" s="23">
        <v>4</v>
      </c>
      <c r="W10" s="17" t="s">
        <v>143</v>
      </c>
      <c r="X10" s="24" t="str">
        <f>O34</f>
        <v>5190B3AF</v>
      </c>
      <c r="Y10" t="str">
        <f t="shared" si="0"/>
        <v>0x5190B3AF,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>
        <v>17</v>
      </c>
      <c r="F11" s="5">
        <v>10</v>
      </c>
      <c r="G11" s="5">
        <v>7</v>
      </c>
      <c r="H11" s="5">
        <v>6</v>
      </c>
      <c r="I11" s="5">
        <v>5</v>
      </c>
      <c r="J11" s="5">
        <v>4</v>
      </c>
      <c r="K11" s="5">
        <v>7</v>
      </c>
      <c r="L11" s="5">
        <v>4</v>
      </c>
      <c r="M11" s="5">
        <v>5</v>
      </c>
      <c r="N11" s="5">
        <v>4</v>
      </c>
      <c r="O11" s="5">
        <v>4</v>
      </c>
      <c r="P11" s="5">
        <v>5</v>
      </c>
      <c r="Q11" s="5">
        <v>4</v>
      </c>
      <c r="R11" s="5">
        <v>3</v>
      </c>
      <c r="S11" s="5">
        <v>2</v>
      </c>
      <c r="V11" s="23"/>
      <c r="W11" s="17" t="s">
        <v>146</v>
      </c>
      <c r="X11" s="24" t="str">
        <f>O33</f>
        <v>5FF54091</v>
      </c>
      <c r="Y11" t="str">
        <f t="shared" si="0"/>
        <v>0x5FF54091,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31</v>
      </c>
      <c r="E12" s="5">
        <v>10</v>
      </c>
      <c r="F12" s="5">
        <v>3</v>
      </c>
      <c r="G12" s="5">
        <v>15</v>
      </c>
      <c r="H12" s="5">
        <v>18</v>
      </c>
      <c r="I12" s="5">
        <v>25</v>
      </c>
      <c r="J12" s="5">
        <v>27</v>
      </c>
      <c r="K12" s="5">
        <v>3</v>
      </c>
      <c r="L12" s="5">
        <v>27</v>
      </c>
      <c r="M12" s="5">
        <v>24</v>
      </c>
      <c r="N12" s="5">
        <v>21</v>
      </c>
      <c r="O12" s="5">
        <v>17</v>
      </c>
      <c r="P12" s="5">
        <v>22</v>
      </c>
      <c r="Q12" s="5">
        <v>19</v>
      </c>
      <c r="R12" s="5">
        <v>29</v>
      </c>
      <c r="S12" s="5">
        <v>28</v>
      </c>
      <c r="V12" s="23">
        <v>5</v>
      </c>
      <c r="W12" s="17" t="s">
        <v>143</v>
      </c>
      <c r="X12" s="24" t="str">
        <f>N34</f>
        <v>5191B3AF</v>
      </c>
      <c r="Y12" t="str">
        <f t="shared" si="0"/>
        <v>0x5191B3AF,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 t="s">
        <v>120</v>
      </c>
      <c r="F13" s="5">
        <v>2</v>
      </c>
      <c r="G13" s="5" t="s">
        <v>120</v>
      </c>
      <c r="H13" s="3">
        <v>2</v>
      </c>
      <c r="I13" s="5" t="s">
        <v>120</v>
      </c>
      <c r="J13" s="5">
        <v>2</v>
      </c>
      <c r="K13" s="5" t="s">
        <v>120</v>
      </c>
      <c r="L13" s="3">
        <v>2</v>
      </c>
      <c r="M13" s="5" t="s">
        <v>120</v>
      </c>
      <c r="N13" s="5" t="s">
        <v>120</v>
      </c>
      <c r="O13" s="5">
        <v>2</v>
      </c>
      <c r="P13" s="3">
        <v>2</v>
      </c>
      <c r="Q13" s="5">
        <v>2</v>
      </c>
      <c r="R13" s="5" t="s">
        <v>120</v>
      </c>
      <c r="S13" s="5">
        <v>2</v>
      </c>
      <c r="V13" s="23"/>
      <c r="W13" s="17" t="s">
        <v>146</v>
      </c>
      <c r="X13" s="24" t="str">
        <f>N33</f>
        <v>5FF54095</v>
      </c>
      <c r="Y13" t="str">
        <f t="shared" si="0"/>
        <v>0x5FF54095,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3</v>
      </c>
      <c r="E14" s="5">
        <v>2</v>
      </c>
      <c r="F14" s="5">
        <v>2</v>
      </c>
      <c r="G14" s="5" t="s">
        <v>120</v>
      </c>
      <c r="H14" s="5">
        <v>2</v>
      </c>
      <c r="I14" s="5" t="s">
        <v>120</v>
      </c>
      <c r="J14" s="5">
        <v>2</v>
      </c>
      <c r="K14" s="5" t="s">
        <v>120</v>
      </c>
      <c r="L14" s="5">
        <v>2</v>
      </c>
      <c r="M14" s="5" t="s">
        <v>120</v>
      </c>
      <c r="N14" s="5" t="s">
        <v>120</v>
      </c>
      <c r="O14" s="5">
        <v>2</v>
      </c>
      <c r="P14" s="5" t="s">
        <v>120</v>
      </c>
      <c r="Q14" s="5">
        <v>2</v>
      </c>
      <c r="R14" s="5" t="s">
        <v>120</v>
      </c>
      <c r="S14" s="5">
        <v>2</v>
      </c>
      <c r="V14" s="23">
        <v>6</v>
      </c>
      <c r="W14" s="17" t="s">
        <v>143</v>
      </c>
      <c r="X14" s="24" t="str">
        <f>M34</f>
        <v>5191B3AF</v>
      </c>
      <c r="Y14" t="str">
        <f t="shared" si="0"/>
        <v>0x5191B3AF,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0</v>
      </c>
      <c r="E15" s="4" t="s">
        <v>74</v>
      </c>
      <c r="F15" s="4">
        <v>0</v>
      </c>
      <c r="G15" s="4" t="s">
        <v>74</v>
      </c>
      <c r="H15" s="3">
        <v>0</v>
      </c>
      <c r="I15" s="4" t="s">
        <v>74</v>
      </c>
      <c r="J15" s="4">
        <v>1</v>
      </c>
      <c r="K15" s="4" t="s">
        <v>88</v>
      </c>
      <c r="L15" s="4">
        <v>1</v>
      </c>
      <c r="M15" s="3">
        <v>1</v>
      </c>
      <c r="N15" s="4" t="s">
        <v>88</v>
      </c>
      <c r="O15" s="4">
        <v>1</v>
      </c>
      <c r="P15" s="4" t="s">
        <v>88</v>
      </c>
      <c r="Q15" s="4">
        <v>1</v>
      </c>
      <c r="R15" s="4" t="s">
        <v>88</v>
      </c>
      <c r="S15" s="4">
        <v>1</v>
      </c>
      <c r="V15" s="23"/>
      <c r="W15" s="17" t="s">
        <v>146</v>
      </c>
      <c r="X15" s="24" t="str">
        <f>M33</f>
        <v>5FF540B8</v>
      </c>
      <c r="Y15" t="str">
        <f t="shared" si="0"/>
        <v>0x5FF540B8,</v>
      </c>
      <c r="Z15" s="22"/>
    </row>
    <row r="16" spans="1:26">
      <c r="A16" s="3" t="s">
        <v>170</v>
      </c>
      <c r="B16" s="3">
        <v>23</v>
      </c>
      <c r="C16" s="3">
        <v>18</v>
      </c>
      <c r="D16" s="4" t="s">
        <v>159</v>
      </c>
      <c r="E16" s="4" t="s">
        <v>159</v>
      </c>
      <c r="F16" s="4">
        <v>48</v>
      </c>
      <c r="G16" s="4" t="s">
        <v>198</v>
      </c>
      <c r="H16" s="4">
        <v>38</v>
      </c>
      <c r="I16" s="4" t="s">
        <v>159</v>
      </c>
      <c r="J16" s="4">
        <v>36</v>
      </c>
      <c r="K16" s="4" t="s">
        <v>198</v>
      </c>
      <c r="L16" s="4">
        <v>36</v>
      </c>
      <c r="M16" s="4" t="s">
        <v>159</v>
      </c>
      <c r="N16" s="4" t="s">
        <v>159</v>
      </c>
      <c r="O16" s="4">
        <v>36</v>
      </c>
      <c r="P16" s="4" t="s">
        <v>159</v>
      </c>
      <c r="Q16" s="4">
        <v>36</v>
      </c>
      <c r="R16" s="4" t="s">
        <v>159</v>
      </c>
      <c r="S16" s="4">
        <v>36</v>
      </c>
      <c r="V16" s="23">
        <v>7</v>
      </c>
      <c r="W16" s="17" t="s">
        <v>143</v>
      </c>
      <c r="X16" s="24" t="str">
        <f>L34</f>
        <v>5191B3AF</v>
      </c>
      <c r="Y16" t="str">
        <f t="shared" si="0"/>
        <v>0x5191B3AF,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4" t="s">
        <v>199</v>
      </c>
      <c r="E17" s="4" t="s">
        <v>199</v>
      </c>
      <c r="F17" s="4">
        <v>48</v>
      </c>
      <c r="G17" s="4" t="s">
        <v>200</v>
      </c>
      <c r="H17" s="4">
        <v>43</v>
      </c>
      <c r="I17" s="4" t="s">
        <v>201</v>
      </c>
      <c r="J17" s="4">
        <v>27</v>
      </c>
      <c r="K17" s="4" t="s">
        <v>202</v>
      </c>
      <c r="L17" s="4">
        <v>27</v>
      </c>
      <c r="M17" s="4" t="s">
        <v>203</v>
      </c>
      <c r="N17" s="4" t="s">
        <v>203</v>
      </c>
      <c r="O17" s="4">
        <v>11</v>
      </c>
      <c r="P17" s="4" t="s">
        <v>203</v>
      </c>
      <c r="Q17" s="4">
        <v>27</v>
      </c>
      <c r="R17" s="4" t="s">
        <v>204</v>
      </c>
      <c r="S17" s="4">
        <v>11</v>
      </c>
      <c r="V17" s="23"/>
      <c r="W17" s="17" t="s">
        <v>146</v>
      </c>
      <c r="X17" s="24" t="str">
        <f>L33</f>
        <v>5FF6409B</v>
      </c>
      <c r="Y17" t="str">
        <f t="shared" si="0"/>
        <v>0x5FF6409B,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7</v>
      </c>
      <c r="E18" s="4" t="s">
        <v>129</v>
      </c>
      <c r="F18" s="4">
        <v>7</v>
      </c>
      <c r="G18" s="4" t="s">
        <v>129</v>
      </c>
      <c r="H18" s="3">
        <v>7</v>
      </c>
      <c r="I18" s="4" t="s">
        <v>129</v>
      </c>
      <c r="J18" s="4">
        <v>7</v>
      </c>
      <c r="K18" s="4" t="s">
        <v>129</v>
      </c>
      <c r="L18" s="3">
        <v>7</v>
      </c>
      <c r="M18" s="4" t="s">
        <v>129</v>
      </c>
      <c r="N18" s="4" t="s">
        <v>129</v>
      </c>
      <c r="O18" s="4">
        <v>7</v>
      </c>
      <c r="P18" s="3">
        <v>7</v>
      </c>
      <c r="Q18" s="4">
        <v>7</v>
      </c>
      <c r="R18" s="4" t="s">
        <v>129</v>
      </c>
      <c r="S18" s="4">
        <v>7</v>
      </c>
      <c r="V18" s="23">
        <v>8</v>
      </c>
      <c r="W18" s="17" t="s">
        <v>143</v>
      </c>
      <c r="X18" s="24" t="str">
        <f>K34</f>
        <v>519963AF</v>
      </c>
      <c r="Y18" t="str">
        <f t="shared" si="0"/>
        <v>0x519963AF,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5</v>
      </c>
      <c r="E19" s="4" t="s">
        <v>205</v>
      </c>
      <c r="F19" s="4">
        <v>5</v>
      </c>
      <c r="G19" s="4" t="s">
        <v>205</v>
      </c>
      <c r="H19" s="3">
        <v>5</v>
      </c>
      <c r="I19" s="4" t="s">
        <v>205</v>
      </c>
      <c r="J19" s="4">
        <v>5</v>
      </c>
      <c r="K19" s="4" t="s">
        <v>205</v>
      </c>
      <c r="L19" s="3">
        <v>5</v>
      </c>
      <c r="M19" s="4" t="s">
        <v>205</v>
      </c>
      <c r="N19" s="4" t="s">
        <v>205</v>
      </c>
      <c r="O19" s="4">
        <v>5</v>
      </c>
      <c r="P19" s="3">
        <v>5</v>
      </c>
      <c r="Q19" s="4">
        <v>5</v>
      </c>
      <c r="R19" s="4" t="s">
        <v>205</v>
      </c>
      <c r="S19" s="4">
        <v>5</v>
      </c>
      <c r="V19" s="23"/>
      <c r="W19" s="17" t="s">
        <v>146</v>
      </c>
      <c r="X19" s="24" t="str">
        <f>K33</f>
        <v>5FF640E3</v>
      </c>
      <c r="Y19" t="str">
        <f t="shared" si="0"/>
        <v>0x5FF640E3,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7</v>
      </c>
      <c r="E20" s="4" t="s">
        <v>129</v>
      </c>
      <c r="F20" s="4">
        <v>7</v>
      </c>
      <c r="G20" s="4" t="s">
        <v>129</v>
      </c>
      <c r="H20" s="3">
        <v>7</v>
      </c>
      <c r="I20" s="4" t="s">
        <v>129</v>
      </c>
      <c r="J20" s="4">
        <v>7</v>
      </c>
      <c r="K20" s="4" t="s">
        <v>129</v>
      </c>
      <c r="L20" s="3">
        <v>7</v>
      </c>
      <c r="M20" s="4" t="s">
        <v>129</v>
      </c>
      <c r="N20" s="4" t="s">
        <v>129</v>
      </c>
      <c r="O20" s="4">
        <v>7</v>
      </c>
      <c r="P20" s="3">
        <v>7</v>
      </c>
      <c r="Q20" s="4">
        <v>7</v>
      </c>
      <c r="R20" s="4" t="s">
        <v>129</v>
      </c>
      <c r="S20" s="4">
        <v>7</v>
      </c>
      <c r="V20" s="23">
        <v>9</v>
      </c>
      <c r="W20" s="17" t="s">
        <v>143</v>
      </c>
      <c r="X20" s="24" t="str">
        <f>J34</f>
        <v>5191B3AF</v>
      </c>
      <c r="Y20" t="str">
        <f t="shared" si="0"/>
        <v>0x5191B3AF,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5FF7409B</v>
      </c>
      <c r="Y21" t="str">
        <f t="shared" si="0"/>
        <v>0x5FF7409B,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5092B3AF</v>
      </c>
      <c r="Y22" t="str">
        <f t="shared" si="0"/>
        <v>0x5092B3AF,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5FF740B9</v>
      </c>
      <c r="Y23" t="str">
        <f t="shared" si="0"/>
        <v>0x5FF740B9,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509AB3AF</v>
      </c>
      <c r="Y24" t="str">
        <f t="shared" si="0"/>
        <v>0x509AB3AF,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5FF7C0D2</v>
      </c>
      <c r="Y25" t="str">
        <f t="shared" si="0"/>
        <v>0x5FF7C0D2,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509AA3AF</v>
      </c>
      <c r="Y26" t="str">
        <f t="shared" si="0"/>
        <v>0x509AA3AF,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5FFFC0EF</v>
      </c>
      <c r="Y27" t="str">
        <f t="shared" si="0"/>
        <v>0x5FFFC0EF,</v>
      </c>
      <c r="Z27" s="22"/>
    </row>
    <row r="28" spans="22:26">
      <c r="V28" s="23" t="s">
        <v>188</v>
      </c>
      <c r="W28" s="17" t="s">
        <v>143</v>
      </c>
      <c r="X28" s="24" t="str">
        <f>F34</f>
        <v>50C303AF</v>
      </c>
      <c r="Y28" t="str">
        <f t="shared" si="0"/>
        <v>0x50C303AF,</v>
      </c>
      <c r="Z28" s="22" t="s">
        <v>189</v>
      </c>
    </row>
    <row r="29" spans="22:26">
      <c r="V29" s="23"/>
      <c r="W29" s="17" t="s">
        <v>146</v>
      </c>
      <c r="X29" s="24" t="str">
        <f>F33</f>
        <v>5FFFC143</v>
      </c>
      <c r="Y29" t="str">
        <f t="shared" si="0"/>
        <v>0x5FFFC143,</v>
      </c>
      <c r="Z29" s="22"/>
    </row>
    <row r="30" spans="22:26">
      <c r="V30" s="23" t="s">
        <v>190</v>
      </c>
      <c r="W30" s="17" t="s">
        <v>143</v>
      </c>
      <c r="X30" s="24" t="str">
        <f>E34</f>
        <v>5091E3AF</v>
      </c>
      <c r="Y30" t="str">
        <f t="shared" si="0"/>
        <v>0x5091E3AF,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5FFFC22A</v>
      </c>
      <c r="Y31" t="str">
        <f t="shared" si="0"/>
        <v>0x5FFFC22A,</v>
      </c>
      <c r="Z31" s="22"/>
    </row>
    <row r="32" spans="1:26">
      <c r="A32" s="11" t="s">
        <v>193</v>
      </c>
      <c r="B32" s="11"/>
      <c r="C32" s="11"/>
      <c r="D32" s="12">
        <v>28</v>
      </c>
      <c r="E32" s="12">
        <v>26</v>
      </c>
      <c r="F32" s="12">
        <v>24</v>
      </c>
      <c r="G32" s="12">
        <v>22</v>
      </c>
      <c r="H32" s="12">
        <v>20</v>
      </c>
      <c r="I32" s="12">
        <v>18</v>
      </c>
      <c r="J32" s="12">
        <v>16</v>
      </c>
      <c r="K32" s="12">
        <v>14</v>
      </c>
      <c r="L32" s="12">
        <v>12</v>
      </c>
      <c r="M32" s="12">
        <v>10</v>
      </c>
      <c r="N32" s="12">
        <v>8</v>
      </c>
      <c r="O32" s="12">
        <v>6</v>
      </c>
      <c r="P32" s="12">
        <v>4</v>
      </c>
      <c r="Q32" s="12">
        <v>2</v>
      </c>
      <c r="R32" s="12">
        <v>0</v>
      </c>
      <c r="S32" s="12">
        <v>-2</v>
      </c>
      <c r="V32" s="23" t="s">
        <v>194</v>
      </c>
      <c r="W32" s="17" t="s">
        <v>143</v>
      </c>
      <c r="X32" s="24" t="str">
        <f>D34</f>
        <v>5891E3AF</v>
      </c>
      <c r="Y32" t="str">
        <f t="shared" si="0"/>
        <v>0x5891E3AF,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5FFFC7FF</v>
      </c>
      <c r="E33" s="13" t="str">
        <f t="shared" si="1"/>
        <v>5FFFC22A</v>
      </c>
      <c r="F33" s="13" t="str">
        <f t="shared" si="1"/>
        <v>5FFFC143</v>
      </c>
      <c r="G33" s="13" t="str">
        <f t="shared" si="1"/>
        <v>5FFFC0EF</v>
      </c>
      <c r="H33" s="13" t="str">
        <f t="shared" si="1"/>
        <v>5FF7C0D2</v>
      </c>
      <c r="I33" s="13" t="str">
        <f t="shared" si="1"/>
        <v>5FF740B9</v>
      </c>
      <c r="J33" s="13" t="str">
        <f t="shared" si="1"/>
        <v>5FF7409B</v>
      </c>
      <c r="K33" s="13" t="str">
        <f t="shared" si="1"/>
        <v>5FF640E3</v>
      </c>
      <c r="L33" s="13" t="str">
        <f t="shared" si="1"/>
        <v>5FF6409B</v>
      </c>
      <c r="M33" s="13" t="str">
        <f t="shared" si="1"/>
        <v>5FF540B8</v>
      </c>
      <c r="N33" s="13" t="str">
        <f t="shared" si="1"/>
        <v>5FF54095</v>
      </c>
      <c r="O33" s="13" t="str">
        <f t="shared" si="1"/>
        <v>5FF54091</v>
      </c>
      <c r="P33" s="13" t="str">
        <f t="shared" si="1"/>
        <v>5FF4C0B6</v>
      </c>
      <c r="Q33" s="13" t="str">
        <f t="shared" si="1"/>
        <v>5FF4C093</v>
      </c>
      <c r="R33" s="13" t="str">
        <f t="shared" si="1"/>
        <v>5FF4C07D</v>
      </c>
      <c r="S33" s="13" t="str">
        <f t="shared" si="1"/>
        <v>5FF4C05C</v>
      </c>
      <c r="V33" s="22"/>
      <c r="W33" s="17" t="s">
        <v>146</v>
      </c>
      <c r="X33" s="24" t="str">
        <f>D33</f>
        <v>5FFFC7FF</v>
      </c>
      <c r="Y33" t="str">
        <f t="shared" si="0"/>
        <v>0x5FFFC7FF,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5891E3AF</v>
      </c>
      <c r="E34" s="13" t="str">
        <f t="shared" si="2"/>
        <v>5091E3AF</v>
      </c>
      <c r="F34" s="13" t="str">
        <f t="shared" si="2"/>
        <v>50C303AF</v>
      </c>
      <c r="G34" s="13" t="str">
        <f t="shared" si="2"/>
        <v>509AA3AF</v>
      </c>
      <c r="H34" s="13" t="str">
        <f t="shared" si="2"/>
        <v>509AB3AF</v>
      </c>
      <c r="I34" s="13" t="str">
        <f t="shared" si="2"/>
        <v>5092B3AF</v>
      </c>
      <c r="J34" s="13" t="str">
        <f t="shared" si="2"/>
        <v>5191B3AF</v>
      </c>
      <c r="K34" s="13" t="str">
        <f t="shared" si="2"/>
        <v>519963AF</v>
      </c>
      <c r="L34" s="13" t="str">
        <f t="shared" si="2"/>
        <v>5191B3AF</v>
      </c>
      <c r="M34" s="13" t="str">
        <f t="shared" si="2"/>
        <v>5191B3AF</v>
      </c>
      <c r="N34" s="13" t="str">
        <f t="shared" si="2"/>
        <v>5191B3AF</v>
      </c>
      <c r="O34" s="13" t="str">
        <f t="shared" si="2"/>
        <v>5190B3AF</v>
      </c>
      <c r="P34" s="13" t="str">
        <f t="shared" si="2"/>
        <v>5191B3AF</v>
      </c>
      <c r="Q34" s="13" t="str">
        <f t="shared" si="2"/>
        <v>5191B3AF</v>
      </c>
      <c r="R34" s="13" t="str">
        <f t="shared" si="2"/>
        <v>5190B3AF</v>
      </c>
      <c r="S34" s="13" t="str">
        <f t="shared" si="2"/>
        <v>5190B3AF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abSelected="1" workbookViewId="0">
      <selection activeCell="N8" sqref="N8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4">
        <v>7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143</v>
      </c>
      <c r="X2" s="24" t="str">
        <f>S34</f>
        <v>528183AC</v>
      </c>
      <c r="Y2" t="str">
        <f t="shared" ref="Y2:Y33" si="0">"0x"&amp;RIGHT("00000000"&amp;X2,8)&amp;","</f>
        <v>0x528183AC,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0</v>
      </c>
      <c r="E3" s="4">
        <v>0</v>
      </c>
      <c r="F3" s="4">
        <v>1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146</v>
      </c>
      <c r="X3" s="24" t="str">
        <f>S33</f>
        <v>3BF4C10A</v>
      </c>
      <c r="Y3" t="str">
        <f t="shared" si="0"/>
        <v>0x3BF4C10A,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143</v>
      </c>
      <c r="X4" s="24" t="str">
        <f>R34</f>
        <v>528183AC</v>
      </c>
      <c r="Y4" t="str">
        <f t="shared" si="0"/>
        <v>0x528183AC,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146</v>
      </c>
      <c r="X5" s="24" t="str">
        <f>R33</f>
        <v>3BF4C150</v>
      </c>
      <c r="Y5" t="str">
        <f t="shared" si="0"/>
        <v>0x3BF4C150,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143</v>
      </c>
      <c r="X6" s="24" t="str">
        <f>Q34</f>
        <v>528183AC</v>
      </c>
      <c r="Y6" t="str">
        <f t="shared" si="0"/>
        <v>0x528183AC,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14</v>
      </c>
      <c r="J7" s="4">
        <v>13</v>
      </c>
      <c r="K7" s="4">
        <v>12</v>
      </c>
      <c r="L7" s="4">
        <v>12</v>
      </c>
      <c r="M7" s="4">
        <v>10</v>
      </c>
      <c r="N7" s="4">
        <v>10</v>
      </c>
      <c r="O7" s="4">
        <v>9</v>
      </c>
      <c r="P7" s="4">
        <v>9</v>
      </c>
      <c r="Q7" s="4">
        <v>9</v>
      </c>
      <c r="R7" s="4">
        <v>9</v>
      </c>
      <c r="S7" s="4">
        <v>9</v>
      </c>
      <c r="V7" s="23"/>
      <c r="W7" s="17" t="s">
        <v>146</v>
      </c>
      <c r="X7" s="24" t="str">
        <f>Q33</f>
        <v>3BF4C1B4</v>
      </c>
      <c r="Y7" t="str">
        <f t="shared" si="0"/>
        <v>0x3BF4C1B4,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143</v>
      </c>
      <c r="X8" s="24" t="str">
        <f>P34</f>
        <v>538183AF</v>
      </c>
      <c r="Y8" t="str">
        <f t="shared" si="0"/>
        <v>0x538183AF,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146</v>
      </c>
      <c r="X9" s="24" t="str">
        <f>P33</f>
        <v>3BF4C24E</v>
      </c>
      <c r="Y9" t="str">
        <f t="shared" si="0"/>
        <v>0x3BF4C24E,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143</v>
      </c>
      <c r="X10" s="24" t="str">
        <f>O34</f>
        <v>528143AC</v>
      </c>
      <c r="Y10" t="str">
        <f t="shared" si="0"/>
        <v>0x528143AC,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>
        <v>63</v>
      </c>
      <c r="F11" s="5">
        <v>32</v>
      </c>
      <c r="G11" s="5" t="s">
        <v>206</v>
      </c>
      <c r="H11" s="5">
        <v>14</v>
      </c>
      <c r="I11" s="5">
        <v>17</v>
      </c>
      <c r="J11" s="5">
        <v>18</v>
      </c>
      <c r="K11" s="5">
        <v>17</v>
      </c>
      <c r="L11" s="5">
        <v>16</v>
      </c>
      <c r="M11" s="5">
        <v>16</v>
      </c>
      <c r="N11" s="5">
        <v>15</v>
      </c>
      <c r="O11" s="5">
        <v>21</v>
      </c>
      <c r="P11" s="5">
        <v>18</v>
      </c>
      <c r="Q11" s="5">
        <v>13</v>
      </c>
      <c r="R11" s="5">
        <v>10</v>
      </c>
      <c r="S11" s="5">
        <v>8</v>
      </c>
      <c r="V11" s="23"/>
      <c r="W11" s="17" t="s">
        <v>146</v>
      </c>
      <c r="X11" s="24" t="str">
        <f>O33</f>
        <v>3BF4C2B3</v>
      </c>
      <c r="Y11" t="str">
        <f t="shared" si="0"/>
        <v>0x3BF4C2B3,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30</v>
      </c>
      <c r="E12" s="5">
        <v>31</v>
      </c>
      <c r="F12" s="5">
        <v>27</v>
      </c>
      <c r="G12" s="5">
        <v>4</v>
      </c>
      <c r="H12" s="5">
        <v>28</v>
      </c>
      <c r="I12" s="5">
        <v>18</v>
      </c>
      <c r="J12" s="5">
        <v>20</v>
      </c>
      <c r="K12" s="5">
        <v>18</v>
      </c>
      <c r="L12" s="5">
        <v>16</v>
      </c>
      <c r="M12" s="5">
        <v>27</v>
      </c>
      <c r="N12" s="5">
        <v>14</v>
      </c>
      <c r="O12" s="5">
        <v>19</v>
      </c>
      <c r="P12" s="5">
        <v>14</v>
      </c>
      <c r="Q12" s="5">
        <v>20</v>
      </c>
      <c r="R12" s="5">
        <v>16</v>
      </c>
      <c r="S12" s="5">
        <v>10</v>
      </c>
      <c r="V12" s="23">
        <v>5</v>
      </c>
      <c r="W12" s="17" t="s">
        <v>143</v>
      </c>
      <c r="X12" s="24" t="str">
        <f>N34</f>
        <v>538143AF</v>
      </c>
      <c r="Y12" t="str">
        <f t="shared" si="0"/>
        <v>0x538143AF,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 t="s">
        <v>120</v>
      </c>
      <c r="F13" s="5">
        <v>3</v>
      </c>
      <c r="G13" s="5">
        <v>3</v>
      </c>
      <c r="H13" s="5">
        <v>3</v>
      </c>
      <c r="I13" s="5" t="s">
        <v>120</v>
      </c>
      <c r="J13" s="5">
        <v>2</v>
      </c>
      <c r="K13" s="5" t="s">
        <v>120</v>
      </c>
      <c r="L13" s="5">
        <v>2</v>
      </c>
      <c r="M13" s="5" t="s">
        <v>120</v>
      </c>
      <c r="N13" s="5">
        <v>2</v>
      </c>
      <c r="O13" s="5" t="s">
        <v>120</v>
      </c>
      <c r="P13" s="5">
        <v>2</v>
      </c>
      <c r="Q13" s="5" t="s">
        <v>120</v>
      </c>
      <c r="R13" s="5" t="s">
        <v>120</v>
      </c>
      <c r="S13" s="5" t="s">
        <v>120</v>
      </c>
      <c r="V13" s="23"/>
      <c r="W13" s="17" t="s">
        <v>146</v>
      </c>
      <c r="X13" s="24" t="str">
        <f>N33</f>
        <v>3BF541EE</v>
      </c>
      <c r="Y13" t="str">
        <f t="shared" si="0"/>
        <v>0x3BF541EE,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2</v>
      </c>
      <c r="E14" s="5">
        <v>2</v>
      </c>
      <c r="F14" s="5">
        <v>1</v>
      </c>
      <c r="G14" s="5">
        <v>1</v>
      </c>
      <c r="H14" s="5">
        <v>1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143</v>
      </c>
      <c r="X14" s="24" t="str">
        <f>M34</f>
        <v>528143AC</v>
      </c>
      <c r="Y14" t="str">
        <f t="shared" si="0"/>
        <v>0x528143AC,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1</v>
      </c>
      <c r="E15" s="4" t="s">
        <v>88</v>
      </c>
      <c r="F15" s="4">
        <v>0</v>
      </c>
      <c r="G15" s="4">
        <v>0</v>
      </c>
      <c r="H15" s="4">
        <v>0</v>
      </c>
      <c r="I15" s="4" t="s">
        <v>120</v>
      </c>
      <c r="J15" s="3">
        <v>2</v>
      </c>
      <c r="K15" s="4" t="s">
        <v>120</v>
      </c>
      <c r="L15" s="4">
        <v>2</v>
      </c>
      <c r="M15" s="3">
        <v>2</v>
      </c>
      <c r="N15" s="3">
        <v>3</v>
      </c>
      <c r="O15" s="4" t="s">
        <v>120</v>
      </c>
      <c r="P15" s="3">
        <v>3</v>
      </c>
      <c r="Q15" s="4" t="s">
        <v>120</v>
      </c>
      <c r="R15" s="4" t="s">
        <v>120</v>
      </c>
      <c r="S15" s="4" t="s">
        <v>120</v>
      </c>
      <c r="V15" s="23"/>
      <c r="W15" s="17" t="s">
        <v>146</v>
      </c>
      <c r="X15" s="24" t="str">
        <f>M33</f>
        <v>3BF5421B</v>
      </c>
      <c r="Y15" t="str">
        <f t="shared" si="0"/>
        <v>0x3BF5421B,</v>
      </c>
      <c r="Z15" s="22"/>
    </row>
    <row r="16" spans="1:26">
      <c r="A16" s="3" t="s">
        <v>170</v>
      </c>
      <c r="B16" s="3">
        <v>23</v>
      </c>
      <c r="C16" s="3">
        <v>18</v>
      </c>
      <c r="D16" s="3">
        <v>59</v>
      </c>
      <c r="E16" s="4">
        <v>32</v>
      </c>
      <c r="F16" s="4">
        <v>48</v>
      </c>
      <c r="G16" s="4">
        <v>48</v>
      </c>
      <c r="H16" s="4">
        <v>48</v>
      </c>
      <c r="I16" s="4">
        <v>32</v>
      </c>
      <c r="J16" s="4">
        <v>32</v>
      </c>
      <c r="K16" s="4">
        <v>32</v>
      </c>
      <c r="L16" s="4">
        <v>32</v>
      </c>
      <c r="M16" s="4">
        <v>32</v>
      </c>
      <c r="N16" s="4">
        <v>32</v>
      </c>
      <c r="O16" s="4">
        <v>32</v>
      </c>
      <c r="P16" s="4">
        <v>32</v>
      </c>
      <c r="Q16" s="4">
        <v>32</v>
      </c>
      <c r="R16" s="4">
        <v>32</v>
      </c>
      <c r="S16" s="4">
        <v>32</v>
      </c>
      <c r="V16" s="23">
        <v>7</v>
      </c>
      <c r="W16" s="17" t="s">
        <v>143</v>
      </c>
      <c r="X16" s="24" t="str">
        <f>L34</f>
        <v>528143AF</v>
      </c>
      <c r="Y16" t="str">
        <f t="shared" si="0"/>
        <v>0x528143AF,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3">
        <v>51</v>
      </c>
      <c r="E17" s="4">
        <v>40</v>
      </c>
      <c r="F17" s="4">
        <v>48</v>
      </c>
      <c r="G17" s="4">
        <v>48</v>
      </c>
      <c r="H17" s="4">
        <v>48</v>
      </c>
      <c r="I17" s="4" t="s">
        <v>164</v>
      </c>
      <c r="J17" s="4">
        <v>24</v>
      </c>
      <c r="K17" s="4" t="s">
        <v>164</v>
      </c>
      <c r="L17" s="4">
        <v>20</v>
      </c>
      <c r="M17" s="4" t="s">
        <v>160</v>
      </c>
      <c r="N17" s="4">
        <v>20</v>
      </c>
      <c r="O17" s="4" t="s">
        <v>160</v>
      </c>
      <c r="P17" s="4">
        <v>24</v>
      </c>
      <c r="Q17" s="4">
        <v>24</v>
      </c>
      <c r="R17" s="4">
        <v>24</v>
      </c>
      <c r="S17" s="4">
        <v>24</v>
      </c>
      <c r="V17" s="23"/>
      <c r="W17" s="17" t="s">
        <v>146</v>
      </c>
      <c r="X17" s="24" t="str">
        <f>L33</f>
        <v>3BF64210</v>
      </c>
      <c r="Y17" t="str">
        <f t="shared" si="0"/>
        <v>0x3BF64210,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7</v>
      </c>
      <c r="E18" s="4" t="s">
        <v>129</v>
      </c>
      <c r="F18" s="4">
        <v>7</v>
      </c>
      <c r="G18" s="4">
        <v>7</v>
      </c>
      <c r="H18" s="4">
        <v>7</v>
      </c>
      <c r="I18" s="4" t="s">
        <v>129</v>
      </c>
      <c r="J18" s="4">
        <v>7</v>
      </c>
      <c r="K18" s="4" t="s">
        <v>129</v>
      </c>
      <c r="L18" s="4">
        <v>7</v>
      </c>
      <c r="M18" s="4" t="s">
        <v>129</v>
      </c>
      <c r="N18" s="4">
        <v>7</v>
      </c>
      <c r="O18" s="4" t="s">
        <v>129</v>
      </c>
      <c r="P18" s="4">
        <v>7</v>
      </c>
      <c r="Q18" s="4" t="s">
        <v>129</v>
      </c>
      <c r="R18" s="4" t="s">
        <v>129</v>
      </c>
      <c r="S18" s="4" t="s">
        <v>129</v>
      </c>
      <c r="V18" s="23">
        <v>8</v>
      </c>
      <c r="W18" s="17" t="s">
        <v>143</v>
      </c>
      <c r="X18" s="24" t="str">
        <f>K34</f>
        <v>528183AC</v>
      </c>
      <c r="Y18" t="str">
        <f t="shared" si="0"/>
        <v>0x528183AC,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5</v>
      </c>
      <c r="E19" s="4" t="s">
        <v>205</v>
      </c>
      <c r="F19" s="3">
        <v>5</v>
      </c>
      <c r="G19" s="3">
        <v>5</v>
      </c>
      <c r="H19" s="3">
        <v>5</v>
      </c>
      <c r="I19" s="4" t="s">
        <v>205</v>
      </c>
      <c r="J19" s="4">
        <v>5</v>
      </c>
      <c r="K19" s="4" t="s">
        <v>205</v>
      </c>
      <c r="L19" s="3">
        <v>5</v>
      </c>
      <c r="M19" s="4" t="s">
        <v>205</v>
      </c>
      <c r="N19" s="4">
        <v>5</v>
      </c>
      <c r="O19" s="4" t="s">
        <v>205</v>
      </c>
      <c r="P19" s="3">
        <v>5</v>
      </c>
      <c r="Q19" s="4" t="s">
        <v>205</v>
      </c>
      <c r="R19" s="4" t="s">
        <v>205</v>
      </c>
      <c r="S19" s="4" t="s">
        <v>205</v>
      </c>
      <c r="V19" s="23"/>
      <c r="W19" s="17" t="s">
        <v>146</v>
      </c>
      <c r="X19" s="24" t="str">
        <f>K33</f>
        <v>3BF64232</v>
      </c>
      <c r="Y19" t="str">
        <f t="shared" si="0"/>
        <v>0x3BF64232,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4</v>
      </c>
      <c r="E20" s="4">
        <v>4</v>
      </c>
      <c r="F20" s="4">
        <v>7</v>
      </c>
      <c r="G20" s="4">
        <v>7</v>
      </c>
      <c r="H20" s="4">
        <v>7</v>
      </c>
      <c r="I20" s="4">
        <v>4</v>
      </c>
      <c r="J20" s="4">
        <v>7</v>
      </c>
      <c r="K20" s="4">
        <v>4</v>
      </c>
      <c r="L20" s="4">
        <v>7</v>
      </c>
      <c r="M20" s="4">
        <v>4</v>
      </c>
      <c r="N20" s="4">
        <v>7</v>
      </c>
      <c r="O20" s="4">
        <v>4</v>
      </c>
      <c r="P20" s="4">
        <v>7</v>
      </c>
      <c r="Q20" s="4">
        <v>4</v>
      </c>
      <c r="R20" s="4">
        <v>4</v>
      </c>
      <c r="S20" s="4">
        <v>4</v>
      </c>
      <c r="V20" s="23">
        <v>9</v>
      </c>
      <c r="W20" s="17" t="s">
        <v>143</v>
      </c>
      <c r="X20" s="24" t="str">
        <f>J34</f>
        <v>528183AF</v>
      </c>
      <c r="Y20" t="str">
        <f t="shared" si="0"/>
        <v>0x528183AF,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3BF6C254</v>
      </c>
      <c r="Y21" t="str">
        <f t="shared" si="0"/>
        <v>0x3BF6C254,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528183AC</v>
      </c>
      <c r="Y22" t="str">
        <f t="shared" si="0"/>
        <v>0x528183AC,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3BF74232</v>
      </c>
      <c r="Y23" t="str">
        <f t="shared" si="0"/>
        <v>0x3BF74232,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68C303AF</v>
      </c>
      <c r="Y24" t="str">
        <f t="shared" si="0"/>
        <v>0x68C303AF,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3FFFC1DC</v>
      </c>
      <c r="Y25" t="str">
        <f t="shared" si="0"/>
        <v>0x3FFFC1DC,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68C303AF</v>
      </c>
      <c r="Y26" t="str">
        <f t="shared" si="0"/>
        <v>0x68C303AF,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3FFFC344</v>
      </c>
      <c r="Y27" t="str">
        <f t="shared" si="0"/>
        <v>0x3FFFC344,</v>
      </c>
      <c r="Z27" s="22"/>
    </row>
    <row r="28" spans="22:26">
      <c r="V28" s="23" t="s">
        <v>188</v>
      </c>
      <c r="W28" s="17" t="s">
        <v>143</v>
      </c>
      <c r="X28" s="24" t="str">
        <f>F34</f>
        <v>68C303AF</v>
      </c>
      <c r="Y28" t="str">
        <f t="shared" si="0"/>
        <v>0x68C303AF,</v>
      </c>
      <c r="Z28" s="22" t="s">
        <v>189</v>
      </c>
    </row>
    <row r="29" spans="22:26">
      <c r="V29" s="23"/>
      <c r="W29" s="17" t="s">
        <v>146</v>
      </c>
      <c r="X29" s="24" t="str">
        <f>F33</f>
        <v>3FFFC41B</v>
      </c>
      <c r="Y29" t="str">
        <f t="shared" si="0"/>
        <v>0x3FFFC41B,</v>
      </c>
      <c r="Z29" s="22"/>
    </row>
    <row r="30" spans="22:26">
      <c r="V30" s="23" t="s">
        <v>190</v>
      </c>
      <c r="W30" s="17" t="s">
        <v>143</v>
      </c>
      <c r="X30" s="24" t="str">
        <f>E34</f>
        <v>518283AC</v>
      </c>
      <c r="Y30" t="str">
        <f t="shared" si="0"/>
        <v>0x518283AC,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3BFFC7FF</v>
      </c>
      <c r="Y31" t="str">
        <f t="shared" si="0"/>
        <v>0x3BFFC7FF,</v>
      </c>
      <c r="Z31" s="22"/>
    </row>
    <row r="32" spans="1:26">
      <c r="A32" s="11" t="s">
        <v>193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194</v>
      </c>
      <c r="W32" s="17" t="s">
        <v>143</v>
      </c>
      <c r="X32" s="24" t="str">
        <f>D34</f>
        <v>51EF33AC</v>
      </c>
      <c r="Y32" t="str">
        <f t="shared" si="0"/>
        <v>0x51EF33AC,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3B8FC7FE</v>
      </c>
      <c r="E33" s="13" t="str">
        <f t="shared" si="1"/>
        <v>3BFFC7FF</v>
      </c>
      <c r="F33" s="13" t="str">
        <f t="shared" si="1"/>
        <v>3FFFC41B</v>
      </c>
      <c r="G33" s="13" t="str">
        <f t="shared" si="1"/>
        <v>3FFFC344</v>
      </c>
      <c r="H33" s="13" t="str">
        <f t="shared" si="1"/>
        <v>3FFFC1DC</v>
      </c>
      <c r="I33" s="13" t="str">
        <f t="shared" si="1"/>
        <v>3BF74232</v>
      </c>
      <c r="J33" s="13" t="str">
        <f t="shared" si="1"/>
        <v>3BF6C254</v>
      </c>
      <c r="K33" s="13" t="str">
        <f t="shared" si="1"/>
        <v>3BF64232</v>
      </c>
      <c r="L33" s="13" t="str">
        <f t="shared" si="1"/>
        <v>3BF64210</v>
      </c>
      <c r="M33" s="13" t="str">
        <f t="shared" si="1"/>
        <v>3BF5421B</v>
      </c>
      <c r="N33" s="13" t="str">
        <f t="shared" si="1"/>
        <v>3BF541EE</v>
      </c>
      <c r="O33" s="13" t="str">
        <f t="shared" si="1"/>
        <v>3BF4C2B3</v>
      </c>
      <c r="P33" s="13" t="str">
        <f t="shared" si="1"/>
        <v>3BF4C24E</v>
      </c>
      <c r="Q33" s="13" t="str">
        <f t="shared" si="1"/>
        <v>3BF4C1B4</v>
      </c>
      <c r="R33" s="13" t="str">
        <f t="shared" si="1"/>
        <v>3BF4C150</v>
      </c>
      <c r="S33" s="13" t="str">
        <f t="shared" si="1"/>
        <v>3BF4C10A</v>
      </c>
      <c r="V33" s="22"/>
      <c r="W33" s="17" t="s">
        <v>146</v>
      </c>
      <c r="X33" s="24" t="str">
        <f>D33</f>
        <v>3B8FC7FE</v>
      </c>
      <c r="Y33" t="str">
        <f t="shared" si="0"/>
        <v>0x3B8FC7FE,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51EF33AC</v>
      </c>
      <c r="E34" s="13" t="str">
        <f t="shared" si="2"/>
        <v>518283AC</v>
      </c>
      <c r="F34" s="13" t="str">
        <f t="shared" si="2"/>
        <v>68C303AF</v>
      </c>
      <c r="G34" s="13" t="str">
        <f t="shared" si="2"/>
        <v>68C303AF</v>
      </c>
      <c r="H34" s="13" t="str">
        <f t="shared" si="2"/>
        <v>68C303AF</v>
      </c>
      <c r="I34" s="13" t="str">
        <f t="shared" si="2"/>
        <v>528183AC</v>
      </c>
      <c r="J34" s="13" t="str">
        <f t="shared" si="2"/>
        <v>528183AF</v>
      </c>
      <c r="K34" s="13" t="str">
        <f t="shared" si="2"/>
        <v>528183AC</v>
      </c>
      <c r="L34" s="13" t="str">
        <f t="shared" si="2"/>
        <v>528143AF</v>
      </c>
      <c r="M34" s="13" t="str">
        <f t="shared" si="2"/>
        <v>528143AC</v>
      </c>
      <c r="N34" s="13" t="str">
        <f t="shared" si="2"/>
        <v>538143AF</v>
      </c>
      <c r="O34" s="13" t="str">
        <f t="shared" si="2"/>
        <v>528143AC</v>
      </c>
      <c r="P34" s="13" t="str">
        <f t="shared" si="2"/>
        <v>538183AF</v>
      </c>
      <c r="Q34" s="13" t="str">
        <f t="shared" si="2"/>
        <v>528183AC</v>
      </c>
      <c r="R34" s="13" t="str">
        <f t="shared" si="2"/>
        <v>528183AC</v>
      </c>
      <c r="S34" s="13" t="str">
        <f t="shared" si="2"/>
        <v>528183AC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12</v>
      </c>
      <c r="E3" s="4">
        <v>12</v>
      </c>
      <c r="F3" s="4">
        <v>12</v>
      </c>
      <c r="G3" s="4">
        <v>12</v>
      </c>
      <c r="H3" s="4" t="s">
        <v>161</v>
      </c>
      <c r="I3" s="4">
        <v>12</v>
      </c>
      <c r="J3" s="4">
        <v>12</v>
      </c>
      <c r="K3" s="4">
        <v>12</v>
      </c>
      <c r="L3" s="4" t="s">
        <v>161</v>
      </c>
      <c r="M3" s="4">
        <v>12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>
        <v>3</v>
      </c>
      <c r="F6" s="4" t="s">
        <v>82</v>
      </c>
      <c r="G6" s="4" t="s">
        <v>82</v>
      </c>
      <c r="H6" s="4" t="s">
        <v>82</v>
      </c>
      <c r="I6" s="4" t="s">
        <v>82</v>
      </c>
      <c r="J6" s="4">
        <v>3</v>
      </c>
      <c r="K6" s="4" t="s">
        <v>82</v>
      </c>
      <c r="L6" s="4" t="s">
        <v>82</v>
      </c>
      <c r="M6" s="4" t="s">
        <v>82</v>
      </c>
      <c r="N6" s="4" t="s">
        <v>82</v>
      </c>
      <c r="O6" s="4">
        <v>3</v>
      </c>
      <c r="P6" s="4" t="s">
        <v>82</v>
      </c>
      <c r="Q6" s="4" t="s">
        <v>82</v>
      </c>
      <c r="R6" s="4" t="s">
        <v>82</v>
      </c>
      <c r="S6" s="4" t="s">
        <v>82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 t="s">
        <v>129</v>
      </c>
      <c r="G7" s="4" t="s">
        <v>129</v>
      </c>
      <c r="H7" s="4" t="s">
        <v>108</v>
      </c>
      <c r="I7" s="4" t="s">
        <v>205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>
        <v>52</v>
      </c>
      <c r="F10" s="6">
        <v>25</v>
      </c>
      <c r="G10" s="6">
        <v>19</v>
      </c>
      <c r="H10" s="5" t="s">
        <v>160</v>
      </c>
      <c r="I10" s="6">
        <v>17</v>
      </c>
      <c r="J10" s="5">
        <v>21</v>
      </c>
      <c r="K10" s="6">
        <v>14</v>
      </c>
      <c r="L10" s="5" t="s">
        <v>213</v>
      </c>
      <c r="M10" s="6">
        <v>13</v>
      </c>
      <c r="N10" s="5" t="s">
        <v>214</v>
      </c>
      <c r="O10" s="6">
        <v>16</v>
      </c>
      <c r="P10" s="5" t="s">
        <v>78</v>
      </c>
      <c r="Q10" s="5" t="s">
        <v>204</v>
      </c>
      <c r="R10" s="5" t="s">
        <v>215</v>
      </c>
      <c r="S10" s="5" t="s">
        <v>108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>
        <v>20</v>
      </c>
      <c r="F11" s="5">
        <v>16</v>
      </c>
      <c r="G11" s="5">
        <v>26</v>
      </c>
      <c r="H11" s="5" t="s">
        <v>202</v>
      </c>
      <c r="I11" s="5">
        <v>17</v>
      </c>
      <c r="J11" s="5">
        <v>28</v>
      </c>
      <c r="K11" s="5">
        <v>16</v>
      </c>
      <c r="L11" s="5" t="s">
        <v>206</v>
      </c>
      <c r="M11" s="5">
        <v>22</v>
      </c>
      <c r="N11" s="5" t="s">
        <v>160</v>
      </c>
      <c r="O11" s="5">
        <v>20</v>
      </c>
      <c r="P11" s="5" t="s">
        <v>215</v>
      </c>
      <c r="Q11" s="5" t="s">
        <v>213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D9E64214</v>
      </c>
      <c r="Y11" t="str">
        <f t="shared" si="0"/>
        <v>0xD9E64214,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2</v>
      </c>
      <c r="E14" s="5" t="s">
        <v>120</v>
      </c>
      <c r="F14" s="5" t="s">
        <v>120</v>
      </c>
      <c r="G14" s="5" t="s">
        <v>120</v>
      </c>
      <c r="H14" s="3">
        <v>2</v>
      </c>
      <c r="I14" s="5" t="s">
        <v>120</v>
      </c>
      <c r="J14" s="5" t="s">
        <v>120</v>
      </c>
      <c r="K14" s="5" t="s">
        <v>120</v>
      </c>
      <c r="L14" s="3">
        <v>2</v>
      </c>
      <c r="M14" s="5" t="s">
        <v>120</v>
      </c>
      <c r="N14" s="5" t="s">
        <v>120</v>
      </c>
      <c r="O14" s="5" t="s">
        <v>120</v>
      </c>
      <c r="P14" s="3">
        <v>2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D9E681B6</v>
      </c>
      <c r="Y15" t="str">
        <f t="shared" si="0"/>
        <v>0xD9E681B6,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D9E701D0</v>
      </c>
      <c r="Y19" t="str">
        <f t="shared" si="0"/>
        <v>0xD9E701D0,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D9E74231</v>
      </c>
      <c r="Y23" t="str">
        <f t="shared" si="0"/>
        <v>0xD9E74231,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D9E78296</v>
      </c>
      <c r="Y25" t="str">
        <f t="shared" si="0"/>
        <v>0xD9E78296,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D9E7C27A</v>
      </c>
      <c r="Y27" t="str">
        <f t="shared" si="0"/>
        <v>0xD9E7C27A,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D9E7C330</v>
      </c>
      <c r="Y29" t="str">
        <f t="shared" si="0"/>
        <v>0xD9E7C330,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D9EFC43C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D9E7C330</v>
      </c>
      <c r="G33" s="13" t="str">
        <f t="shared" si="1"/>
        <v>D9E7C27A</v>
      </c>
      <c r="H33" s="13" t="str">
        <f t="shared" si="1"/>
        <v>D9E78296</v>
      </c>
      <c r="I33" s="13" t="str">
        <f t="shared" si="1"/>
        <v>D9E74231</v>
      </c>
      <c r="J33" s="13" t="str">
        <f t="shared" si="1"/>
        <v>D9E702BC</v>
      </c>
      <c r="K33" s="13" t="str">
        <f t="shared" si="1"/>
        <v>D9E701D0</v>
      </c>
      <c r="L33" s="13" t="str">
        <f t="shared" si="1"/>
        <v>D9E6825A</v>
      </c>
      <c r="M33" s="13" t="str">
        <f t="shared" si="1"/>
        <v>D9E681B6</v>
      </c>
      <c r="N33" s="13" t="str">
        <f t="shared" si="1"/>
        <v>D9E64334</v>
      </c>
      <c r="O33" s="13" t="str">
        <f t="shared" si="1"/>
        <v>D9E64214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D9EFC43C</v>
      </c>
      <c r="Y33" t="str">
        <f t="shared" si="0"/>
        <v>0xD9EFC43C,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J20" sqref="J2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12</v>
      </c>
      <c r="E3" s="4">
        <v>12</v>
      </c>
      <c r="F3" s="4">
        <v>31</v>
      </c>
      <c r="G3" s="4">
        <v>12</v>
      </c>
      <c r="H3" s="4">
        <v>31</v>
      </c>
      <c r="I3" s="4">
        <v>12</v>
      </c>
      <c r="J3" s="4">
        <v>31</v>
      </c>
      <c r="K3" s="4">
        <v>12</v>
      </c>
      <c r="L3" s="4">
        <v>31</v>
      </c>
      <c r="M3" s="4">
        <v>12</v>
      </c>
      <c r="N3" s="4">
        <v>31</v>
      </c>
      <c r="O3" s="4">
        <v>12</v>
      </c>
      <c r="P3" s="4">
        <v>31</v>
      </c>
      <c r="Q3" s="4">
        <v>31</v>
      </c>
      <c r="R3" s="4">
        <v>31</v>
      </c>
      <c r="S3" s="4">
        <v>31</v>
      </c>
      <c r="V3" s="23"/>
      <c r="W3" s="17">
        <v>40348064</v>
      </c>
      <c r="X3" s="24" t="str">
        <f>S33</f>
        <v>FFEE4136</v>
      </c>
      <c r="Y3" t="str">
        <f t="shared" si="0"/>
        <v>0xFFEE4136,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FFEE4196</v>
      </c>
      <c r="Y5" t="str">
        <f t="shared" si="0"/>
        <v>0xFFEE4196,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FFEE4216</v>
      </c>
      <c r="Y7" t="str">
        <f t="shared" si="0"/>
        <v>0xFFEE4216,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FFEE812F</v>
      </c>
      <c r="Y9" t="str">
        <f t="shared" si="0"/>
        <v>0xFFEE812F,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36</v>
      </c>
      <c r="E10" s="6">
        <v>38</v>
      </c>
      <c r="F10" s="6" t="s">
        <v>216</v>
      </c>
      <c r="G10" s="6">
        <v>29</v>
      </c>
      <c r="H10" s="6" t="s">
        <v>217</v>
      </c>
      <c r="I10" s="6">
        <v>21</v>
      </c>
      <c r="J10" s="6" t="s">
        <v>114</v>
      </c>
      <c r="K10" s="6">
        <v>16</v>
      </c>
      <c r="L10" s="6">
        <v>18</v>
      </c>
      <c r="M10" s="6">
        <v>12</v>
      </c>
      <c r="N10" s="6" t="s">
        <v>196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17</v>
      </c>
      <c r="E11" s="5">
        <v>26</v>
      </c>
      <c r="F11" s="5">
        <v>22</v>
      </c>
      <c r="G11" s="5">
        <v>6</v>
      </c>
      <c r="H11" s="5">
        <v>16</v>
      </c>
      <c r="I11" s="5">
        <v>10</v>
      </c>
      <c r="J11" s="5">
        <v>16</v>
      </c>
      <c r="K11" s="5">
        <v>14</v>
      </c>
      <c r="L11" s="5">
        <v>24</v>
      </c>
      <c r="M11" s="5">
        <v>30</v>
      </c>
      <c r="N11" s="5">
        <v>18</v>
      </c>
      <c r="O11" s="5">
        <v>7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D9EE81A7</v>
      </c>
      <c r="Y11" t="str">
        <f t="shared" si="0"/>
        <v>0xD9EE81A7,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FFEEC1D2</v>
      </c>
      <c r="Y13" t="str">
        <f t="shared" si="0"/>
        <v>0xFFEEC1D2,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D9EF019E</v>
      </c>
      <c r="Y15" t="str">
        <f t="shared" si="0"/>
        <v>0xD9EF019E,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3">
        <v>20</v>
      </c>
      <c r="G17" s="4" t="s">
        <v>160</v>
      </c>
      <c r="H17" s="3">
        <v>20</v>
      </c>
      <c r="I17" s="4" t="s">
        <v>160</v>
      </c>
      <c r="J17" s="3">
        <v>20</v>
      </c>
      <c r="K17" s="4" t="s">
        <v>160</v>
      </c>
      <c r="L17" s="3">
        <v>20</v>
      </c>
      <c r="M17" s="4" t="s">
        <v>160</v>
      </c>
      <c r="N17" s="3">
        <v>20</v>
      </c>
      <c r="O17" s="4" t="s">
        <v>160</v>
      </c>
      <c r="P17" s="3">
        <v>20</v>
      </c>
      <c r="Q17" s="4" t="s">
        <v>160</v>
      </c>
      <c r="R17" s="3">
        <v>20</v>
      </c>
      <c r="S17" s="4" t="s">
        <v>160</v>
      </c>
      <c r="V17" s="23"/>
      <c r="W17" s="17">
        <v>40348064</v>
      </c>
      <c r="X17" s="24" t="str">
        <f>L33</f>
        <v>FFEF0258</v>
      </c>
      <c r="Y17" t="str">
        <f t="shared" si="0"/>
        <v>0xFFEF0258,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D9EF420E</v>
      </c>
      <c r="Y19" t="str">
        <f t="shared" si="0"/>
        <v>0xD9EF420E,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FFEF82B0</v>
      </c>
      <c r="Y21" t="str">
        <f t="shared" si="0"/>
        <v>0xFFEF82B0,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D9EF82AA</v>
      </c>
      <c r="Y23" t="str">
        <f t="shared" si="0"/>
        <v>0xD9EF82AA,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FFEF8390</v>
      </c>
      <c r="Y25" t="str">
        <f t="shared" si="0"/>
        <v>0xFFEF8390,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D9EFC3A6</v>
      </c>
      <c r="Y27" t="str">
        <f t="shared" si="0"/>
        <v>0xD9EFC3A6,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FFEFC516</v>
      </c>
      <c r="Y29" t="str">
        <f t="shared" si="0"/>
        <v>0xFFEFC516,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D9EFC4DA</v>
      </c>
      <c r="Y31" t="str">
        <f t="shared" si="0"/>
        <v>0xD9EFC4DA,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D9EFC491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D9EFC4DA</v>
      </c>
      <c r="F33" s="13" t="str">
        <f t="shared" si="1"/>
        <v>FFEFC516</v>
      </c>
      <c r="G33" s="13" t="str">
        <f t="shared" si="1"/>
        <v>D9EFC3A6</v>
      </c>
      <c r="H33" s="13" t="str">
        <f t="shared" si="1"/>
        <v>FFEF8390</v>
      </c>
      <c r="I33" s="13" t="str">
        <f t="shared" si="1"/>
        <v>D9EF82AA</v>
      </c>
      <c r="J33" s="13" t="str">
        <f t="shared" si="1"/>
        <v>FFEF82B0</v>
      </c>
      <c r="K33" s="13" t="str">
        <f t="shared" si="1"/>
        <v>D9EF420E</v>
      </c>
      <c r="L33" s="13" t="str">
        <f t="shared" si="1"/>
        <v>FFEF0258</v>
      </c>
      <c r="M33" s="13" t="str">
        <f t="shared" si="1"/>
        <v>D9EF019E</v>
      </c>
      <c r="N33" s="13" t="str">
        <f t="shared" si="1"/>
        <v>FFEEC1D2</v>
      </c>
      <c r="O33" s="13" t="str">
        <f t="shared" si="1"/>
        <v>D9EE81A7</v>
      </c>
      <c r="P33" s="13" t="str">
        <f t="shared" si="1"/>
        <v>FFEE812F</v>
      </c>
      <c r="Q33" s="13" t="str">
        <f t="shared" si="1"/>
        <v>FFEE4216</v>
      </c>
      <c r="R33" s="13" t="str">
        <f t="shared" si="1"/>
        <v>FFEE4196</v>
      </c>
      <c r="S33" s="13" t="str">
        <f t="shared" si="1"/>
        <v>FFEE4136</v>
      </c>
      <c r="V33" s="22"/>
      <c r="W33" s="17">
        <v>40348064</v>
      </c>
      <c r="X33" s="24" t="str">
        <f>D33</f>
        <v>D9EFC491</v>
      </c>
      <c r="Y33" t="str">
        <f t="shared" si="0"/>
        <v>0xD9EFC491,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3" sqref="A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12</v>
      </c>
      <c r="E3" s="4">
        <v>12</v>
      </c>
      <c r="F3" s="4">
        <v>12</v>
      </c>
      <c r="G3" s="4">
        <v>12</v>
      </c>
      <c r="H3" s="4" t="s">
        <v>161</v>
      </c>
      <c r="I3" s="4">
        <v>12</v>
      </c>
      <c r="J3" s="4">
        <v>12</v>
      </c>
      <c r="K3" s="4">
        <v>12</v>
      </c>
      <c r="L3" s="4" t="s">
        <v>161</v>
      </c>
      <c r="M3" s="4">
        <v>12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>
        <v>3</v>
      </c>
      <c r="F6" s="4" t="s">
        <v>82</v>
      </c>
      <c r="G6" s="4" t="s">
        <v>82</v>
      </c>
      <c r="H6" s="4" t="s">
        <v>82</v>
      </c>
      <c r="I6" s="4" t="s">
        <v>82</v>
      </c>
      <c r="J6" s="4">
        <v>3</v>
      </c>
      <c r="K6" s="4" t="s">
        <v>82</v>
      </c>
      <c r="L6" s="4" t="s">
        <v>82</v>
      </c>
      <c r="M6" s="4" t="s">
        <v>82</v>
      </c>
      <c r="N6" s="4" t="s">
        <v>82</v>
      </c>
      <c r="O6" s="4">
        <v>3</v>
      </c>
      <c r="P6" s="4" t="s">
        <v>82</v>
      </c>
      <c r="Q6" s="4" t="s">
        <v>82</v>
      </c>
      <c r="R6" s="4" t="s">
        <v>82</v>
      </c>
      <c r="S6" s="4" t="s">
        <v>82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 t="s">
        <v>129</v>
      </c>
      <c r="G7" s="4" t="s">
        <v>129</v>
      </c>
      <c r="H7" s="4" t="s">
        <v>108</v>
      </c>
      <c r="I7" s="4" t="s">
        <v>205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32</v>
      </c>
      <c r="E10" s="5">
        <v>52</v>
      </c>
      <c r="F10" s="6">
        <v>24</v>
      </c>
      <c r="G10" s="6">
        <v>19</v>
      </c>
      <c r="H10" s="6" t="s">
        <v>218</v>
      </c>
      <c r="I10" s="6">
        <v>16</v>
      </c>
      <c r="J10" s="5">
        <v>21</v>
      </c>
      <c r="K10" s="6">
        <v>13</v>
      </c>
      <c r="L10" s="5" t="s">
        <v>213</v>
      </c>
      <c r="M10" s="6">
        <v>13</v>
      </c>
      <c r="N10" s="5" t="s">
        <v>214</v>
      </c>
      <c r="O10" s="6">
        <v>17</v>
      </c>
      <c r="P10" s="5" t="s">
        <v>78</v>
      </c>
      <c r="Q10" s="5" t="s">
        <v>204</v>
      </c>
      <c r="R10" s="5" t="s">
        <v>215</v>
      </c>
      <c r="S10" s="5" t="s">
        <v>108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23</v>
      </c>
      <c r="E11" s="5">
        <v>20</v>
      </c>
      <c r="F11" s="5">
        <v>21</v>
      </c>
      <c r="G11" s="5">
        <v>22</v>
      </c>
      <c r="H11" s="5" t="s">
        <v>202</v>
      </c>
      <c r="I11" s="5">
        <v>29</v>
      </c>
      <c r="J11" s="5">
        <v>28</v>
      </c>
      <c r="K11" s="5">
        <v>30</v>
      </c>
      <c r="L11" s="5" t="s">
        <v>206</v>
      </c>
      <c r="M11" s="5">
        <v>21</v>
      </c>
      <c r="N11" s="5" t="s">
        <v>160</v>
      </c>
      <c r="O11" s="5">
        <v>4</v>
      </c>
      <c r="P11" s="5" t="s">
        <v>215</v>
      </c>
      <c r="Q11" s="5" t="s">
        <v>213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D9E64224</v>
      </c>
      <c r="Y11" t="str">
        <f t="shared" si="0"/>
        <v>0xD9E64224,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D9E681B5</v>
      </c>
      <c r="Y15" t="str">
        <f t="shared" si="0"/>
        <v>0xD9E681B5,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D9E701BE</v>
      </c>
      <c r="Y19" t="str">
        <f t="shared" si="0"/>
        <v>0xD9E701BE,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D9E7421D</v>
      </c>
      <c r="Y23" t="str">
        <f t="shared" si="0"/>
        <v>0xD9E7421D,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D9E78276</v>
      </c>
      <c r="Y25" t="str">
        <f t="shared" si="0"/>
        <v>0xD9E78276,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D9E7C276</v>
      </c>
      <c r="Y27" t="str">
        <f t="shared" si="0"/>
        <v>0xD9E7C276,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D9E7C315</v>
      </c>
      <c r="Y29" t="str">
        <f t="shared" si="0"/>
        <v>0xD9E7C315,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D9EFC417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D9E7C315</v>
      </c>
      <c r="G33" s="13" t="str">
        <f t="shared" si="1"/>
        <v>D9E7C276</v>
      </c>
      <c r="H33" s="13" t="str">
        <f t="shared" si="1"/>
        <v>D9E78276</v>
      </c>
      <c r="I33" s="13" t="str">
        <f t="shared" si="1"/>
        <v>D9E7421D</v>
      </c>
      <c r="J33" s="13" t="str">
        <f t="shared" si="1"/>
        <v>D9E702BC</v>
      </c>
      <c r="K33" s="13" t="str">
        <f t="shared" si="1"/>
        <v>D9E701BE</v>
      </c>
      <c r="L33" s="13" t="str">
        <f t="shared" si="1"/>
        <v>D9E6825A</v>
      </c>
      <c r="M33" s="13" t="str">
        <f t="shared" si="1"/>
        <v>D9E681B5</v>
      </c>
      <c r="N33" s="13" t="str">
        <f t="shared" si="1"/>
        <v>D9E64334</v>
      </c>
      <c r="O33" s="13" t="str">
        <f t="shared" si="1"/>
        <v>D9E64224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D9EFC417</v>
      </c>
      <c r="Y33" t="str">
        <f t="shared" si="0"/>
        <v>0xD9EFC417,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23" sqref="F2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10</v>
      </c>
      <c r="E3" s="4" t="s">
        <v>161</v>
      </c>
      <c r="F3" s="4">
        <v>10</v>
      </c>
      <c r="G3" s="4">
        <v>10</v>
      </c>
      <c r="H3" s="4" t="s">
        <v>161</v>
      </c>
      <c r="I3" s="4">
        <v>10</v>
      </c>
      <c r="J3" s="4">
        <v>12</v>
      </c>
      <c r="K3" s="4">
        <v>10</v>
      </c>
      <c r="L3" s="4" t="s">
        <v>161</v>
      </c>
      <c r="M3" s="4">
        <v>10</v>
      </c>
      <c r="N3" s="4" t="s">
        <v>161</v>
      </c>
      <c r="O3" s="4">
        <v>10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 t="s">
        <v>74</v>
      </c>
      <c r="F6" s="4" t="s">
        <v>74</v>
      </c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 t="s">
        <v>108</v>
      </c>
      <c r="I7" s="4" t="s">
        <v>205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 t="s">
        <v>219</v>
      </c>
      <c r="F10" s="6">
        <v>24</v>
      </c>
      <c r="G10" s="6">
        <v>19</v>
      </c>
      <c r="H10" s="5" t="s">
        <v>202</v>
      </c>
      <c r="I10" s="6">
        <v>16</v>
      </c>
      <c r="J10" s="5">
        <v>21</v>
      </c>
      <c r="K10" s="6">
        <v>13</v>
      </c>
      <c r="L10" s="5" t="s">
        <v>213</v>
      </c>
      <c r="M10" s="6">
        <v>13</v>
      </c>
      <c r="N10" s="5" t="s">
        <v>214</v>
      </c>
      <c r="O10" s="6">
        <v>16</v>
      </c>
      <c r="P10" s="5" t="s">
        <v>78</v>
      </c>
      <c r="Q10" s="5" t="s">
        <v>204</v>
      </c>
      <c r="R10" s="5" t="s">
        <v>215</v>
      </c>
      <c r="S10" s="5" t="s">
        <v>108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26</v>
      </c>
      <c r="E11" s="5" t="s">
        <v>160</v>
      </c>
      <c r="F11" s="5">
        <v>20</v>
      </c>
      <c r="G11" s="5">
        <v>19</v>
      </c>
      <c r="H11" s="5" t="s">
        <v>202</v>
      </c>
      <c r="I11" s="5">
        <v>26</v>
      </c>
      <c r="J11" s="5">
        <v>28</v>
      </c>
      <c r="K11" s="5">
        <v>26</v>
      </c>
      <c r="L11" s="5" t="s">
        <v>206</v>
      </c>
      <c r="M11" s="5">
        <v>19</v>
      </c>
      <c r="N11" s="5" t="s">
        <v>160</v>
      </c>
      <c r="O11" s="5">
        <v>14</v>
      </c>
      <c r="P11" s="5" t="s">
        <v>215</v>
      </c>
      <c r="Q11" s="5" t="s">
        <v>213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D5E0420E</v>
      </c>
      <c r="Y11" t="str">
        <f t="shared" si="0"/>
        <v>0xD5E0420E,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3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3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D5E081B3</v>
      </c>
      <c r="Y15" t="str">
        <f t="shared" si="0"/>
        <v>0xD5E081B3,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D5E101BA</v>
      </c>
      <c r="Y19" t="str">
        <f t="shared" si="0"/>
        <v>0xD5E101BA,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D5E1421A</v>
      </c>
      <c r="Y23" t="str">
        <f t="shared" si="0"/>
        <v>0xD5E1421A,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D5E1C273</v>
      </c>
      <c r="Y27" t="str">
        <f t="shared" si="0"/>
        <v>0xD5E1C273,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D5E1C314</v>
      </c>
      <c r="Y29" t="str">
        <f t="shared" si="0"/>
        <v>0xD5E1C314,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D5EFC43A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D5E1C314</v>
      </c>
      <c r="G33" s="13" t="str">
        <f t="shared" si="1"/>
        <v>D5E1C273</v>
      </c>
      <c r="H33" s="13" t="str">
        <f t="shared" si="1"/>
        <v>D9E182D6</v>
      </c>
      <c r="I33" s="13" t="str">
        <f t="shared" si="1"/>
        <v>D5E1421A</v>
      </c>
      <c r="J33" s="13" t="str">
        <f t="shared" si="1"/>
        <v>D9E102BC</v>
      </c>
      <c r="K33" s="13" t="str">
        <f t="shared" si="1"/>
        <v>D5E101BA</v>
      </c>
      <c r="L33" s="13" t="str">
        <f t="shared" si="1"/>
        <v>D9E0825A</v>
      </c>
      <c r="M33" s="13" t="str">
        <f t="shared" si="1"/>
        <v>D5E081B3</v>
      </c>
      <c r="N33" s="13" t="str">
        <f t="shared" si="1"/>
        <v>D9E04334</v>
      </c>
      <c r="O33" s="13" t="str">
        <f t="shared" si="1"/>
        <v>D5E0420E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D5EFC43A</v>
      </c>
      <c r="Y33" t="str">
        <f t="shared" si="0"/>
        <v>0xD5EFC43A,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10</v>
      </c>
      <c r="E3" s="4">
        <v>10</v>
      </c>
      <c r="F3" s="4">
        <v>26</v>
      </c>
      <c r="G3" s="4">
        <v>10</v>
      </c>
      <c r="H3" s="4">
        <v>26</v>
      </c>
      <c r="I3" s="4">
        <v>10</v>
      </c>
      <c r="J3" s="4" t="s">
        <v>206</v>
      </c>
      <c r="K3" s="4">
        <v>10</v>
      </c>
      <c r="L3" s="4" t="s">
        <v>206</v>
      </c>
      <c r="M3" s="4">
        <v>10</v>
      </c>
      <c r="N3" s="4" t="s">
        <v>206</v>
      </c>
      <c r="O3" s="4">
        <v>10</v>
      </c>
      <c r="P3" s="4" t="s">
        <v>206</v>
      </c>
      <c r="Q3" s="4" t="s">
        <v>206</v>
      </c>
      <c r="R3" s="4" t="s">
        <v>206</v>
      </c>
      <c r="S3" s="4" t="s">
        <v>206</v>
      </c>
      <c r="V3" s="23"/>
      <c r="W3" s="17">
        <v>40348064</v>
      </c>
      <c r="X3" s="24" t="str">
        <f>S33</f>
        <v>F5EE4136</v>
      </c>
      <c r="Y3" t="str">
        <f t="shared" si="0"/>
        <v>0xF5EE4136,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F5EE4196</v>
      </c>
      <c r="Y5" t="str">
        <f t="shared" si="0"/>
        <v>0xF5EE4196,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F5EE4216</v>
      </c>
      <c r="Y7" t="str">
        <f t="shared" si="0"/>
        <v>0xF5EE4216,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F5EE812F</v>
      </c>
      <c r="Y9" t="str">
        <f t="shared" si="0"/>
        <v>0xF5EE812F,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37</v>
      </c>
      <c r="E10" s="6">
        <v>38</v>
      </c>
      <c r="F10" s="5">
        <v>59</v>
      </c>
      <c r="G10" s="6">
        <v>26</v>
      </c>
      <c r="H10" s="5">
        <v>35</v>
      </c>
      <c r="I10" s="6">
        <v>20</v>
      </c>
      <c r="J10" s="5">
        <v>19</v>
      </c>
      <c r="K10" s="6">
        <v>15</v>
      </c>
      <c r="L10" s="5">
        <v>18</v>
      </c>
      <c r="M10" s="6">
        <v>13</v>
      </c>
      <c r="N10" s="5">
        <v>10</v>
      </c>
      <c r="O10" s="6">
        <v>11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23</v>
      </c>
      <c r="E11" s="5">
        <v>19</v>
      </c>
      <c r="F11" s="5">
        <v>22</v>
      </c>
      <c r="G11" s="5">
        <v>28</v>
      </c>
      <c r="H11" s="5">
        <v>16</v>
      </c>
      <c r="I11" s="5">
        <v>10</v>
      </c>
      <c r="J11" s="5">
        <v>16</v>
      </c>
      <c r="K11" s="5">
        <v>18</v>
      </c>
      <c r="L11" s="5">
        <v>24</v>
      </c>
      <c r="M11" s="5">
        <v>4</v>
      </c>
      <c r="N11" s="5">
        <v>18</v>
      </c>
      <c r="O11" s="5">
        <v>26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D5EE817A</v>
      </c>
      <c r="Y11" t="str">
        <f t="shared" si="0"/>
        <v>0xD5EE817A,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F5EEC152</v>
      </c>
      <c r="Y13" t="str">
        <f t="shared" si="0"/>
        <v>0xF5EEC152,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D5EF01A4</v>
      </c>
      <c r="Y15" t="str">
        <f t="shared" si="0"/>
        <v>0xD5EF01A4,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F5EF0258</v>
      </c>
      <c r="Y17" t="str">
        <f t="shared" si="0"/>
        <v>0xF5EF0258,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D5EF41F2</v>
      </c>
      <c r="Y19" t="str">
        <f t="shared" si="0"/>
        <v>0xD5EF41F2,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F5EF8270</v>
      </c>
      <c r="Y21" t="str">
        <f t="shared" si="0"/>
        <v>0xF5EF8270,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D5EF828A</v>
      </c>
      <c r="Y23" t="str">
        <f t="shared" si="0"/>
        <v>0xD5EF828A,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F5EF8470</v>
      </c>
      <c r="Y25" t="str">
        <f t="shared" si="0"/>
        <v>0xF5EF8470,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D5EFC35C</v>
      </c>
      <c r="Y27" t="str">
        <f t="shared" si="0"/>
        <v>0xD5EFC35C,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F5EFC776</v>
      </c>
      <c r="Y29" t="str">
        <f t="shared" si="0"/>
        <v>0xF5EFC776,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D5EFC4D3</v>
      </c>
      <c r="Y31" t="str">
        <f t="shared" si="0"/>
        <v>0xD5EFC4D3,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D5EFC4B7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D5EFC4D3</v>
      </c>
      <c r="F33" s="13" t="str">
        <f t="shared" si="1"/>
        <v>F5EFC776</v>
      </c>
      <c r="G33" s="13" t="str">
        <f t="shared" si="1"/>
        <v>D5EFC35C</v>
      </c>
      <c r="H33" s="13" t="str">
        <f t="shared" si="1"/>
        <v>F5EF8470</v>
      </c>
      <c r="I33" s="13" t="str">
        <f t="shared" si="1"/>
        <v>D5EF828A</v>
      </c>
      <c r="J33" s="13" t="str">
        <f t="shared" si="1"/>
        <v>F5EF8270</v>
      </c>
      <c r="K33" s="13" t="str">
        <f t="shared" si="1"/>
        <v>D5EF41F2</v>
      </c>
      <c r="L33" s="13" t="str">
        <f t="shared" si="1"/>
        <v>F5EF0258</v>
      </c>
      <c r="M33" s="13" t="str">
        <f t="shared" si="1"/>
        <v>D5EF01A4</v>
      </c>
      <c r="N33" s="13" t="str">
        <f t="shared" si="1"/>
        <v>F5EEC152</v>
      </c>
      <c r="O33" s="13" t="str">
        <f t="shared" si="1"/>
        <v>D5EE817A</v>
      </c>
      <c r="P33" s="13" t="str">
        <f t="shared" si="1"/>
        <v>F5EE812F</v>
      </c>
      <c r="Q33" s="13" t="str">
        <f t="shared" si="1"/>
        <v>F5EE4216</v>
      </c>
      <c r="R33" s="13" t="str">
        <f t="shared" si="1"/>
        <v>F5EE4196</v>
      </c>
      <c r="S33" s="13" t="str">
        <f t="shared" si="1"/>
        <v>F5EE4136</v>
      </c>
      <c r="V33" s="22"/>
      <c r="W33" s="17">
        <v>40348064</v>
      </c>
      <c r="X33" s="24" t="str">
        <f>D33</f>
        <v>D5EFC4B7</v>
      </c>
      <c r="Y33" t="str">
        <f t="shared" si="0"/>
        <v>0xD5EFC4B7,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6" sqref="$A6:$XFD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10</v>
      </c>
      <c r="E3" s="4" t="s">
        <v>161</v>
      </c>
      <c r="F3" s="4">
        <v>10</v>
      </c>
      <c r="G3" s="4">
        <v>10</v>
      </c>
      <c r="H3" s="4" t="s">
        <v>161</v>
      </c>
      <c r="I3" s="4">
        <v>10</v>
      </c>
      <c r="J3" s="4">
        <v>12</v>
      </c>
      <c r="K3" s="4">
        <v>10</v>
      </c>
      <c r="L3" s="4" t="s">
        <v>161</v>
      </c>
      <c r="M3" s="4">
        <v>10</v>
      </c>
      <c r="N3" s="4" t="s">
        <v>161</v>
      </c>
      <c r="O3" s="4">
        <v>10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211</v>
      </c>
      <c r="B6" s="3">
        <v>52</v>
      </c>
      <c r="C6" s="3">
        <v>49</v>
      </c>
      <c r="D6" s="3">
        <v>7</v>
      </c>
      <c r="E6" s="4" t="s">
        <v>74</v>
      </c>
      <c r="F6" s="4" t="s">
        <v>74</v>
      </c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 t="s">
        <v>108</v>
      </c>
      <c r="I7" s="4" t="s">
        <v>205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 t="s">
        <v>219</v>
      </c>
      <c r="F10" s="6">
        <v>23</v>
      </c>
      <c r="G10" s="6">
        <v>18</v>
      </c>
      <c r="H10" s="5" t="s">
        <v>202</v>
      </c>
      <c r="I10" s="6">
        <v>16</v>
      </c>
      <c r="J10" s="5">
        <v>21</v>
      </c>
      <c r="K10" s="6">
        <v>13</v>
      </c>
      <c r="L10" s="5" t="s">
        <v>213</v>
      </c>
      <c r="M10" s="6">
        <v>13</v>
      </c>
      <c r="N10" s="5" t="s">
        <v>214</v>
      </c>
      <c r="O10" s="6">
        <v>16</v>
      </c>
      <c r="P10" s="5" t="s">
        <v>78</v>
      </c>
      <c r="Q10" s="5" t="s">
        <v>204</v>
      </c>
      <c r="R10" s="5" t="s">
        <v>215</v>
      </c>
      <c r="S10" s="5" t="s">
        <v>108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19</v>
      </c>
      <c r="E11" s="5" t="s">
        <v>160</v>
      </c>
      <c r="F11" s="5">
        <v>28</v>
      </c>
      <c r="G11" s="5">
        <v>30</v>
      </c>
      <c r="H11" s="5" t="s">
        <v>202</v>
      </c>
      <c r="I11" s="5">
        <v>25</v>
      </c>
      <c r="J11" s="5">
        <v>28</v>
      </c>
      <c r="K11" s="5">
        <v>27</v>
      </c>
      <c r="L11" s="5" t="s">
        <v>206</v>
      </c>
      <c r="M11" s="5">
        <v>17</v>
      </c>
      <c r="N11" s="5" t="s">
        <v>160</v>
      </c>
      <c r="O11" s="5">
        <v>12</v>
      </c>
      <c r="P11" s="5" t="s">
        <v>215</v>
      </c>
      <c r="Q11" s="5" t="s">
        <v>213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D5E0420C</v>
      </c>
      <c r="Y11" t="str">
        <f t="shared" si="0"/>
        <v>0xD5E0420C,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D5E081B1</v>
      </c>
      <c r="Y15" t="str">
        <f t="shared" si="0"/>
        <v>0xD5E081B1,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D5E101BB</v>
      </c>
      <c r="Y19" t="str">
        <f t="shared" si="0"/>
        <v>0xD5E101BB,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D5E14219</v>
      </c>
      <c r="Y23" t="str">
        <f t="shared" si="0"/>
        <v>0xD5E14219,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D5E1C25E</v>
      </c>
      <c r="Y27" t="str">
        <f t="shared" si="0"/>
        <v>0xD5E1C25E,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D5E1C2FC</v>
      </c>
      <c r="Y29" t="str">
        <f t="shared" si="0"/>
        <v>0xD5E1C2FC,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D5EFC433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D5E1C2FC</v>
      </c>
      <c r="G33" s="13" t="str">
        <f t="shared" si="1"/>
        <v>D5E1C25E</v>
      </c>
      <c r="H33" s="13" t="str">
        <f t="shared" si="1"/>
        <v>D9E182D6</v>
      </c>
      <c r="I33" s="13" t="str">
        <f t="shared" si="1"/>
        <v>D5E14219</v>
      </c>
      <c r="J33" s="13" t="str">
        <f t="shared" si="1"/>
        <v>D9E102BC</v>
      </c>
      <c r="K33" s="13" t="str">
        <f t="shared" si="1"/>
        <v>D5E101BB</v>
      </c>
      <c r="L33" s="13" t="str">
        <f t="shared" si="1"/>
        <v>D9E0825A</v>
      </c>
      <c r="M33" s="13" t="str">
        <f t="shared" si="1"/>
        <v>D5E081B1</v>
      </c>
      <c r="N33" s="13" t="str">
        <f t="shared" si="1"/>
        <v>D9E04334</v>
      </c>
      <c r="O33" s="13" t="str">
        <f t="shared" si="1"/>
        <v>D5E0420C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D5EFC433</v>
      </c>
      <c r="Y33" t="str">
        <f t="shared" si="0"/>
        <v>0xD5EFC433,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7</v>
      </c>
      <c r="E3" s="4">
        <v>0</v>
      </c>
      <c r="F3" s="4">
        <v>7</v>
      </c>
      <c r="G3" s="4">
        <v>7</v>
      </c>
      <c r="H3" s="4">
        <v>16</v>
      </c>
      <c r="I3" s="4">
        <v>7</v>
      </c>
      <c r="J3" s="4" t="s">
        <v>220</v>
      </c>
      <c r="K3" s="4">
        <v>7</v>
      </c>
      <c r="L3" s="4" t="s">
        <v>220</v>
      </c>
      <c r="M3" s="4">
        <v>7</v>
      </c>
      <c r="N3" s="4" t="s">
        <v>220</v>
      </c>
      <c r="O3" s="4">
        <v>7</v>
      </c>
      <c r="P3" s="4" t="s">
        <v>220</v>
      </c>
      <c r="Q3" s="4" t="s">
        <v>220</v>
      </c>
      <c r="R3" s="4" t="s">
        <v>220</v>
      </c>
      <c r="S3" s="4" t="s">
        <v>220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35</v>
      </c>
      <c r="E10" s="5">
        <v>63</v>
      </c>
      <c r="F10" s="6">
        <v>31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11</v>
      </c>
      <c r="N10" s="5">
        <v>10</v>
      </c>
      <c r="O10" s="4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16</v>
      </c>
      <c r="H11" s="5">
        <v>16</v>
      </c>
      <c r="I11" s="5">
        <v>11</v>
      </c>
      <c r="J11" s="5">
        <v>16</v>
      </c>
      <c r="K11" s="5">
        <v>7</v>
      </c>
      <c r="L11" s="5">
        <v>24</v>
      </c>
      <c r="M11" s="5">
        <v>29</v>
      </c>
      <c r="N11" s="5">
        <v>18</v>
      </c>
      <c r="O11" s="5">
        <v>4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CFEE8184</v>
      </c>
      <c r="Y11" t="str">
        <f t="shared" si="0"/>
        <v>0xCFEE8184,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CFEF017D</v>
      </c>
      <c r="Y15" t="str">
        <f t="shared" si="0"/>
        <v>0xCFEF017D,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CFEF41E7</v>
      </c>
      <c r="Y19" t="str">
        <f t="shared" si="0"/>
        <v>0xCFEF41E7,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CFEF826B</v>
      </c>
      <c r="Y23" t="str">
        <f t="shared" si="0"/>
        <v>0xCFEF826B,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CFEFC330</v>
      </c>
      <c r="Y27" t="str">
        <f t="shared" si="0"/>
        <v>0xCFEFC330,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CFEFC3FE</v>
      </c>
      <c r="Y29" t="str">
        <f t="shared" si="0"/>
        <v>0xCFEFC3FE,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CFE1C479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CFEFC3FE</v>
      </c>
      <c r="G33" s="13" t="str">
        <f t="shared" si="1"/>
        <v>CFEFC330</v>
      </c>
      <c r="H33" s="13" t="str">
        <f t="shared" si="1"/>
        <v>E1EF8470</v>
      </c>
      <c r="I33" s="13" t="str">
        <f t="shared" si="1"/>
        <v>CFEF826B</v>
      </c>
      <c r="J33" s="13" t="str">
        <f t="shared" si="1"/>
        <v>E1EF8270</v>
      </c>
      <c r="K33" s="13" t="str">
        <f t="shared" si="1"/>
        <v>CFEF41E7</v>
      </c>
      <c r="L33" s="13" t="str">
        <f t="shared" si="1"/>
        <v>E1EF0258</v>
      </c>
      <c r="M33" s="13" t="str">
        <f t="shared" si="1"/>
        <v>CFEF017D</v>
      </c>
      <c r="N33" s="13" t="str">
        <f t="shared" si="1"/>
        <v>E1EEC152</v>
      </c>
      <c r="O33" s="13" t="str">
        <f t="shared" si="1"/>
        <v>CFEE8184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CFE1C479</v>
      </c>
      <c r="Y33" t="str">
        <f t="shared" si="0"/>
        <v>0xCFE1C479,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opLeftCell="A4" workbookViewId="0">
      <selection activeCell="A6" sqref="$A6:$XFD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7</v>
      </c>
      <c r="E3" s="4">
        <v>7</v>
      </c>
      <c r="F3" s="4">
        <v>16</v>
      </c>
      <c r="G3" s="4">
        <v>7</v>
      </c>
      <c r="H3" s="4">
        <v>16</v>
      </c>
      <c r="I3" s="4">
        <v>7</v>
      </c>
      <c r="J3" s="4" t="s">
        <v>220</v>
      </c>
      <c r="K3" s="4">
        <v>7</v>
      </c>
      <c r="L3" s="4" t="s">
        <v>220</v>
      </c>
      <c r="M3" s="4">
        <v>7</v>
      </c>
      <c r="N3" s="4" t="s">
        <v>220</v>
      </c>
      <c r="O3" s="4">
        <v>7</v>
      </c>
      <c r="P3" s="4" t="s">
        <v>220</v>
      </c>
      <c r="Q3" s="4" t="s">
        <v>220</v>
      </c>
      <c r="R3" s="4" t="s">
        <v>220</v>
      </c>
      <c r="S3" s="4" t="s">
        <v>220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39</v>
      </c>
      <c r="E10" s="6">
        <v>41</v>
      </c>
      <c r="F10" s="5">
        <v>59</v>
      </c>
      <c r="G10" s="6">
        <v>27</v>
      </c>
      <c r="H10" s="5">
        <v>35</v>
      </c>
      <c r="I10" s="6">
        <v>20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17</v>
      </c>
      <c r="E11" s="5">
        <v>13</v>
      </c>
      <c r="F11" s="5">
        <v>22</v>
      </c>
      <c r="G11" s="5">
        <v>16</v>
      </c>
      <c r="H11" s="5">
        <v>16</v>
      </c>
      <c r="I11" s="5">
        <v>10</v>
      </c>
      <c r="J11" s="5">
        <v>16</v>
      </c>
      <c r="K11" s="5">
        <v>2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CFEE818A</v>
      </c>
      <c r="Y11" t="str">
        <f t="shared" si="0"/>
        <v>0xCFEE818A,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CFEF0194</v>
      </c>
      <c r="Y15" t="str">
        <f t="shared" si="0"/>
        <v>0xCFEF0194,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CFEF4202</v>
      </c>
      <c r="Y19" t="str">
        <f t="shared" si="0"/>
        <v>0xCFEF4202,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CFEF828A</v>
      </c>
      <c r="Y23" t="str">
        <f t="shared" si="0"/>
        <v>0xCFEF828A,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CFEFC370</v>
      </c>
      <c r="Y27" t="str">
        <f t="shared" si="0"/>
        <v>0xCFEFC370,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E1EFC776</v>
      </c>
      <c r="Y29" t="str">
        <f t="shared" si="0"/>
        <v>0xE1EFC776,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CFEBC52D</v>
      </c>
      <c r="Y31" t="str">
        <f t="shared" si="0"/>
        <v>0xCFEBC52D,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CFE1C4F1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CFEBC52D</v>
      </c>
      <c r="F33" s="13" t="str">
        <f t="shared" si="1"/>
        <v>E1EFC776</v>
      </c>
      <c r="G33" s="13" t="str">
        <f t="shared" si="1"/>
        <v>CFEFC370</v>
      </c>
      <c r="H33" s="13" t="str">
        <f t="shared" si="1"/>
        <v>E1EF8470</v>
      </c>
      <c r="I33" s="13" t="str">
        <f t="shared" si="1"/>
        <v>CFEF828A</v>
      </c>
      <c r="J33" s="13" t="str">
        <f t="shared" si="1"/>
        <v>E1EF8270</v>
      </c>
      <c r="K33" s="13" t="str">
        <f t="shared" si="1"/>
        <v>CFEF4202</v>
      </c>
      <c r="L33" s="13" t="str">
        <f t="shared" si="1"/>
        <v>E1EF0258</v>
      </c>
      <c r="M33" s="13" t="str">
        <f t="shared" si="1"/>
        <v>CFEF0194</v>
      </c>
      <c r="N33" s="13" t="str">
        <f t="shared" si="1"/>
        <v>E1EEC152</v>
      </c>
      <c r="O33" s="13" t="str">
        <f t="shared" si="1"/>
        <v>CFEE818A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CFE1C4F1</v>
      </c>
      <c r="Y33" t="str">
        <f t="shared" si="0"/>
        <v>0xCFE1C4F1,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7</v>
      </c>
      <c r="E3" s="4">
        <v>0</v>
      </c>
      <c r="F3" s="4">
        <v>7</v>
      </c>
      <c r="G3" s="4">
        <v>7</v>
      </c>
      <c r="H3" s="4">
        <v>16</v>
      </c>
      <c r="I3" s="4">
        <v>7</v>
      </c>
      <c r="J3" s="4" t="s">
        <v>220</v>
      </c>
      <c r="K3" s="4">
        <v>7</v>
      </c>
      <c r="L3" s="4" t="s">
        <v>220</v>
      </c>
      <c r="M3" s="4">
        <v>7</v>
      </c>
      <c r="N3" s="4" t="s">
        <v>220</v>
      </c>
      <c r="O3" s="4">
        <v>7</v>
      </c>
      <c r="P3" s="4" t="s">
        <v>220</v>
      </c>
      <c r="Q3" s="4" t="s">
        <v>220</v>
      </c>
      <c r="R3" s="4" t="s">
        <v>220</v>
      </c>
      <c r="S3" s="4" t="s">
        <v>220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34</v>
      </c>
      <c r="E10" s="5">
        <v>63</v>
      </c>
      <c r="F10" s="6">
        <v>30</v>
      </c>
      <c r="G10" s="6">
        <v>24</v>
      </c>
      <c r="H10" s="5">
        <v>35</v>
      </c>
      <c r="I10" s="6">
        <v>18</v>
      </c>
      <c r="J10" s="5">
        <v>19</v>
      </c>
      <c r="K10" s="6">
        <v>14</v>
      </c>
      <c r="L10" s="5">
        <v>18</v>
      </c>
      <c r="M10" s="5">
        <v>11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20</v>
      </c>
      <c r="H11" s="5">
        <v>16</v>
      </c>
      <c r="I11" s="5">
        <v>21</v>
      </c>
      <c r="J11" s="5">
        <v>16</v>
      </c>
      <c r="K11" s="5">
        <v>21</v>
      </c>
      <c r="L11" s="5">
        <v>24</v>
      </c>
      <c r="M11" s="6">
        <v>30</v>
      </c>
      <c r="N11" s="5">
        <v>18</v>
      </c>
      <c r="O11" s="6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CFEE8185</v>
      </c>
      <c r="Y11" t="str">
        <f t="shared" si="0"/>
        <v>0xCFEE8185,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CFEF017E</v>
      </c>
      <c r="Y15" t="str">
        <f t="shared" si="0"/>
        <v>0xCFEF017E,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CFEF41D5</v>
      </c>
      <c r="Y19" t="str">
        <f t="shared" si="0"/>
        <v>0xCFEF41D5,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CFEF8255</v>
      </c>
      <c r="Y23" t="str">
        <f t="shared" si="0"/>
        <v>0xCFEF8255,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CFEFC314</v>
      </c>
      <c r="Y27" t="str">
        <f t="shared" si="0"/>
        <v>0xCFEFC314,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CFEFC3DE</v>
      </c>
      <c r="Y29" t="str">
        <f t="shared" si="0"/>
        <v>0xCFEFC3DE,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CFE1C459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CFEFC3DE</v>
      </c>
      <c r="G33" s="13" t="str">
        <f t="shared" si="1"/>
        <v>CFEFC314</v>
      </c>
      <c r="H33" s="13" t="str">
        <f t="shared" si="1"/>
        <v>E1EF8470</v>
      </c>
      <c r="I33" s="13" t="str">
        <f t="shared" si="1"/>
        <v>CFEF8255</v>
      </c>
      <c r="J33" s="13" t="str">
        <f t="shared" si="1"/>
        <v>E1EF8270</v>
      </c>
      <c r="K33" s="13" t="str">
        <f t="shared" si="1"/>
        <v>CFEF41D5</v>
      </c>
      <c r="L33" s="13" t="str">
        <f t="shared" si="1"/>
        <v>E1EF0258</v>
      </c>
      <c r="M33" s="13" t="str">
        <f t="shared" si="1"/>
        <v>CFEF017E</v>
      </c>
      <c r="N33" s="13" t="str">
        <f t="shared" si="1"/>
        <v>E1EEC152</v>
      </c>
      <c r="O33" s="13" t="str">
        <f t="shared" si="1"/>
        <v>CFEE8185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CFE1C459</v>
      </c>
      <c r="Y33" t="str">
        <f t="shared" si="0"/>
        <v>0xCFE1C459,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B3" sqref="B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4</v>
      </c>
      <c r="E3" s="4">
        <v>0</v>
      </c>
      <c r="F3" s="4">
        <v>4</v>
      </c>
      <c r="G3" s="4">
        <v>4</v>
      </c>
      <c r="H3" s="4">
        <v>13</v>
      </c>
      <c r="I3" s="4">
        <v>4</v>
      </c>
      <c r="J3" s="4" t="s">
        <v>221</v>
      </c>
      <c r="K3" s="4">
        <v>4</v>
      </c>
      <c r="L3" s="4" t="s">
        <v>221</v>
      </c>
      <c r="M3" s="4">
        <v>4</v>
      </c>
      <c r="N3" s="4" t="s">
        <v>221</v>
      </c>
      <c r="O3" s="4">
        <v>4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37</v>
      </c>
      <c r="E10" s="5">
        <v>63</v>
      </c>
      <c r="F10" s="6">
        <v>34</v>
      </c>
      <c r="G10" s="6">
        <v>26</v>
      </c>
      <c r="H10" s="5">
        <v>35</v>
      </c>
      <c r="I10" s="6">
        <v>19</v>
      </c>
      <c r="J10" s="5">
        <v>19</v>
      </c>
      <c r="K10" s="6">
        <v>16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27</v>
      </c>
      <c r="E11" s="5">
        <v>31</v>
      </c>
      <c r="F11" s="5">
        <v>18</v>
      </c>
      <c r="G11" s="5">
        <v>17</v>
      </c>
      <c r="H11" s="5">
        <v>16</v>
      </c>
      <c r="I11" s="5">
        <v>21</v>
      </c>
      <c r="J11" s="5">
        <v>16</v>
      </c>
      <c r="K11" s="5">
        <v>1</v>
      </c>
      <c r="L11" s="5">
        <v>24</v>
      </c>
      <c r="M11" s="5">
        <v>21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C9EE818C</v>
      </c>
      <c r="Y11" t="str">
        <f t="shared" si="0"/>
        <v>0xC9EE818C,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C9EF0195</v>
      </c>
      <c r="Y15" t="str">
        <f t="shared" si="0"/>
        <v>0xC9EF0195,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C9EF4201</v>
      </c>
      <c r="Y19" t="str">
        <f t="shared" si="0"/>
        <v>0xC9EF4201,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C9EF8275</v>
      </c>
      <c r="Y23" t="str">
        <f t="shared" si="0"/>
        <v>0xC9EF8275,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C9EFC351</v>
      </c>
      <c r="Y27" t="str">
        <f t="shared" si="0"/>
        <v>0xC9EFC351,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C9EFC452</v>
      </c>
      <c r="Y29" t="str">
        <f t="shared" si="0"/>
        <v>0xC9EFC452,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C9E1C4BB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C9EFC452</v>
      </c>
      <c r="G33" s="13" t="str">
        <f t="shared" si="1"/>
        <v>C9EFC351</v>
      </c>
      <c r="H33" s="13" t="str">
        <f t="shared" si="1"/>
        <v>DBEF8470</v>
      </c>
      <c r="I33" s="13" t="str">
        <f t="shared" si="1"/>
        <v>C9EF8275</v>
      </c>
      <c r="J33" s="13" t="str">
        <f t="shared" si="1"/>
        <v>DBEF8270</v>
      </c>
      <c r="K33" s="13" t="str">
        <f t="shared" si="1"/>
        <v>C9EF4201</v>
      </c>
      <c r="L33" s="13" t="str">
        <f t="shared" si="1"/>
        <v>DBEF0258</v>
      </c>
      <c r="M33" s="13" t="str">
        <f t="shared" si="1"/>
        <v>C9EF0195</v>
      </c>
      <c r="N33" s="13" t="str">
        <f t="shared" si="1"/>
        <v>DBEEC152</v>
      </c>
      <c r="O33" s="13" t="str">
        <f t="shared" si="1"/>
        <v>C9EE818C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C9E1C4BB</v>
      </c>
      <c r="Y33" t="str">
        <f t="shared" si="0"/>
        <v>0xC9E1C4BB,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3" sqref="E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4</v>
      </c>
      <c r="E3" s="4">
        <v>4</v>
      </c>
      <c r="F3" s="4">
        <v>13</v>
      </c>
      <c r="G3" s="4">
        <v>4</v>
      </c>
      <c r="H3" s="4">
        <v>13</v>
      </c>
      <c r="I3" s="4">
        <v>4</v>
      </c>
      <c r="J3" s="4" t="s">
        <v>221</v>
      </c>
      <c r="K3" s="4">
        <v>4</v>
      </c>
      <c r="L3" s="4" t="s">
        <v>221</v>
      </c>
      <c r="M3" s="4">
        <v>4</v>
      </c>
      <c r="N3" s="4" t="s">
        <v>221</v>
      </c>
      <c r="O3" s="4">
        <v>4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41</v>
      </c>
      <c r="E10" s="5">
        <v>42</v>
      </c>
      <c r="F10" s="6" t="s">
        <v>222</v>
      </c>
      <c r="G10" s="6">
        <v>28</v>
      </c>
      <c r="H10" s="5">
        <v>35</v>
      </c>
      <c r="I10" s="6">
        <v>21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22</v>
      </c>
      <c r="E11" s="5">
        <v>19</v>
      </c>
      <c r="F11" s="5">
        <v>22</v>
      </c>
      <c r="G11" s="5">
        <v>21</v>
      </c>
      <c r="H11" s="5">
        <v>16</v>
      </c>
      <c r="I11" s="5">
        <v>9</v>
      </c>
      <c r="J11" s="5">
        <v>16</v>
      </c>
      <c r="K11" s="5">
        <v>12</v>
      </c>
      <c r="L11" s="5">
        <v>24</v>
      </c>
      <c r="M11" s="5">
        <v>27</v>
      </c>
      <c r="N11" s="5">
        <v>18</v>
      </c>
      <c r="O11" s="5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C9EE81A1</v>
      </c>
      <c r="Y11" t="str">
        <f t="shared" si="0"/>
        <v>0xC9EE81A1,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C9EF019B</v>
      </c>
      <c r="Y15" t="str">
        <f t="shared" si="0"/>
        <v>0xC9EF019B,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C9EF420C</v>
      </c>
      <c r="Y19" t="str">
        <f t="shared" si="0"/>
        <v>0xC9EF420C,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C9EF82A9</v>
      </c>
      <c r="Y23" t="str">
        <f t="shared" si="0"/>
        <v>0xC9EF82A9,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C9EFC395</v>
      </c>
      <c r="Y27" t="str">
        <f t="shared" si="0"/>
        <v>0xC9EFC395,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DBEFC596</v>
      </c>
      <c r="Y29" t="str">
        <f t="shared" si="0"/>
        <v>0xDBEFC596,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C9E5C553</v>
      </c>
      <c r="Y31" t="str">
        <f t="shared" si="0"/>
        <v>0xC9E5C553,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C9E1C536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C9E5C553</v>
      </c>
      <c r="F33" s="13" t="str">
        <f t="shared" si="1"/>
        <v>DBEFC596</v>
      </c>
      <c r="G33" s="13" t="str">
        <f t="shared" si="1"/>
        <v>C9EFC395</v>
      </c>
      <c r="H33" s="13" t="str">
        <f t="shared" si="1"/>
        <v>DBEF8470</v>
      </c>
      <c r="I33" s="13" t="str">
        <f t="shared" si="1"/>
        <v>C9EF82A9</v>
      </c>
      <c r="J33" s="13" t="str">
        <f t="shared" si="1"/>
        <v>DBEF8270</v>
      </c>
      <c r="K33" s="13" t="str">
        <f t="shared" si="1"/>
        <v>C9EF420C</v>
      </c>
      <c r="L33" s="13" t="str">
        <f t="shared" si="1"/>
        <v>DBEF0258</v>
      </c>
      <c r="M33" s="13" t="str">
        <f t="shared" si="1"/>
        <v>C9EF019B</v>
      </c>
      <c r="N33" s="13" t="str">
        <f t="shared" si="1"/>
        <v>DBEEC152</v>
      </c>
      <c r="O33" s="13" t="str">
        <f t="shared" si="1"/>
        <v>C9EE81A1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C9E1C536</v>
      </c>
      <c r="Y33" t="str">
        <f t="shared" si="0"/>
        <v>0xC9E1C536,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4</v>
      </c>
      <c r="E3" s="4">
        <v>0</v>
      </c>
      <c r="F3" s="4">
        <v>4</v>
      </c>
      <c r="G3" s="4">
        <v>4</v>
      </c>
      <c r="H3" s="4">
        <v>13</v>
      </c>
      <c r="I3" s="4">
        <v>4</v>
      </c>
      <c r="J3" s="4" t="s">
        <v>221</v>
      </c>
      <c r="K3" s="4">
        <v>4</v>
      </c>
      <c r="L3" s="4" t="s">
        <v>221</v>
      </c>
      <c r="M3" s="4">
        <v>4</v>
      </c>
      <c r="N3" s="4" t="s">
        <v>221</v>
      </c>
      <c r="O3" s="4">
        <v>4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36</v>
      </c>
      <c r="E10" s="5">
        <v>63</v>
      </c>
      <c r="F10" s="6">
        <v>32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20</v>
      </c>
      <c r="E11" s="5">
        <v>31</v>
      </c>
      <c r="F11" s="5">
        <v>29</v>
      </c>
      <c r="G11" s="5">
        <v>22</v>
      </c>
      <c r="H11" s="5">
        <v>16</v>
      </c>
      <c r="I11" s="5">
        <v>18</v>
      </c>
      <c r="J11" s="5">
        <v>16</v>
      </c>
      <c r="K11" s="5">
        <v>15</v>
      </c>
      <c r="L11" s="5">
        <v>24</v>
      </c>
      <c r="M11" s="5">
        <v>21</v>
      </c>
      <c r="N11" s="5">
        <v>18</v>
      </c>
      <c r="O11" s="6">
        <v>13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C9EE818D</v>
      </c>
      <c r="Y11" t="str">
        <f t="shared" si="0"/>
        <v>0xC9EE818D,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C9EF0195</v>
      </c>
      <c r="Y15" t="str">
        <f t="shared" si="0"/>
        <v>0xC9EF0195,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C9EF41EF</v>
      </c>
      <c r="Y19" t="str">
        <f t="shared" si="0"/>
        <v>0xC9EF41EF,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C9EF8272</v>
      </c>
      <c r="Y23" t="str">
        <f t="shared" si="0"/>
        <v>0xC9EF8272,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C9EFC336</v>
      </c>
      <c r="Y27" t="str">
        <f t="shared" si="0"/>
        <v>0xC9EFC336,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C9EFC41D</v>
      </c>
      <c r="Y29" t="str">
        <f t="shared" si="0"/>
        <v>0xC9EFC41D,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C9E1C494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C9EFC41D</v>
      </c>
      <c r="G33" s="13" t="str">
        <f t="shared" si="1"/>
        <v>C9EFC336</v>
      </c>
      <c r="H33" s="13" t="str">
        <f t="shared" si="1"/>
        <v>DBEF8470</v>
      </c>
      <c r="I33" s="13" t="str">
        <f t="shared" si="1"/>
        <v>C9EF8272</v>
      </c>
      <c r="J33" s="13" t="str">
        <f t="shared" si="1"/>
        <v>DBEF8270</v>
      </c>
      <c r="K33" s="13" t="str">
        <f t="shared" si="1"/>
        <v>C9EF41EF</v>
      </c>
      <c r="L33" s="13" t="str">
        <f t="shared" si="1"/>
        <v>DBEF0258</v>
      </c>
      <c r="M33" s="13" t="str">
        <f t="shared" si="1"/>
        <v>C9EF0195</v>
      </c>
      <c r="N33" s="13" t="str">
        <f t="shared" si="1"/>
        <v>DBEEC152</v>
      </c>
      <c r="O33" s="13" t="str">
        <f t="shared" si="1"/>
        <v>C9EE818D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C9E1C494</v>
      </c>
      <c r="Y33" t="str">
        <f t="shared" si="0"/>
        <v>0xC9E1C494,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 t="s">
        <v>74</v>
      </c>
      <c r="F3" s="4">
        <v>0</v>
      </c>
      <c r="G3" s="4">
        <v>0</v>
      </c>
      <c r="H3" s="4">
        <v>13</v>
      </c>
      <c r="I3" s="4">
        <v>0</v>
      </c>
      <c r="J3" s="4" t="s">
        <v>221</v>
      </c>
      <c r="K3" s="4">
        <v>0</v>
      </c>
      <c r="L3" s="4" t="s">
        <v>221</v>
      </c>
      <c r="M3" s="4">
        <v>0</v>
      </c>
      <c r="N3" s="4" t="s">
        <v>221</v>
      </c>
      <c r="O3" s="4">
        <v>0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42</v>
      </c>
      <c r="E10" s="5" t="s">
        <v>223</v>
      </c>
      <c r="F10" s="6">
        <v>39</v>
      </c>
      <c r="G10" s="6">
        <v>30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24</v>
      </c>
      <c r="E11" s="5" t="s">
        <v>224</v>
      </c>
      <c r="F11" s="5">
        <v>26</v>
      </c>
      <c r="G11" s="5">
        <v>20</v>
      </c>
      <c r="H11" s="5">
        <v>16</v>
      </c>
      <c r="I11" s="5">
        <v>10</v>
      </c>
      <c r="J11" s="5">
        <v>16</v>
      </c>
      <c r="K11" s="5">
        <v>7</v>
      </c>
      <c r="L11" s="5">
        <v>24</v>
      </c>
      <c r="M11" s="5">
        <v>20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C1EE81CC</v>
      </c>
      <c r="Y11" t="str">
        <f t="shared" si="0"/>
        <v>0xC1EE81CC,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C1EF01D4</v>
      </c>
      <c r="Y15" t="str">
        <f t="shared" si="0"/>
        <v>0xC1EF01D4,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C1EF4247</v>
      </c>
      <c r="Y19" t="str">
        <f t="shared" si="0"/>
        <v>0xC1EF4247,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C1EF82EA</v>
      </c>
      <c r="Y23" t="str">
        <f t="shared" si="0"/>
        <v>0xC1EF82EA,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C1EFC3D4</v>
      </c>
      <c r="Y27" t="str">
        <f t="shared" si="0"/>
        <v>0xC1EFC3D4,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C1EFC4FA</v>
      </c>
      <c r="Y29" t="str">
        <f t="shared" si="0"/>
        <v>0xC1EFC4FA,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C1E1C558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C1EFC4FA</v>
      </c>
      <c r="G33" s="13" t="str">
        <f t="shared" si="1"/>
        <v>C1EFC3D4</v>
      </c>
      <c r="H33" s="13" t="str">
        <f t="shared" si="1"/>
        <v>DBEF8470</v>
      </c>
      <c r="I33" s="13" t="str">
        <f t="shared" si="1"/>
        <v>C1EF82EA</v>
      </c>
      <c r="J33" s="13" t="str">
        <f t="shared" si="1"/>
        <v>DBEF8270</v>
      </c>
      <c r="K33" s="13" t="str">
        <f t="shared" si="1"/>
        <v>C1EF4247</v>
      </c>
      <c r="L33" s="13" t="str">
        <f t="shared" si="1"/>
        <v>DBEF0258</v>
      </c>
      <c r="M33" s="13" t="str">
        <f t="shared" si="1"/>
        <v>C1EF01D4</v>
      </c>
      <c r="N33" s="13" t="str">
        <f t="shared" si="1"/>
        <v>DBEEC152</v>
      </c>
      <c r="O33" s="13" t="str">
        <f t="shared" si="1"/>
        <v>C1EE81CC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C1E1C558</v>
      </c>
      <c r="Y33" t="str">
        <f t="shared" si="0"/>
        <v>0xC1E1C558,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>
        <v>0</v>
      </c>
      <c r="F3" s="4" t="s">
        <v>221</v>
      </c>
      <c r="G3" s="4">
        <v>0</v>
      </c>
      <c r="H3" s="4">
        <v>13</v>
      </c>
      <c r="I3" s="4">
        <v>0</v>
      </c>
      <c r="J3" s="4" t="s">
        <v>221</v>
      </c>
      <c r="K3" s="4">
        <v>0</v>
      </c>
      <c r="L3" s="4" t="s">
        <v>221</v>
      </c>
      <c r="M3" s="4">
        <v>0</v>
      </c>
      <c r="N3" s="4" t="s">
        <v>221</v>
      </c>
      <c r="O3" s="4">
        <v>0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47</v>
      </c>
      <c r="E10" s="6">
        <v>45</v>
      </c>
      <c r="F10" s="5" t="s">
        <v>225</v>
      </c>
      <c r="G10" s="6">
        <v>33</v>
      </c>
      <c r="H10" s="5">
        <v>35</v>
      </c>
      <c r="I10" s="6">
        <v>25</v>
      </c>
      <c r="J10" s="5">
        <v>19</v>
      </c>
      <c r="K10" s="6">
        <v>19</v>
      </c>
      <c r="L10" s="5">
        <v>18</v>
      </c>
      <c r="M10" s="5">
        <v>14</v>
      </c>
      <c r="N10" s="5">
        <v>10</v>
      </c>
      <c r="O10" s="6">
        <v>15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>
        <v>29</v>
      </c>
      <c r="F11" s="5" t="s">
        <v>202</v>
      </c>
      <c r="G11" s="5">
        <v>21</v>
      </c>
      <c r="H11" s="5">
        <v>16</v>
      </c>
      <c r="I11" s="5">
        <v>1</v>
      </c>
      <c r="J11" s="5">
        <v>16</v>
      </c>
      <c r="K11" s="5">
        <v>6</v>
      </c>
      <c r="L11" s="5">
        <v>24</v>
      </c>
      <c r="M11" s="6">
        <v>30</v>
      </c>
      <c r="N11" s="5">
        <v>18</v>
      </c>
      <c r="O11" s="5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C1EE81E5</v>
      </c>
      <c r="Y11" t="str">
        <f t="shared" si="0"/>
        <v>0xC1EE81E5,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C1EF01DE</v>
      </c>
      <c r="Y15" t="str">
        <f t="shared" si="0"/>
        <v>0xC1EF01DE,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C1EF4266</v>
      </c>
      <c r="Y19" t="str">
        <f t="shared" si="0"/>
        <v>0xC1EF4266,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C1EF8321</v>
      </c>
      <c r="Y23" t="str">
        <f t="shared" si="0"/>
        <v>0xC1EF8321,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C1EFC435</v>
      </c>
      <c r="Y27" t="str">
        <f t="shared" si="0"/>
        <v>0xC1EFC435,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DBEFC776</v>
      </c>
      <c r="Y29" t="str">
        <f t="shared" si="0"/>
        <v>0xDBEFC776,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C1E5C5BD</v>
      </c>
      <c r="Y31" t="str">
        <f t="shared" si="0"/>
        <v>0xC1E5C5BD,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C1E1C5FC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C1E5C5BD</v>
      </c>
      <c r="F33" s="13" t="str">
        <f t="shared" si="1"/>
        <v>DBEFC776</v>
      </c>
      <c r="G33" s="13" t="str">
        <f t="shared" si="1"/>
        <v>C1EFC435</v>
      </c>
      <c r="H33" s="13" t="str">
        <f t="shared" si="1"/>
        <v>DBEF8470</v>
      </c>
      <c r="I33" s="13" t="str">
        <f t="shared" si="1"/>
        <v>C1EF8321</v>
      </c>
      <c r="J33" s="13" t="str">
        <f t="shared" si="1"/>
        <v>DBEF8270</v>
      </c>
      <c r="K33" s="13" t="str">
        <f t="shared" si="1"/>
        <v>C1EF4266</v>
      </c>
      <c r="L33" s="13" t="str">
        <f t="shared" si="1"/>
        <v>DBEF0258</v>
      </c>
      <c r="M33" s="13" t="str">
        <f t="shared" si="1"/>
        <v>C1EF01DE</v>
      </c>
      <c r="N33" s="13" t="str">
        <f t="shared" si="1"/>
        <v>DBEEC152</v>
      </c>
      <c r="O33" s="13" t="str">
        <f t="shared" si="1"/>
        <v>C1EE81E5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C1E1C5FC</v>
      </c>
      <c r="Y33" t="str">
        <f t="shared" si="0"/>
        <v>0xC1E1C5FC,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opLeftCell="A16" workbookViewId="0">
      <selection activeCell="A3" sqref="A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 t="s">
        <v>74</v>
      </c>
      <c r="F3" s="4">
        <v>0</v>
      </c>
      <c r="G3" s="4">
        <v>0</v>
      </c>
      <c r="H3" s="4">
        <v>13</v>
      </c>
      <c r="I3" s="4">
        <v>0</v>
      </c>
      <c r="J3" s="4" t="s">
        <v>221</v>
      </c>
      <c r="K3" s="4">
        <v>0</v>
      </c>
      <c r="L3" s="4" t="s">
        <v>221</v>
      </c>
      <c r="M3" s="4">
        <v>0</v>
      </c>
      <c r="N3" s="4" t="s">
        <v>221</v>
      </c>
      <c r="O3" s="4">
        <v>0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ht="15.75" customHeight="1" spans="1:26">
      <c r="A10" s="2" t="s">
        <v>158</v>
      </c>
      <c r="B10" s="3">
        <v>42</v>
      </c>
      <c r="C10" s="3">
        <v>37</v>
      </c>
      <c r="D10" s="3">
        <v>40</v>
      </c>
      <c r="E10" s="5" t="s">
        <v>223</v>
      </c>
      <c r="F10" s="2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 t="s">
        <v>224</v>
      </c>
      <c r="F11" s="5">
        <v>19</v>
      </c>
      <c r="G11" s="5">
        <v>20</v>
      </c>
      <c r="H11" s="5">
        <v>16</v>
      </c>
      <c r="I11" s="5">
        <v>17</v>
      </c>
      <c r="J11" s="5">
        <v>16</v>
      </c>
      <c r="K11" s="5">
        <v>5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C1EE81CA</v>
      </c>
      <c r="Y11" t="str">
        <f t="shared" si="0"/>
        <v>0xC1EE81CA,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215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C1EF01D4</v>
      </c>
      <c r="Y15" t="str">
        <f t="shared" si="0"/>
        <v>0xC1EF01D4,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C1EF4245</v>
      </c>
      <c r="Y19" t="str">
        <f t="shared" si="0"/>
        <v>0xC1EF4245,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C1EF82D1</v>
      </c>
      <c r="Y23" t="str">
        <f t="shared" si="0"/>
        <v>0xC1EF82D1,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C1EFC3B4</v>
      </c>
      <c r="Y27" t="str">
        <f t="shared" si="0"/>
        <v>0xC1EFC3B4,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C1EFC4D3</v>
      </c>
      <c r="Y29" t="str">
        <f t="shared" si="0"/>
        <v>0xC1EFC4D3,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C1E1C51C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C1EFC4D3</v>
      </c>
      <c r="G33" s="13" t="str">
        <f t="shared" si="1"/>
        <v>C1EFC3B4</v>
      </c>
      <c r="H33" s="13" t="str">
        <f t="shared" si="1"/>
        <v>DBEF8470</v>
      </c>
      <c r="I33" s="13" t="str">
        <f t="shared" si="1"/>
        <v>C1EF82D1</v>
      </c>
      <c r="J33" s="13" t="str">
        <f t="shared" si="1"/>
        <v>DBEF8270</v>
      </c>
      <c r="K33" s="13" t="str">
        <f t="shared" si="1"/>
        <v>C1EF4245</v>
      </c>
      <c r="L33" s="13" t="str">
        <f t="shared" si="1"/>
        <v>DBEF0258</v>
      </c>
      <c r="M33" s="13" t="str">
        <f t="shared" si="1"/>
        <v>C1EF01D4</v>
      </c>
      <c r="N33" s="13" t="str">
        <f t="shared" si="1"/>
        <v>DBEEC152</v>
      </c>
      <c r="O33" s="13" t="str">
        <f t="shared" si="1"/>
        <v>C1EE81CA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C1E1C51C</v>
      </c>
      <c r="Y33" t="str">
        <f t="shared" si="0"/>
        <v>0xC1E1C51C,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 t="s">
        <v>74</v>
      </c>
      <c r="F3" s="4">
        <v>0</v>
      </c>
      <c r="G3" s="4">
        <v>0</v>
      </c>
      <c r="H3" s="4" t="s">
        <v>205</v>
      </c>
      <c r="I3" s="4">
        <v>0</v>
      </c>
      <c r="J3" s="4" t="s">
        <v>205</v>
      </c>
      <c r="K3" s="4">
        <v>0</v>
      </c>
      <c r="L3" s="4" t="s">
        <v>205</v>
      </c>
      <c r="M3" s="4">
        <v>0</v>
      </c>
      <c r="N3" s="4" t="s">
        <v>205</v>
      </c>
      <c r="O3" s="4">
        <v>0</v>
      </c>
      <c r="P3" s="4" t="s">
        <v>205</v>
      </c>
      <c r="Q3" s="4" t="s">
        <v>205</v>
      </c>
      <c r="R3" s="4" t="s">
        <v>205</v>
      </c>
      <c r="S3" s="4" t="s">
        <v>205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48</v>
      </c>
      <c r="E10" s="5" t="s">
        <v>223</v>
      </c>
      <c r="F10" s="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13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29</v>
      </c>
      <c r="E11" s="5" t="s">
        <v>224</v>
      </c>
      <c r="F11" s="5">
        <v>27</v>
      </c>
      <c r="G11" s="5">
        <v>21</v>
      </c>
      <c r="H11" s="5">
        <v>16</v>
      </c>
      <c r="I11" s="5">
        <v>13</v>
      </c>
      <c r="J11" s="5">
        <v>16</v>
      </c>
      <c r="K11" s="5">
        <v>13</v>
      </c>
      <c r="L11" s="5">
        <v>24</v>
      </c>
      <c r="M11" s="6">
        <v>30</v>
      </c>
      <c r="N11" s="5">
        <v>18</v>
      </c>
      <c r="O11" s="6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C1EE81C1</v>
      </c>
      <c r="Y11" t="str">
        <f t="shared" si="0"/>
        <v>0xC1EE81C1,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3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3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C1EF01BE</v>
      </c>
      <c r="Y15" t="str">
        <f t="shared" si="0"/>
        <v>0xC1EF01BE,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C1EF422D</v>
      </c>
      <c r="Y19" t="str">
        <f t="shared" si="0"/>
        <v>0xC1EF422D,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C1EF82CD</v>
      </c>
      <c r="Y23" t="str">
        <f t="shared" si="0"/>
        <v>0xC1EF82CD,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C1EFC3B5</v>
      </c>
      <c r="Y27" t="str">
        <f t="shared" si="0"/>
        <v>0xC1EFC3B5,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C1EFC4DB</v>
      </c>
      <c r="Y29" t="str">
        <f t="shared" si="0"/>
        <v>0xC1EFC4DB,</v>
      </c>
      <c r="Z29" s="22"/>
    </row>
    <row r="30" spans="22:26">
      <c r="V30" s="23" t="s">
        <v>190</v>
      </c>
      <c r="W30" s="17">
        <v>40348060</v>
      </c>
      <c r="X30" s="24" t="str">
        <f>E34</f>
        <v>1A61FA0C</v>
      </c>
      <c r="Y30" t="str">
        <f t="shared" si="0"/>
        <v>0x1A61FA0C,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5ADEDA0E</v>
      </c>
      <c r="Y32" t="str">
        <f t="shared" si="0"/>
        <v>0x5ADEDA0E,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C1E1C61D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C1EFC4DB</v>
      </c>
      <c r="G33" s="13" t="str">
        <f t="shared" si="1"/>
        <v>C1EFC3B5</v>
      </c>
      <c r="H33" s="13" t="str">
        <f t="shared" si="1"/>
        <v>CBEF8470</v>
      </c>
      <c r="I33" s="13" t="str">
        <f t="shared" si="1"/>
        <v>C1EF82CD</v>
      </c>
      <c r="J33" s="13" t="str">
        <f t="shared" si="1"/>
        <v>CBEF8270</v>
      </c>
      <c r="K33" s="13" t="str">
        <f t="shared" si="1"/>
        <v>C1EF422D</v>
      </c>
      <c r="L33" s="13" t="str">
        <f t="shared" si="1"/>
        <v>CBEF0258</v>
      </c>
      <c r="M33" s="13" t="str">
        <f t="shared" si="1"/>
        <v>C1EF01BE</v>
      </c>
      <c r="N33" s="13" t="str">
        <f t="shared" si="1"/>
        <v>CBEEC152</v>
      </c>
      <c r="O33" s="13" t="str">
        <f t="shared" si="1"/>
        <v>C1EE81C1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C1E1C61D</v>
      </c>
      <c r="Y33" t="str">
        <f t="shared" si="0"/>
        <v>0xC1E1C61D,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5ADEDA0E</v>
      </c>
      <c r="E34" s="13" t="str">
        <f t="shared" ref="E34:S34" si="2">DEC2HEX(POWER(2,$C20)*E20+POWER(2,$C19)*E19+POWER(2,$C18)*E18+POWER(2,$C17)*E17+POWER(2,$C16)*E16+POWER(2,$C15)*E15+POWER(2,$C14)*E14+POWER(2,$C13)*E13)</f>
        <v>1A61FA0C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B6" sqref="B6:C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>
        <v>0</v>
      </c>
      <c r="F3" s="4" t="s">
        <v>205</v>
      </c>
      <c r="G3" s="4">
        <v>0</v>
      </c>
      <c r="H3" s="4" t="s">
        <v>205</v>
      </c>
      <c r="I3" s="4">
        <v>0</v>
      </c>
      <c r="J3" s="4" t="s">
        <v>205</v>
      </c>
      <c r="K3" s="4">
        <v>0</v>
      </c>
      <c r="L3" s="4" t="s">
        <v>205</v>
      </c>
      <c r="M3" s="4">
        <v>0</v>
      </c>
      <c r="N3" s="4" t="s">
        <v>205</v>
      </c>
      <c r="O3" s="4">
        <v>0</v>
      </c>
      <c r="P3" s="4" t="s">
        <v>205</v>
      </c>
      <c r="Q3" s="4" t="s">
        <v>205</v>
      </c>
      <c r="R3" s="4" t="s">
        <v>205</v>
      </c>
      <c r="S3" s="4" t="s">
        <v>205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55</v>
      </c>
      <c r="E10" s="5">
        <v>43</v>
      </c>
      <c r="F10" s="6" t="s">
        <v>226</v>
      </c>
      <c r="G10" s="6">
        <v>32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6">
        <v>14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27</v>
      </c>
      <c r="E11" s="5">
        <v>24</v>
      </c>
      <c r="F11" s="5" t="s">
        <v>202</v>
      </c>
      <c r="G11" s="5">
        <v>22</v>
      </c>
      <c r="H11" s="5">
        <v>16</v>
      </c>
      <c r="I11" s="5">
        <v>21</v>
      </c>
      <c r="J11" s="5">
        <v>16</v>
      </c>
      <c r="K11" s="5">
        <v>11</v>
      </c>
      <c r="L11" s="5">
        <v>24</v>
      </c>
      <c r="M11" s="5">
        <v>23</v>
      </c>
      <c r="N11" s="5">
        <v>18</v>
      </c>
      <c r="O11" s="5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C1EE81CA</v>
      </c>
      <c r="Y11" t="str">
        <f t="shared" si="0"/>
        <v>0xC1EE81CA,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C1EF01D7</v>
      </c>
      <c r="Y15" t="str">
        <f t="shared" si="0"/>
        <v>0xC1EF01D7,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C1EF424B</v>
      </c>
      <c r="Y19" t="str">
        <f t="shared" si="0"/>
        <v>0xC1EF424B,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C1EF82F5</v>
      </c>
      <c r="Y23" t="str">
        <f t="shared" si="0"/>
        <v>0xC1EF82F5,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C1EFC416</v>
      </c>
      <c r="Y27" t="str">
        <f t="shared" si="0"/>
        <v>0xC1EFC416,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CBEFC536</v>
      </c>
      <c r="Y29" t="str">
        <f t="shared" si="0"/>
        <v>0xCBEFC536,</v>
      </c>
      <c r="Z29" s="22"/>
    </row>
    <row r="30" spans="22:26">
      <c r="V30" s="23" t="s">
        <v>190</v>
      </c>
      <c r="W30" s="17">
        <v>40348060</v>
      </c>
      <c r="X30" s="24" t="str">
        <f>E34</f>
        <v>1961FA0C</v>
      </c>
      <c r="Y30" t="str">
        <f t="shared" si="0"/>
        <v>0x1961FA0C,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C1E1C578</v>
      </c>
      <c r="Y31" t="str">
        <f t="shared" si="0"/>
        <v>0xC1E1C578,</v>
      </c>
      <c r="Z31" s="22"/>
    </row>
    <row r="32" spans="1:26">
      <c r="A32" s="11" t="s">
        <v>193</v>
      </c>
      <c r="B32" s="11"/>
      <c r="C32" s="11"/>
      <c r="D32" s="12">
        <v>22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59DEDA0E</v>
      </c>
      <c r="Y32" t="str">
        <f t="shared" si="0"/>
        <v>0x59DEDA0E,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C1E1C6FB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C1E1C578</v>
      </c>
      <c r="F33" s="13" t="str">
        <f t="shared" si="1"/>
        <v>CBEFC536</v>
      </c>
      <c r="G33" s="13" t="str">
        <f t="shared" si="1"/>
        <v>C1EFC416</v>
      </c>
      <c r="H33" s="13" t="str">
        <f t="shared" si="1"/>
        <v>CBEF8470</v>
      </c>
      <c r="I33" s="13" t="str">
        <f t="shared" si="1"/>
        <v>C1EF82F5</v>
      </c>
      <c r="J33" s="13" t="str">
        <f t="shared" si="1"/>
        <v>CBEF8270</v>
      </c>
      <c r="K33" s="13" t="str">
        <f t="shared" si="1"/>
        <v>C1EF424B</v>
      </c>
      <c r="L33" s="13" t="str">
        <f t="shared" si="1"/>
        <v>CBEF0258</v>
      </c>
      <c r="M33" s="13" t="str">
        <f t="shared" si="1"/>
        <v>C1EF01D7</v>
      </c>
      <c r="N33" s="13" t="str">
        <f t="shared" si="1"/>
        <v>CBEEC152</v>
      </c>
      <c r="O33" s="13" t="str">
        <f t="shared" si="1"/>
        <v>C1EE81CA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C1E1C6FB</v>
      </c>
      <c r="Y33" t="str">
        <f t="shared" si="0"/>
        <v>0xC1E1C6FB,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59DEDA0E</v>
      </c>
      <c r="E34" s="13" t="str">
        <f t="shared" ref="E34:S34" si="2">DEC2HEX(POWER(2,$C20)*E20+POWER(2,$C19)*E19+POWER(2,$C18)*E18+POWER(2,$C17)*E17+POWER(2,$C16)*E16+POWER(2,$C15)*E15+POWER(2,$C14)*E14+POWER(2,$C13)*E13)</f>
        <v>1961FA0C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26" sqref="H2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207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208</v>
      </c>
      <c r="B3" s="3">
        <v>61</v>
      </c>
      <c r="C3" s="3">
        <v>57</v>
      </c>
      <c r="D3" s="3">
        <v>0</v>
      </c>
      <c r="E3" s="4" t="s">
        <v>74</v>
      </c>
      <c r="F3" s="4">
        <v>0</v>
      </c>
      <c r="G3" s="4">
        <v>0</v>
      </c>
      <c r="H3" s="4" t="s">
        <v>205</v>
      </c>
      <c r="I3" s="4">
        <v>0</v>
      </c>
      <c r="J3" s="4" t="s">
        <v>205</v>
      </c>
      <c r="K3" s="4">
        <v>0</v>
      </c>
      <c r="L3" s="4" t="s">
        <v>205</v>
      </c>
      <c r="M3" s="4">
        <v>0</v>
      </c>
      <c r="N3" s="4" t="s">
        <v>205</v>
      </c>
      <c r="O3" s="4">
        <v>0</v>
      </c>
      <c r="P3" s="4" t="s">
        <v>205</v>
      </c>
      <c r="Q3" s="4" t="s">
        <v>205</v>
      </c>
      <c r="R3" s="4" t="s">
        <v>205</v>
      </c>
      <c r="S3" s="4" t="s">
        <v>205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209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210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211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212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46</v>
      </c>
      <c r="E10" s="5" t="s">
        <v>223</v>
      </c>
      <c r="F10" s="6">
        <v>37</v>
      </c>
      <c r="G10" s="6">
        <v>28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14</v>
      </c>
      <c r="N10" s="5">
        <v>10</v>
      </c>
      <c r="O10" s="5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24</v>
      </c>
      <c r="E11" s="5" t="s">
        <v>224</v>
      </c>
      <c r="F11" s="5">
        <v>24</v>
      </c>
      <c r="G11" s="5">
        <v>24</v>
      </c>
      <c r="H11" s="5">
        <v>16</v>
      </c>
      <c r="I11" s="5">
        <v>7</v>
      </c>
      <c r="J11" s="5">
        <v>16</v>
      </c>
      <c r="K11" s="6">
        <v>12</v>
      </c>
      <c r="L11" s="5">
        <v>24</v>
      </c>
      <c r="M11" s="6">
        <v>15</v>
      </c>
      <c r="N11" s="5">
        <v>18</v>
      </c>
      <c r="O11" s="5">
        <v>22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C1EE81B6</v>
      </c>
      <c r="Y11" t="str">
        <f t="shared" si="0"/>
        <v>0xC1EE81B6,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215</v>
      </c>
      <c r="G15" s="4" t="s">
        <v>215</v>
      </c>
      <c r="H15" s="4" t="s">
        <v>215</v>
      </c>
      <c r="I15" s="4" t="s">
        <v>215</v>
      </c>
      <c r="J15" s="4" t="s">
        <v>215</v>
      </c>
      <c r="K15" s="4" t="s">
        <v>215</v>
      </c>
      <c r="L15" s="4" t="s">
        <v>215</v>
      </c>
      <c r="M15" s="4" t="s">
        <v>215</v>
      </c>
      <c r="N15" s="4" t="s">
        <v>215</v>
      </c>
      <c r="O15" s="4" t="s">
        <v>215</v>
      </c>
      <c r="P15" s="4" t="s">
        <v>215</v>
      </c>
      <c r="Q15" s="4" t="s">
        <v>215</v>
      </c>
      <c r="R15" s="4" t="s">
        <v>215</v>
      </c>
      <c r="S15" s="4" t="s">
        <v>215</v>
      </c>
      <c r="V15" s="23"/>
      <c r="W15" s="17">
        <v>40348064</v>
      </c>
      <c r="X15" s="24" t="str">
        <f>M33</f>
        <v>C1EF01CF</v>
      </c>
      <c r="Y15" t="str">
        <f t="shared" si="0"/>
        <v>0xC1EF01CF,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C1EF422C</v>
      </c>
      <c r="Y19" t="str">
        <f t="shared" si="0"/>
        <v>0xC1EF422C,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C1EF82C7</v>
      </c>
      <c r="Y23" t="str">
        <f t="shared" si="0"/>
        <v>0xC1EF82C7,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C1EFC398</v>
      </c>
      <c r="Y27" t="str">
        <f t="shared" si="0"/>
        <v>0xC1EFC398,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C1EFC4B8</v>
      </c>
      <c r="Y29" t="str">
        <f t="shared" si="0"/>
        <v>0xC1EFC4B8,</v>
      </c>
      <c r="Z29" s="22"/>
    </row>
    <row r="30" spans="22:26">
      <c r="V30" s="23" t="s">
        <v>190</v>
      </c>
      <c r="W30" s="17">
        <v>40348060</v>
      </c>
      <c r="X30" s="24" t="str">
        <f>E34</f>
        <v>1B61FA0C</v>
      </c>
      <c r="Y30" t="str">
        <f t="shared" si="0"/>
        <v>0x1B61FA0C,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5BDEDA0E</v>
      </c>
      <c r="Y32" t="str">
        <f t="shared" si="0"/>
        <v>0x5BDEDA0E,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C1E1C5D8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C1EFC4B8</v>
      </c>
      <c r="G33" s="13" t="str">
        <f t="shared" si="1"/>
        <v>C1EFC398</v>
      </c>
      <c r="H33" s="13" t="str">
        <f t="shared" si="1"/>
        <v>CBEF8470</v>
      </c>
      <c r="I33" s="13" t="str">
        <f t="shared" si="1"/>
        <v>C1EF82C7</v>
      </c>
      <c r="J33" s="13" t="str">
        <f t="shared" si="1"/>
        <v>CBEF8270</v>
      </c>
      <c r="K33" s="13" t="str">
        <f t="shared" si="1"/>
        <v>C1EF422C</v>
      </c>
      <c r="L33" s="13" t="str">
        <f t="shared" si="1"/>
        <v>CBEF0258</v>
      </c>
      <c r="M33" s="13" t="str">
        <f t="shared" si="1"/>
        <v>C1EF01CF</v>
      </c>
      <c r="N33" s="13" t="str">
        <f t="shared" si="1"/>
        <v>CBEEC152</v>
      </c>
      <c r="O33" s="13" t="str">
        <f t="shared" si="1"/>
        <v>C1EE81B6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C1E1C5D8</v>
      </c>
      <c r="Y33" t="str">
        <f t="shared" si="0"/>
        <v>0xC1E1C5D8,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5BDEDA0E</v>
      </c>
      <c r="E34" s="13" t="str">
        <f t="shared" ref="E34:S34" si="2">DEC2HEX(POWER(2,$C20)*E20+POWER(2,$C19)*E19+POWER(2,$C18)*E18+POWER(2,$C17)*E17+POWER(2,$C16)*E16+POWER(2,$C15)*E15+POWER(2,$C14)*E14+POWER(2,$C13)*E13)</f>
        <v>1B61FA0C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念泽</cp:lastModifiedBy>
  <dcterms:created xsi:type="dcterms:W3CDTF">2015-06-05T18:19:00Z</dcterms:created>
  <dcterms:modified xsi:type="dcterms:W3CDTF">2025-10-22T06:53:10Z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2052-12.1.0.21915</vt:lpwstr>
  </property>
</Properties>
</file>